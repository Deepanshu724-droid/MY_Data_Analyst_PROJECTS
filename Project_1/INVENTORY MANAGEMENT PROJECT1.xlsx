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Excel Projects\"/>
    </mc:Choice>
  </mc:AlternateContent>
  <xr:revisionPtr revIDLastSave="0" documentId="13_ncr:1_{11CA152C-3F74-4B71-94D8-833D8707FF38}" xr6:coauthVersionLast="47" xr6:coauthVersionMax="47" xr10:uidLastSave="{00000000-0000-0000-0000-000000000000}"/>
  <bookViews>
    <workbookView xWindow="-108" yWindow="-108" windowWidth="23256" windowHeight="12456" activeTab="3" xr2:uid="{28D7283E-C011-4C86-848F-E71C5DA96426}"/>
  </bookViews>
  <sheets>
    <sheet name="Analysis" sheetId="17" r:id="rId1"/>
    <sheet name="Dashboard" sheetId="20" r:id="rId2"/>
    <sheet name="Analysis2" sheetId="22" r:id="rId3"/>
    <sheet name="RAW DATA" sheetId="1" r:id="rId4"/>
  </sheets>
  <calcPr calcId="191029"/>
  <pivotCaches>
    <pivotCache cacheId="0" r:id="rId5"/>
    <pivotCache cacheId="1" r:id="rId6"/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2" l="1"/>
  <c r="F17" i="22"/>
  <c r="F15" i="22"/>
  <c r="F14" i="22"/>
  <c r="A1002" i="1"/>
  <c r="M50" i="20"/>
  <c r="M12" i="20"/>
  <c r="E42" i="17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M1002" i="1" l="1"/>
  <c r="L1002" i="1"/>
  <c r="K1002" i="1"/>
</calcChain>
</file>

<file path=xl/sharedStrings.xml><?xml version="1.0" encoding="utf-8"?>
<sst xmlns="http://schemas.openxmlformats.org/spreadsheetml/2006/main" count="5086" uniqueCount="1061">
  <si>
    <t>Product-Id</t>
  </si>
  <si>
    <t>Product-Name</t>
  </si>
  <si>
    <t>Category</t>
  </si>
  <si>
    <t>Supplier-Id</t>
  </si>
  <si>
    <t>Supplier-Name</t>
  </si>
  <si>
    <t>Stock-Quantity</t>
  </si>
  <si>
    <t>Unit-Price</t>
  </si>
  <si>
    <t>Date-Received</t>
  </si>
  <si>
    <t>Date-Sales</t>
  </si>
  <si>
    <t>Margin-Unit</t>
  </si>
  <si>
    <t>PROD-1001</t>
  </si>
  <si>
    <t>Marker</t>
  </si>
  <si>
    <t>Stationery</t>
  </si>
  <si>
    <t>S-105</t>
  </si>
  <si>
    <t>Fresh Mart Logistics</t>
  </si>
  <si>
    <t>PROD-1002</t>
  </si>
  <si>
    <t>Hoodie</t>
  </si>
  <si>
    <t>Clothing</t>
  </si>
  <si>
    <t>S-104</t>
  </si>
  <si>
    <t>Modern Home Supplies</t>
  </si>
  <si>
    <t>PROD-1003</t>
  </si>
  <si>
    <t>Smartphone</t>
  </si>
  <si>
    <t>Electronics</t>
  </si>
  <si>
    <t>PROD-1004</t>
  </si>
  <si>
    <t>Laptop</t>
  </si>
  <si>
    <t>S-103</t>
  </si>
  <si>
    <t>Elite Paper Co</t>
  </si>
  <si>
    <t>PROD-1005</t>
  </si>
  <si>
    <t>Dark Chocolate</t>
  </si>
  <si>
    <t>Groceries</t>
  </si>
  <si>
    <t>S-101</t>
  </si>
  <si>
    <t>Global Tech Corp</t>
  </si>
  <si>
    <t>PROD-1006</t>
  </si>
  <si>
    <t>PROD-1007</t>
  </si>
  <si>
    <t>Stool</t>
  </si>
  <si>
    <t>Furniture</t>
  </si>
  <si>
    <t>PROD-1008</t>
  </si>
  <si>
    <t>Headphones</t>
  </si>
  <si>
    <t>PROD-1009</t>
  </si>
  <si>
    <t>Notebook</t>
  </si>
  <si>
    <t>S-102</t>
  </si>
  <si>
    <t>Sunrise Industries</t>
  </si>
  <si>
    <t>PROD-1010</t>
  </si>
  <si>
    <t>Desk Lamp</t>
  </si>
  <si>
    <t>PROD-1011</t>
  </si>
  <si>
    <t>PROD-1012</t>
  </si>
  <si>
    <t>PROD-1013</t>
  </si>
  <si>
    <t>T-Shirt</t>
  </si>
  <si>
    <t>PROD-1014</t>
  </si>
  <si>
    <t>PROD-1015</t>
  </si>
  <si>
    <t>Cap</t>
  </si>
  <si>
    <t>PROD-1016</t>
  </si>
  <si>
    <t>Pen Set</t>
  </si>
  <si>
    <t>PROD-1017</t>
  </si>
  <si>
    <t>PROD-1018</t>
  </si>
  <si>
    <t>PROD-1019</t>
  </si>
  <si>
    <t>PROD-1020</t>
  </si>
  <si>
    <t>PROD-1021</t>
  </si>
  <si>
    <t>PROD-1022</t>
  </si>
  <si>
    <t>PROD-1023</t>
  </si>
  <si>
    <t>PROD-1024</t>
  </si>
  <si>
    <t>PROD-1025</t>
  </si>
  <si>
    <t>PROD-1026</t>
  </si>
  <si>
    <t>Bookshelf</t>
  </si>
  <si>
    <t>PROD-1027</t>
  </si>
  <si>
    <t>Tablet</t>
  </si>
  <si>
    <t>PROD-1028</t>
  </si>
  <si>
    <t>PROD-1029</t>
  </si>
  <si>
    <t>PROD-1030</t>
  </si>
  <si>
    <t>PROD-1031</t>
  </si>
  <si>
    <t>Office Chair</t>
  </si>
  <si>
    <t>PROD-1032</t>
  </si>
  <si>
    <t>PROD-1033</t>
  </si>
  <si>
    <t>PROD-1034</t>
  </si>
  <si>
    <t>Coffee Beans</t>
  </si>
  <si>
    <t>PROD-1035</t>
  </si>
  <si>
    <t>PROD-1036</t>
  </si>
  <si>
    <t>PROD-1037</t>
  </si>
  <si>
    <t>PROD-1038</t>
  </si>
  <si>
    <t>PROD-1039</t>
  </si>
  <si>
    <t>Organic Tea</t>
  </si>
  <si>
    <t>PROD-1040</t>
  </si>
  <si>
    <t>PROD-1041</t>
  </si>
  <si>
    <t>PROD-1042</t>
  </si>
  <si>
    <t>PROD-1043</t>
  </si>
  <si>
    <t>PROD-1044</t>
  </si>
  <si>
    <t>PROD-1045</t>
  </si>
  <si>
    <t>PROD-1046</t>
  </si>
  <si>
    <t>PROD-1047</t>
  </si>
  <si>
    <t>PROD-1048</t>
  </si>
  <si>
    <t>PROD-1049</t>
  </si>
  <si>
    <t>PROD-1050</t>
  </si>
  <si>
    <t>PROD-1051</t>
  </si>
  <si>
    <t>PROD-1052</t>
  </si>
  <si>
    <t>Almonds</t>
  </si>
  <si>
    <t>PROD-1053</t>
  </si>
  <si>
    <t>PROD-1054</t>
  </si>
  <si>
    <t>PROD-1055</t>
  </si>
  <si>
    <t>PROD-1056</t>
  </si>
  <si>
    <t>PROD-1057</t>
  </si>
  <si>
    <t>PROD-1058</t>
  </si>
  <si>
    <t>PROD-1059</t>
  </si>
  <si>
    <t>PROD-1060</t>
  </si>
  <si>
    <t>PROD-1061</t>
  </si>
  <si>
    <t>PROD-1062</t>
  </si>
  <si>
    <t>PROD-1063</t>
  </si>
  <si>
    <t>Socks</t>
  </si>
  <si>
    <t>PROD-1064</t>
  </si>
  <si>
    <t>PROD-1065</t>
  </si>
  <si>
    <t>PROD-1066</t>
  </si>
  <si>
    <t>PROD-1067</t>
  </si>
  <si>
    <t>PROD-1068</t>
  </si>
  <si>
    <t>PROD-1069</t>
  </si>
  <si>
    <t>PROD-1070</t>
  </si>
  <si>
    <t>PROD-1071</t>
  </si>
  <si>
    <t>PROD-1072</t>
  </si>
  <si>
    <t>Desk Organizer</t>
  </si>
  <si>
    <t>PROD-1073</t>
  </si>
  <si>
    <t>PROD-1074</t>
  </si>
  <si>
    <t>PROD-1075</t>
  </si>
  <si>
    <t>PROD-1076</t>
  </si>
  <si>
    <t>PROD-1077</t>
  </si>
  <si>
    <t>PROD-1078</t>
  </si>
  <si>
    <t>PROD-1079</t>
  </si>
  <si>
    <t>PROD-1080</t>
  </si>
  <si>
    <t>PROD-1081</t>
  </si>
  <si>
    <t>PROD-1082</t>
  </si>
  <si>
    <t>PROD-1083</t>
  </si>
  <si>
    <t>PROD-1084</t>
  </si>
  <si>
    <t>PROD-1085</t>
  </si>
  <si>
    <t>PROD-1086</t>
  </si>
  <si>
    <t>PROD-1087</t>
  </si>
  <si>
    <t>PROD-1088</t>
  </si>
  <si>
    <t>PROD-1089</t>
  </si>
  <si>
    <t>PROD-1090</t>
  </si>
  <si>
    <t>PROD-1091</t>
  </si>
  <si>
    <t>PROD-1092</t>
  </si>
  <si>
    <t>PROD-1093</t>
  </si>
  <si>
    <t>PROD-1094</t>
  </si>
  <si>
    <t>PROD-1095</t>
  </si>
  <si>
    <t>PROD-1096</t>
  </si>
  <si>
    <t>PROD-1097</t>
  </si>
  <si>
    <t>PROD-1098</t>
  </si>
  <si>
    <t>PROD-1099</t>
  </si>
  <si>
    <t>PROD-1100</t>
  </si>
  <si>
    <t>PROD-1101</t>
  </si>
  <si>
    <t>PROD-1102</t>
  </si>
  <si>
    <t>PROD-1103</t>
  </si>
  <si>
    <t>PROD-1104</t>
  </si>
  <si>
    <t>PROD-1105</t>
  </si>
  <si>
    <t>PROD-1106</t>
  </si>
  <si>
    <t>PROD-1107</t>
  </si>
  <si>
    <t>PROD-1108</t>
  </si>
  <si>
    <t>PROD-1109</t>
  </si>
  <si>
    <t>PROD-1110</t>
  </si>
  <si>
    <t>PROD-1111</t>
  </si>
  <si>
    <t>PROD-1112</t>
  </si>
  <si>
    <t>PROD-1113</t>
  </si>
  <si>
    <t>PROD-1114</t>
  </si>
  <si>
    <t>PROD-1115</t>
  </si>
  <si>
    <t>PROD-1116</t>
  </si>
  <si>
    <t>PROD-1117</t>
  </si>
  <si>
    <t>PROD-1118</t>
  </si>
  <si>
    <t>PROD-1119</t>
  </si>
  <si>
    <t>PROD-1120</t>
  </si>
  <si>
    <t>PROD-1121</t>
  </si>
  <si>
    <t>PROD-1122</t>
  </si>
  <si>
    <t>PROD-1123</t>
  </si>
  <si>
    <t>PROD-1124</t>
  </si>
  <si>
    <t>PROD-1125</t>
  </si>
  <si>
    <t>PROD-1126</t>
  </si>
  <si>
    <t>PROD-1127</t>
  </si>
  <si>
    <t>PROD-1128</t>
  </si>
  <si>
    <t>PROD-1129</t>
  </si>
  <si>
    <t>PROD-1130</t>
  </si>
  <si>
    <t>PROD-1131</t>
  </si>
  <si>
    <t>PROD-1132</t>
  </si>
  <si>
    <t>PROD-1133</t>
  </si>
  <si>
    <t>PROD-1134</t>
  </si>
  <si>
    <t>PROD-1135</t>
  </si>
  <si>
    <t>PROD-1136</t>
  </si>
  <si>
    <t>PROD-1137</t>
  </si>
  <si>
    <t>PROD-1138</t>
  </si>
  <si>
    <t>PROD-1139</t>
  </si>
  <si>
    <t>PROD-1140</t>
  </si>
  <si>
    <t>PROD-1141</t>
  </si>
  <si>
    <t>PROD-1142</t>
  </si>
  <si>
    <t>PROD-1143</t>
  </si>
  <si>
    <t>PROD-1144</t>
  </si>
  <si>
    <t>PROD-1145</t>
  </si>
  <si>
    <t>PROD-1146</t>
  </si>
  <si>
    <t>PROD-1147</t>
  </si>
  <si>
    <t>PROD-1148</t>
  </si>
  <si>
    <t>PROD-1149</t>
  </si>
  <si>
    <t>PROD-1150</t>
  </si>
  <si>
    <t>PROD-1151</t>
  </si>
  <si>
    <t>PROD-1152</t>
  </si>
  <si>
    <t>PROD-1153</t>
  </si>
  <si>
    <t>PROD-1154</t>
  </si>
  <si>
    <t>PROD-1155</t>
  </si>
  <si>
    <t>PROD-1156</t>
  </si>
  <si>
    <t>PROD-1157</t>
  </si>
  <si>
    <t>PROD-1158</t>
  </si>
  <si>
    <t>PROD-1159</t>
  </si>
  <si>
    <t>PROD-1160</t>
  </si>
  <si>
    <t>PROD-1161</t>
  </si>
  <si>
    <t>PROD-1162</t>
  </si>
  <si>
    <t>PROD-1163</t>
  </si>
  <si>
    <t>PROD-1164</t>
  </si>
  <si>
    <t>PROD-1165</t>
  </si>
  <si>
    <t>PROD-1166</t>
  </si>
  <si>
    <t>PROD-1167</t>
  </si>
  <si>
    <t>PROD-1168</t>
  </si>
  <si>
    <t>PROD-1169</t>
  </si>
  <si>
    <t>PROD-1170</t>
  </si>
  <si>
    <t>PROD-1171</t>
  </si>
  <si>
    <t>PROD-1172</t>
  </si>
  <si>
    <t>PROD-1173</t>
  </si>
  <si>
    <t>PROD-1174</t>
  </si>
  <si>
    <t>PROD-1175</t>
  </si>
  <si>
    <t>PROD-1176</t>
  </si>
  <si>
    <t>PROD-1177</t>
  </si>
  <si>
    <t>PROD-1178</t>
  </si>
  <si>
    <t>PROD-1179</t>
  </si>
  <si>
    <t>PROD-1180</t>
  </si>
  <si>
    <t>PROD-1181</t>
  </si>
  <si>
    <t>PROD-1182</t>
  </si>
  <si>
    <t>PROD-1183</t>
  </si>
  <si>
    <t>PROD-1184</t>
  </si>
  <si>
    <t>PROD-1185</t>
  </si>
  <si>
    <t>PROD-1186</t>
  </si>
  <si>
    <t>PROD-1187</t>
  </si>
  <si>
    <t>PROD-1188</t>
  </si>
  <si>
    <t>PROD-1189</t>
  </si>
  <si>
    <t>PROD-1190</t>
  </si>
  <si>
    <t>PROD-1191</t>
  </si>
  <si>
    <t>PROD-1192</t>
  </si>
  <si>
    <t>PROD-1193</t>
  </si>
  <si>
    <t>PROD-1194</t>
  </si>
  <si>
    <t>PROD-1195</t>
  </si>
  <si>
    <t>PROD-1196</t>
  </si>
  <si>
    <t>PROD-1197</t>
  </si>
  <si>
    <t>PROD-1198</t>
  </si>
  <si>
    <t>PROD-1199</t>
  </si>
  <si>
    <t>PROD-1200</t>
  </si>
  <si>
    <t>PROD-1201</t>
  </si>
  <si>
    <t>PROD-1202</t>
  </si>
  <si>
    <t>PROD-1203</t>
  </si>
  <si>
    <t>PROD-1204</t>
  </si>
  <si>
    <t>PROD-1205</t>
  </si>
  <si>
    <t>PROD-1206</t>
  </si>
  <si>
    <t>PROD-1207</t>
  </si>
  <si>
    <t>PROD-1208</t>
  </si>
  <si>
    <t>PROD-1209</t>
  </si>
  <si>
    <t>PROD-1210</t>
  </si>
  <si>
    <t>PROD-1211</t>
  </si>
  <si>
    <t>PROD-1212</t>
  </si>
  <si>
    <t>PROD-1213</t>
  </si>
  <si>
    <t>PROD-1214</t>
  </si>
  <si>
    <t>PROD-1215</t>
  </si>
  <si>
    <t>PROD-1216</t>
  </si>
  <si>
    <t>PROD-1217</t>
  </si>
  <si>
    <t>PROD-1218</t>
  </si>
  <si>
    <t>PROD-1219</t>
  </si>
  <si>
    <t>PROD-1220</t>
  </si>
  <si>
    <t>PROD-1221</t>
  </si>
  <si>
    <t>PROD-1222</t>
  </si>
  <si>
    <t>PROD-1223</t>
  </si>
  <si>
    <t>PROD-1224</t>
  </si>
  <si>
    <t>PROD-1225</t>
  </si>
  <si>
    <t>PROD-1226</t>
  </si>
  <si>
    <t>PROD-1227</t>
  </si>
  <si>
    <t>PROD-1228</t>
  </si>
  <si>
    <t>PROD-1229</t>
  </si>
  <si>
    <t>PROD-1230</t>
  </si>
  <si>
    <t>PROD-1231</t>
  </si>
  <si>
    <t>PROD-1232</t>
  </si>
  <si>
    <t>PROD-1233</t>
  </si>
  <si>
    <t>PROD-1234</t>
  </si>
  <si>
    <t>PROD-1235</t>
  </si>
  <si>
    <t>PROD-1236</t>
  </si>
  <si>
    <t>PROD-1237</t>
  </si>
  <si>
    <t>PROD-1238</t>
  </si>
  <si>
    <t>PROD-1239</t>
  </si>
  <si>
    <t>PROD-1240</t>
  </si>
  <si>
    <t>PROD-1241</t>
  </si>
  <si>
    <t>PROD-1242</t>
  </si>
  <si>
    <t>PROD-1243</t>
  </si>
  <si>
    <t>PROD-1244</t>
  </si>
  <si>
    <t>PROD-1245</t>
  </si>
  <si>
    <t>PROD-1246</t>
  </si>
  <si>
    <t>PROD-1247</t>
  </si>
  <si>
    <t>PROD-1248</t>
  </si>
  <si>
    <t>PROD-1249</t>
  </si>
  <si>
    <t>PROD-1250</t>
  </si>
  <si>
    <t>PROD-1251</t>
  </si>
  <si>
    <t>PROD-1252</t>
  </si>
  <si>
    <t>PROD-1253</t>
  </si>
  <si>
    <t>PROD-1254</t>
  </si>
  <si>
    <t>PROD-1255</t>
  </si>
  <si>
    <t>PROD-1256</t>
  </si>
  <si>
    <t>PROD-1257</t>
  </si>
  <si>
    <t>PROD-1258</t>
  </si>
  <si>
    <t>PROD-1259</t>
  </si>
  <si>
    <t>PROD-1260</t>
  </si>
  <si>
    <t>PROD-1261</t>
  </si>
  <si>
    <t>PROD-1262</t>
  </si>
  <si>
    <t>PROD-1263</t>
  </si>
  <si>
    <t>PROD-1264</t>
  </si>
  <si>
    <t>PROD-1265</t>
  </si>
  <si>
    <t>PROD-1266</t>
  </si>
  <si>
    <t>PROD-1267</t>
  </si>
  <si>
    <t>PROD-1268</t>
  </si>
  <si>
    <t>PROD-1269</t>
  </si>
  <si>
    <t>PROD-1270</t>
  </si>
  <si>
    <t>PROD-1271</t>
  </si>
  <si>
    <t>PROD-1272</t>
  </si>
  <si>
    <t>PROD-1273</t>
  </si>
  <si>
    <t>PROD-1274</t>
  </si>
  <si>
    <t>PROD-1275</t>
  </si>
  <si>
    <t>PROD-1276</t>
  </si>
  <si>
    <t>PROD-1277</t>
  </si>
  <si>
    <t>PROD-1278</t>
  </si>
  <si>
    <t>PROD-1279</t>
  </si>
  <si>
    <t>PROD-1280</t>
  </si>
  <si>
    <t>PROD-1281</t>
  </si>
  <si>
    <t>PROD-1282</t>
  </si>
  <si>
    <t>PROD-1283</t>
  </si>
  <si>
    <t>PROD-1284</t>
  </si>
  <si>
    <t>PROD-1285</t>
  </si>
  <si>
    <t>PROD-1286</t>
  </si>
  <si>
    <t>PROD-1287</t>
  </si>
  <si>
    <t>PROD-1288</t>
  </si>
  <si>
    <t>PROD-1289</t>
  </si>
  <si>
    <t>PROD-1290</t>
  </si>
  <si>
    <t>PROD-1291</t>
  </si>
  <si>
    <t>PROD-1292</t>
  </si>
  <si>
    <t>PROD-1293</t>
  </si>
  <si>
    <t>PROD-1294</t>
  </si>
  <si>
    <t>PROD-1295</t>
  </si>
  <si>
    <t>PROD-1296</t>
  </si>
  <si>
    <t>PROD-1297</t>
  </si>
  <si>
    <t>PROD-1298</t>
  </si>
  <si>
    <t>PROD-1299</t>
  </si>
  <si>
    <t>PROD-1300</t>
  </si>
  <si>
    <t>PROD-1301</t>
  </si>
  <si>
    <t>PROD-1302</t>
  </si>
  <si>
    <t>PROD-1303</t>
  </si>
  <si>
    <t>PROD-1304</t>
  </si>
  <si>
    <t>PROD-1305</t>
  </si>
  <si>
    <t>PROD-1306</t>
  </si>
  <si>
    <t>PROD-1307</t>
  </si>
  <si>
    <t>PROD-1308</t>
  </si>
  <si>
    <t>PROD-1309</t>
  </si>
  <si>
    <t>PROD-1310</t>
  </si>
  <si>
    <t>PROD-1311</t>
  </si>
  <si>
    <t>PROD-1312</t>
  </si>
  <si>
    <t>PROD-1313</t>
  </si>
  <si>
    <t>PROD-1314</t>
  </si>
  <si>
    <t>PROD-1315</t>
  </si>
  <si>
    <t>PROD-1316</t>
  </si>
  <si>
    <t>PROD-1317</t>
  </si>
  <si>
    <t>PROD-1318</t>
  </si>
  <si>
    <t>PROD-1319</t>
  </si>
  <si>
    <t>PROD-1320</t>
  </si>
  <si>
    <t>PROD-1321</t>
  </si>
  <si>
    <t>PROD-1322</t>
  </si>
  <si>
    <t>PROD-1323</t>
  </si>
  <si>
    <t>PROD-1324</t>
  </si>
  <si>
    <t>PROD-1325</t>
  </si>
  <si>
    <t>PROD-1326</t>
  </si>
  <si>
    <t>PROD-1327</t>
  </si>
  <si>
    <t>PROD-1328</t>
  </si>
  <si>
    <t>PROD-1329</t>
  </si>
  <si>
    <t>PROD-1330</t>
  </si>
  <si>
    <t>PROD-1331</t>
  </si>
  <si>
    <t>PROD-1332</t>
  </si>
  <si>
    <t>PROD-1333</t>
  </si>
  <si>
    <t>PROD-1334</t>
  </si>
  <si>
    <t>PROD-1335</t>
  </si>
  <si>
    <t>PROD-1336</t>
  </si>
  <si>
    <t>PROD-1337</t>
  </si>
  <si>
    <t>PROD-1338</t>
  </si>
  <si>
    <t>PROD-1339</t>
  </si>
  <si>
    <t>PROD-1340</t>
  </si>
  <si>
    <t>PROD-1341</t>
  </si>
  <si>
    <t>PROD-1342</t>
  </si>
  <si>
    <t>PROD-1343</t>
  </si>
  <si>
    <t>PROD-1344</t>
  </si>
  <si>
    <t>PROD-1345</t>
  </si>
  <si>
    <t>PROD-1346</t>
  </si>
  <si>
    <t>PROD-1347</t>
  </si>
  <si>
    <t>PROD-1348</t>
  </si>
  <si>
    <t>PROD-1349</t>
  </si>
  <si>
    <t>PROD-1350</t>
  </si>
  <si>
    <t>PROD-1351</t>
  </si>
  <si>
    <t>PROD-1352</t>
  </si>
  <si>
    <t>PROD-1353</t>
  </si>
  <si>
    <t>PROD-1354</t>
  </si>
  <si>
    <t>PROD-1355</t>
  </si>
  <si>
    <t>PROD-1356</t>
  </si>
  <si>
    <t>PROD-1357</t>
  </si>
  <si>
    <t>PROD-1358</t>
  </si>
  <si>
    <t>PROD-1359</t>
  </si>
  <si>
    <t>PROD-1360</t>
  </si>
  <si>
    <t>PROD-1361</t>
  </si>
  <si>
    <t>PROD-1362</t>
  </si>
  <si>
    <t>PROD-1363</t>
  </si>
  <si>
    <t>PROD-1364</t>
  </si>
  <si>
    <t>PROD-1365</t>
  </si>
  <si>
    <t>PROD-1366</t>
  </si>
  <si>
    <t>PROD-1367</t>
  </si>
  <si>
    <t>PROD-1368</t>
  </si>
  <si>
    <t>PROD-1369</t>
  </si>
  <si>
    <t>PROD-1370</t>
  </si>
  <si>
    <t>PROD-1371</t>
  </si>
  <si>
    <t>PROD-1372</t>
  </si>
  <si>
    <t>PROD-1373</t>
  </si>
  <si>
    <t>PROD-1374</t>
  </si>
  <si>
    <t>PROD-1375</t>
  </si>
  <si>
    <t>PROD-1376</t>
  </si>
  <si>
    <t>PROD-1377</t>
  </si>
  <si>
    <t>PROD-1378</t>
  </si>
  <si>
    <t>PROD-1379</t>
  </si>
  <si>
    <t>PROD-1380</t>
  </si>
  <si>
    <t>PROD-1381</t>
  </si>
  <si>
    <t>PROD-1382</t>
  </si>
  <si>
    <t>PROD-1383</t>
  </si>
  <si>
    <t>PROD-1384</t>
  </si>
  <si>
    <t>PROD-1385</t>
  </si>
  <si>
    <t>PROD-1386</t>
  </si>
  <si>
    <t>PROD-1387</t>
  </si>
  <si>
    <t>PROD-1388</t>
  </si>
  <si>
    <t>PROD-1389</t>
  </si>
  <si>
    <t>PROD-1390</t>
  </si>
  <si>
    <t>PROD-1391</t>
  </si>
  <si>
    <t>PROD-1392</t>
  </si>
  <si>
    <t>PROD-1393</t>
  </si>
  <si>
    <t>PROD-1394</t>
  </si>
  <si>
    <t>PROD-1395</t>
  </si>
  <si>
    <t>PROD-1396</t>
  </si>
  <si>
    <t>PROD-1397</t>
  </si>
  <si>
    <t>PROD-1398</t>
  </si>
  <si>
    <t>PROD-1399</t>
  </si>
  <si>
    <t>PROD-1400</t>
  </si>
  <si>
    <t>PROD-1401</t>
  </si>
  <si>
    <t>PROD-1402</t>
  </si>
  <si>
    <t>PROD-1403</t>
  </si>
  <si>
    <t>PROD-1404</t>
  </si>
  <si>
    <t>PROD-1405</t>
  </si>
  <si>
    <t>PROD-1406</t>
  </si>
  <si>
    <t>PROD-1407</t>
  </si>
  <si>
    <t>PROD-1408</t>
  </si>
  <si>
    <t>PROD-1409</t>
  </si>
  <si>
    <t>PROD-1410</t>
  </si>
  <si>
    <t>PROD-1411</t>
  </si>
  <si>
    <t>PROD-1412</t>
  </si>
  <si>
    <t>PROD-1413</t>
  </si>
  <si>
    <t>PROD-1414</t>
  </si>
  <si>
    <t>PROD-1415</t>
  </si>
  <si>
    <t>PROD-1416</t>
  </si>
  <si>
    <t>PROD-1417</t>
  </si>
  <si>
    <t>PROD-1418</t>
  </si>
  <si>
    <t>PROD-1419</t>
  </si>
  <si>
    <t>PROD-1420</t>
  </si>
  <si>
    <t>PROD-1421</t>
  </si>
  <si>
    <t>PROD-1422</t>
  </si>
  <si>
    <t>PROD-1423</t>
  </si>
  <si>
    <t>PROD-1424</t>
  </si>
  <si>
    <t>PROD-1425</t>
  </si>
  <si>
    <t>PROD-1426</t>
  </si>
  <si>
    <t>PROD-1427</t>
  </si>
  <si>
    <t>PROD-1428</t>
  </si>
  <si>
    <t>PROD-1429</t>
  </si>
  <si>
    <t>PROD-1430</t>
  </si>
  <si>
    <t>PROD-1431</t>
  </si>
  <si>
    <t>PROD-1432</t>
  </si>
  <si>
    <t>PROD-1433</t>
  </si>
  <si>
    <t>PROD-1434</t>
  </si>
  <si>
    <t>PROD-1435</t>
  </si>
  <si>
    <t>PROD-1436</t>
  </si>
  <si>
    <t>PROD-1437</t>
  </si>
  <si>
    <t>PROD-1438</t>
  </si>
  <si>
    <t>PROD-1439</t>
  </si>
  <si>
    <t>PROD-1440</t>
  </si>
  <si>
    <t>PROD-1441</t>
  </si>
  <si>
    <t>PROD-1442</t>
  </si>
  <si>
    <t>PROD-1443</t>
  </si>
  <si>
    <t>PROD-1444</t>
  </si>
  <si>
    <t>PROD-1445</t>
  </si>
  <si>
    <t>PROD-1446</t>
  </si>
  <si>
    <t>PROD-1447</t>
  </si>
  <si>
    <t>PROD-1448</t>
  </si>
  <si>
    <t>PROD-1449</t>
  </si>
  <si>
    <t>PROD-1450</t>
  </si>
  <si>
    <t>PROD-1451</t>
  </si>
  <si>
    <t>PROD-1452</t>
  </si>
  <si>
    <t>PROD-1453</t>
  </si>
  <si>
    <t>PROD-1454</t>
  </si>
  <si>
    <t>PROD-1455</t>
  </si>
  <si>
    <t>PROD-1456</t>
  </si>
  <si>
    <t>PROD-1457</t>
  </si>
  <si>
    <t>PROD-1458</t>
  </si>
  <si>
    <t>PROD-1459</t>
  </si>
  <si>
    <t>PROD-1460</t>
  </si>
  <si>
    <t>PROD-1461</t>
  </si>
  <si>
    <t>PROD-1462</t>
  </si>
  <si>
    <t>PROD-1463</t>
  </si>
  <si>
    <t>PROD-1464</t>
  </si>
  <si>
    <t>PROD-1465</t>
  </si>
  <si>
    <t>PROD-1466</t>
  </si>
  <si>
    <t>PROD-1467</t>
  </si>
  <si>
    <t>PROD-1468</t>
  </si>
  <si>
    <t>PROD-1469</t>
  </si>
  <si>
    <t>PROD-1470</t>
  </si>
  <si>
    <t>PROD-1471</t>
  </si>
  <si>
    <t>PROD-1472</t>
  </si>
  <si>
    <t>PROD-1473</t>
  </si>
  <si>
    <t>PROD-1474</t>
  </si>
  <si>
    <t>PROD-1475</t>
  </si>
  <si>
    <t>PROD-1476</t>
  </si>
  <si>
    <t>PROD-1477</t>
  </si>
  <si>
    <t>PROD-1478</t>
  </si>
  <si>
    <t>PROD-1479</t>
  </si>
  <si>
    <t>PROD-1480</t>
  </si>
  <si>
    <t>PROD-1481</t>
  </si>
  <si>
    <t>PROD-1482</t>
  </si>
  <si>
    <t>PROD-1483</t>
  </si>
  <si>
    <t>PROD-1484</t>
  </si>
  <si>
    <t>PROD-1485</t>
  </si>
  <si>
    <t>PROD-1486</t>
  </si>
  <si>
    <t>PROD-1487</t>
  </si>
  <si>
    <t>PROD-1488</t>
  </si>
  <si>
    <t>PROD-1489</t>
  </si>
  <si>
    <t>PROD-1490</t>
  </si>
  <si>
    <t>PROD-1491</t>
  </si>
  <si>
    <t>PROD-1492</t>
  </si>
  <si>
    <t>PROD-1493</t>
  </si>
  <si>
    <t>PROD-1494</t>
  </si>
  <si>
    <t>PROD-1495</t>
  </si>
  <si>
    <t>PROD-1496</t>
  </si>
  <si>
    <t>PROD-1497</t>
  </si>
  <si>
    <t>PROD-1498</t>
  </si>
  <si>
    <t>PROD-1499</t>
  </si>
  <si>
    <t>PROD-1500</t>
  </si>
  <si>
    <t>PROD-1501</t>
  </si>
  <si>
    <t>PROD-1502</t>
  </si>
  <si>
    <t>PROD-1503</t>
  </si>
  <si>
    <t>PROD-1504</t>
  </si>
  <si>
    <t>PROD-1505</t>
  </si>
  <si>
    <t>PROD-1506</t>
  </si>
  <si>
    <t>PROD-1507</t>
  </si>
  <si>
    <t>PROD-1508</t>
  </si>
  <si>
    <t>PROD-1509</t>
  </si>
  <si>
    <t>PROD-1510</t>
  </si>
  <si>
    <t>PROD-1511</t>
  </si>
  <si>
    <t>PROD-1512</t>
  </si>
  <si>
    <t>PROD-1513</t>
  </si>
  <si>
    <t>PROD-1514</t>
  </si>
  <si>
    <t>PROD-1515</t>
  </si>
  <si>
    <t>PROD-1516</t>
  </si>
  <si>
    <t>PROD-1517</t>
  </si>
  <si>
    <t>PROD-1518</t>
  </si>
  <si>
    <t>PROD-1519</t>
  </si>
  <si>
    <t>PROD-1520</t>
  </si>
  <si>
    <t>PROD-1521</t>
  </si>
  <si>
    <t>PROD-1522</t>
  </si>
  <si>
    <t>PROD-1523</t>
  </si>
  <si>
    <t>PROD-1524</t>
  </si>
  <si>
    <t>PROD-1525</t>
  </si>
  <si>
    <t>PROD-1526</t>
  </si>
  <si>
    <t>PROD-1527</t>
  </si>
  <si>
    <t>PROD-1528</t>
  </si>
  <si>
    <t>PROD-1529</t>
  </si>
  <si>
    <t>PROD-1530</t>
  </si>
  <si>
    <t>PROD-1531</t>
  </si>
  <si>
    <t>PROD-1532</t>
  </si>
  <si>
    <t>PROD-1533</t>
  </si>
  <si>
    <t>PROD-1534</t>
  </si>
  <si>
    <t>PROD-1535</t>
  </si>
  <si>
    <t>PROD-1536</t>
  </si>
  <si>
    <t>PROD-1537</t>
  </si>
  <si>
    <t>PROD-1538</t>
  </si>
  <si>
    <t>PROD-1539</t>
  </si>
  <si>
    <t>PROD-1540</t>
  </si>
  <si>
    <t>PROD-1541</t>
  </si>
  <si>
    <t>PROD-1542</t>
  </si>
  <si>
    <t>PROD-1543</t>
  </si>
  <si>
    <t>PROD-1544</t>
  </si>
  <si>
    <t>PROD-1545</t>
  </si>
  <si>
    <t>PROD-1546</t>
  </si>
  <si>
    <t>PROD-1547</t>
  </si>
  <si>
    <t>PROD-1548</t>
  </si>
  <si>
    <t>PROD-1549</t>
  </si>
  <si>
    <t>PROD-1550</t>
  </si>
  <si>
    <t>PROD-1551</t>
  </si>
  <si>
    <t>PROD-1552</t>
  </si>
  <si>
    <t>PROD-1553</t>
  </si>
  <si>
    <t>PROD-1554</t>
  </si>
  <si>
    <t>PROD-1555</t>
  </si>
  <si>
    <t>PROD-1556</t>
  </si>
  <si>
    <t>PROD-1557</t>
  </si>
  <si>
    <t>PROD-1558</t>
  </si>
  <si>
    <t>PROD-1559</t>
  </si>
  <si>
    <t>PROD-1560</t>
  </si>
  <si>
    <t>PROD-1561</t>
  </si>
  <si>
    <t>PROD-1562</t>
  </si>
  <si>
    <t>PROD-1563</t>
  </si>
  <si>
    <t>PROD-1564</t>
  </si>
  <si>
    <t>PROD-1565</t>
  </si>
  <si>
    <t>PROD-1566</t>
  </si>
  <si>
    <t>PROD-1567</t>
  </si>
  <si>
    <t>PROD-1568</t>
  </si>
  <si>
    <t>PROD-1569</t>
  </si>
  <si>
    <t>PROD-1570</t>
  </si>
  <si>
    <t>PROD-1571</t>
  </si>
  <si>
    <t>PROD-1572</t>
  </si>
  <si>
    <t>PROD-1573</t>
  </si>
  <si>
    <t>PROD-1574</t>
  </si>
  <si>
    <t>PROD-1575</t>
  </si>
  <si>
    <t>PROD-1576</t>
  </si>
  <si>
    <t>PROD-1577</t>
  </si>
  <si>
    <t>PROD-1578</t>
  </si>
  <si>
    <t>PROD-1579</t>
  </si>
  <si>
    <t>PROD-1580</t>
  </si>
  <si>
    <t>PROD-1581</t>
  </si>
  <si>
    <t>PROD-1582</t>
  </si>
  <si>
    <t>PROD-1583</t>
  </si>
  <si>
    <t>PROD-1584</t>
  </si>
  <si>
    <t>PROD-1585</t>
  </si>
  <si>
    <t>PROD-1586</t>
  </si>
  <si>
    <t>PROD-1587</t>
  </si>
  <si>
    <t>PROD-1588</t>
  </si>
  <si>
    <t>PROD-1589</t>
  </si>
  <si>
    <t>PROD-1590</t>
  </si>
  <si>
    <t>PROD-1591</t>
  </si>
  <si>
    <t>PROD-1592</t>
  </si>
  <si>
    <t>PROD-1593</t>
  </si>
  <si>
    <t>PROD-1594</t>
  </si>
  <si>
    <t>PROD-1595</t>
  </si>
  <si>
    <t>PROD-1596</t>
  </si>
  <si>
    <t>PROD-1597</t>
  </si>
  <si>
    <t>PROD-1598</t>
  </si>
  <si>
    <t>PROD-1599</t>
  </si>
  <si>
    <t>PROD-1600</t>
  </si>
  <si>
    <t>PROD-1601</t>
  </si>
  <si>
    <t>PROD-1602</t>
  </si>
  <si>
    <t>PROD-1603</t>
  </si>
  <si>
    <t>PROD-1604</t>
  </si>
  <si>
    <t>PROD-1605</t>
  </si>
  <si>
    <t>PROD-1606</t>
  </si>
  <si>
    <t>PROD-1607</t>
  </si>
  <si>
    <t>PROD-1608</t>
  </si>
  <si>
    <t>PROD-1609</t>
  </si>
  <si>
    <t>PROD-1610</t>
  </si>
  <si>
    <t>PROD-1611</t>
  </si>
  <si>
    <t>PROD-1612</t>
  </si>
  <si>
    <t>PROD-1613</t>
  </si>
  <si>
    <t>PROD-1614</t>
  </si>
  <si>
    <t>PROD-1615</t>
  </si>
  <si>
    <t>PROD-1616</t>
  </si>
  <si>
    <t>PROD-1617</t>
  </si>
  <si>
    <t>PROD-1618</t>
  </si>
  <si>
    <t>PROD-1619</t>
  </si>
  <si>
    <t>PROD-1620</t>
  </si>
  <si>
    <t>PROD-1621</t>
  </si>
  <si>
    <t>PROD-1622</t>
  </si>
  <si>
    <t>PROD-1623</t>
  </si>
  <si>
    <t>PROD-1624</t>
  </si>
  <si>
    <t>PROD-1625</t>
  </si>
  <si>
    <t>PROD-1626</t>
  </si>
  <si>
    <t>PROD-1627</t>
  </si>
  <si>
    <t>PROD-1628</t>
  </si>
  <si>
    <t>PROD-1629</t>
  </si>
  <si>
    <t>PROD-1630</t>
  </si>
  <si>
    <t>PROD-1631</t>
  </si>
  <si>
    <t>PROD-1632</t>
  </si>
  <si>
    <t>PROD-1633</t>
  </si>
  <si>
    <t>PROD-1634</t>
  </si>
  <si>
    <t>PROD-1635</t>
  </si>
  <si>
    <t>PROD-1636</t>
  </si>
  <si>
    <t>PROD-1637</t>
  </si>
  <si>
    <t>PROD-1638</t>
  </si>
  <si>
    <t>PROD-1639</t>
  </si>
  <si>
    <t>PROD-1640</t>
  </si>
  <si>
    <t>PROD-1641</t>
  </si>
  <si>
    <t>PROD-1642</t>
  </si>
  <si>
    <t>PROD-1643</t>
  </si>
  <si>
    <t>PROD-1644</t>
  </si>
  <si>
    <t>PROD-1645</t>
  </si>
  <si>
    <t>PROD-1646</t>
  </si>
  <si>
    <t>PROD-1647</t>
  </si>
  <si>
    <t>PROD-1648</t>
  </si>
  <si>
    <t>PROD-1649</t>
  </si>
  <si>
    <t>PROD-1650</t>
  </si>
  <si>
    <t>PROD-1651</t>
  </si>
  <si>
    <t>PROD-1652</t>
  </si>
  <si>
    <t>PROD-1653</t>
  </si>
  <si>
    <t>PROD-1654</t>
  </si>
  <si>
    <t>PROD-1655</t>
  </si>
  <si>
    <t>PROD-1656</t>
  </si>
  <si>
    <t>PROD-1657</t>
  </si>
  <si>
    <t>PROD-1658</t>
  </si>
  <si>
    <t>PROD-1659</t>
  </si>
  <si>
    <t>PROD-1660</t>
  </si>
  <si>
    <t>PROD-1661</t>
  </si>
  <si>
    <t>PROD-1662</t>
  </si>
  <si>
    <t>PROD-1663</t>
  </si>
  <si>
    <t>PROD-1664</t>
  </si>
  <si>
    <t>PROD-1665</t>
  </si>
  <si>
    <t>PROD-1666</t>
  </si>
  <si>
    <t>PROD-1667</t>
  </si>
  <si>
    <t>PROD-1668</t>
  </si>
  <si>
    <t>PROD-1669</t>
  </si>
  <si>
    <t>PROD-1670</t>
  </si>
  <si>
    <t>PROD-1671</t>
  </si>
  <si>
    <t>PROD-1672</t>
  </si>
  <si>
    <t>PROD-1673</t>
  </si>
  <si>
    <t>PROD-1674</t>
  </si>
  <si>
    <t>PROD-1675</t>
  </si>
  <si>
    <t>PROD-1676</t>
  </si>
  <si>
    <t>PROD-1677</t>
  </si>
  <si>
    <t>PROD-1678</t>
  </si>
  <si>
    <t>PROD-1679</t>
  </si>
  <si>
    <t>PROD-1680</t>
  </si>
  <si>
    <t>PROD-1681</t>
  </si>
  <si>
    <t>PROD-1682</t>
  </si>
  <si>
    <t>PROD-1683</t>
  </si>
  <si>
    <t>PROD-1684</t>
  </si>
  <si>
    <t>PROD-1685</t>
  </si>
  <si>
    <t>PROD-1686</t>
  </si>
  <si>
    <t>PROD-1687</t>
  </si>
  <si>
    <t>PROD-1688</t>
  </si>
  <si>
    <t>PROD-1689</t>
  </si>
  <si>
    <t>PROD-1690</t>
  </si>
  <si>
    <t>PROD-1691</t>
  </si>
  <si>
    <t>PROD-1692</t>
  </si>
  <si>
    <t>PROD-1693</t>
  </si>
  <si>
    <t>PROD-1694</t>
  </si>
  <si>
    <t>PROD-1695</t>
  </si>
  <si>
    <t>PROD-1696</t>
  </si>
  <si>
    <t>PROD-1697</t>
  </si>
  <si>
    <t>PROD-1698</t>
  </si>
  <si>
    <t>PROD-1699</t>
  </si>
  <si>
    <t>PROD-1700</t>
  </si>
  <si>
    <t>PROD-1701</t>
  </si>
  <si>
    <t>PROD-1702</t>
  </si>
  <si>
    <t>PROD-1703</t>
  </si>
  <si>
    <t>PROD-1704</t>
  </si>
  <si>
    <t>PROD-1705</t>
  </si>
  <si>
    <t>PROD-1706</t>
  </si>
  <si>
    <t>PROD-1707</t>
  </si>
  <si>
    <t>PROD-1708</t>
  </si>
  <si>
    <t>PROD-1709</t>
  </si>
  <si>
    <t>PROD-1710</t>
  </si>
  <si>
    <t>PROD-1711</t>
  </si>
  <si>
    <t>PROD-1712</t>
  </si>
  <si>
    <t>PROD-1713</t>
  </si>
  <si>
    <t>PROD-1714</t>
  </si>
  <si>
    <t>PROD-1715</t>
  </si>
  <si>
    <t>PROD-1716</t>
  </si>
  <si>
    <t>PROD-1717</t>
  </si>
  <si>
    <t>PROD-1718</t>
  </si>
  <si>
    <t>PROD-1719</t>
  </si>
  <si>
    <t>PROD-1720</t>
  </si>
  <si>
    <t>PROD-1721</t>
  </si>
  <si>
    <t>PROD-1722</t>
  </si>
  <si>
    <t>PROD-1723</t>
  </si>
  <si>
    <t>PROD-1724</t>
  </si>
  <si>
    <t>PROD-1725</t>
  </si>
  <si>
    <t>PROD-1726</t>
  </si>
  <si>
    <t>PROD-1727</t>
  </si>
  <si>
    <t>PROD-1728</t>
  </si>
  <si>
    <t>PROD-1729</t>
  </si>
  <si>
    <t>PROD-1730</t>
  </si>
  <si>
    <t>PROD-1731</t>
  </si>
  <si>
    <t>PROD-1732</t>
  </si>
  <si>
    <t>PROD-1733</t>
  </si>
  <si>
    <t>PROD-1734</t>
  </si>
  <si>
    <t>PROD-1735</t>
  </si>
  <si>
    <t>PROD-1736</t>
  </si>
  <si>
    <t>PROD-1737</t>
  </si>
  <si>
    <t>PROD-1738</t>
  </si>
  <si>
    <t>PROD-1739</t>
  </si>
  <si>
    <t>PROD-1740</t>
  </si>
  <si>
    <t>PROD-1741</t>
  </si>
  <si>
    <t>PROD-1742</t>
  </si>
  <si>
    <t>PROD-1743</t>
  </si>
  <si>
    <t>PROD-1744</t>
  </si>
  <si>
    <t>PROD-1745</t>
  </si>
  <si>
    <t>PROD-1746</t>
  </si>
  <si>
    <t>PROD-1747</t>
  </si>
  <si>
    <t>PROD-1748</t>
  </si>
  <si>
    <t>PROD-1749</t>
  </si>
  <si>
    <t>PROD-1750</t>
  </si>
  <si>
    <t>PROD-1751</t>
  </si>
  <si>
    <t>PROD-1752</t>
  </si>
  <si>
    <t>PROD-1753</t>
  </si>
  <si>
    <t>PROD-1754</t>
  </si>
  <si>
    <t>PROD-1755</t>
  </si>
  <si>
    <t>PROD-1756</t>
  </si>
  <si>
    <t>PROD-1757</t>
  </si>
  <si>
    <t>PROD-1758</t>
  </si>
  <si>
    <t>PROD-1759</t>
  </si>
  <si>
    <t>PROD-1760</t>
  </si>
  <si>
    <t>PROD-1761</t>
  </si>
  <si>
    <t>PROD-1762</t>
  </si>
  <si>
    <t>PROD-1763</t>
  </si>
  <si>
    <t>PROD-1764</t>
  </si>
  <si>
    <t>PROD-1765</t>
  </si>
  <si>
    <t>PROD-1766</t>
  </si>
  <si>
    <t>PROD-1767</t>
  </si>
  <si>
    <t>PROD-1768</t>
  </si>
  <si>
    <t>PROD-1769</t>
  </si>
  <si>
    <t>PROD-1770</t>
  </si>
  <si>
    <t>PROD-1771</t>
  </si>
  <si>
    <t>PROD-1772</t>
  </si>
  <si>
    <t>PROD-1773</t>
  </si>
  <si>
    <t>PROD-1774</t>
  </si>
  <si>
    <t>PROD-1775</t>
  </si>
  <si>
    <t>PROD-1776</t>
  </si>
  <si>
    <t>PROD-1777</t>
  </si>
  <si>
    <t>PROD-1778</t>
  </si>
  <si>
    <t>PROD-1779</t>
  </si>
  <si>
    <t>PROD-1780</t>
  </si>
  <si>
    <t>PROD-1781</t>
  </si>
  <si>
    <t>PROD-1782</t>
  </si>
  <si>
    <t>PROD-1783</t>
  </si>
  <si>
    <t>PROD-1784</t>
  </si>
  <si>
    <t>PROD-1785</t>
  </si>
  <si>
    <t>PROD-1786</t>
  </si>
  <si>
    <t>PROD-1787</t>
  </si>
  <si>
    <t>PROD-1788</t>
  </si>
  <si>
    <t>PROD-1789</t>
  </si>
  <si>
    <t>PROD-1790</t>
  </si>
  <si>
    <t>PROD-1791</t>
  </si>
  <si>
    <t>PROD-1792</t>
  </si>
  <si>
    <t>PROD-1793</t>
  </si>
  <si>
    <t>PROD-1794</t>
  </si>
  <si>
    <t>PROD-1795</t>
  </si>
  <si>
    <t>PROD-1796</t>
  </si>
  <si>
    <t>PROD-1797</t>
  </si>
  <si>
    <t>PROD-1798</t>
  </si>
  <si>
    <t>PROD-1799</t>
  </si>
  <si>
    <t>PROD-1800</t>
  </si>
  <si>
    <t>PROD-1801</t>
  </si>
  <si>
    <t>PROD-1802</t>
  </si>
  <si>
    <t>PROD-1803</t>
  </si>
  <si>
    <t>PROD-1804</t>
  </si>
  <si>
    <t>PROD-1805</t>
  </si>
  <si>
    <t>PROD-1806</t>
  </si>
  <si>
    <t>PROD-1807</t>
  </si>
  <si>
    <t>PROD-1808</t>
  </si>
  <si>
    <t>PROD-1809</t>
  </si>
  <si>
    <t>PROD-1810</t>
  </si>
  <si>
    <t>PROD-1811</t>
  </si>
  <si>
    <t>PROD-1812</t>
  </si>
  <si>
    <t>PROD-1813</t>
  </si>
  <si>
    <t>PROD-1814</t>
  </si>
  <si>
    <t>PROD-1815</t>
  </si>
  <si>
    <t>PROD-1816</t>
  </si>
  <si>
    <t>PROD-1817</t>
  </si>
  <si>
    <t>PROD-1818</t>
  </si>
  <si>
    <t>PROD-1819</t>
  </si>
  <si>
    <t>PROD-1820</t>
  </si>
  <si>
    <t>PROD-1821</t>
  </si>
  <si>
    <t>PROD-1822</t>
  </si>
  <si>
    <t>PROD-1823</t>
  </si>
  <si>
    <t>PROD-1824</t>
  </si>
  <si>
    <t>PROD-1825</t>
  </si>
  <si>
    <t>PROD-1826</t>
  </si>
  <si>
    <t>PROD-1827</t>
  </si>
  <si>
    <t>PROD-1828</t>
  </si>
  <si>
    <t>PROD-1829</t>
  </si>
  <si>
    <t>PROD-1830</t>
  </si>
  <si>
    <t>PROD-1831</t>
  </si>
  <si>
    <t>PROD-1832</t>
  </si>
  <si>
    <t>PROD-1833</t>
  </si>
  <si>
    <t>PROD-1834</t>
  </si>
  <si>
    <t>PROD-1835</t>
  </si>
  <si>
    <t>PROD-1836</t>
  </si>
  <si>
    <t>PROD-1837</t>
  </si>
  <si>
    <t>PROD-1838</t>
  </si>
  <si>
    <t>PROD-1839</t>
  </si>
  <si>
    <t>PROD-1840</t>
  </si>
  <si>
    <t>PROD-1841</t>
  </si>
  <si>
    <t>PROD-1842</t>
  </si>
  <si>
    <t>PROD-1843</t>
  </si>
  <si>
    <t>PROD-1844</t>
  </si>
  <si>
    <t>PROD-1845</t>
  </si>
  <si>
    <t>PROD-1846</t>
  </si>
  <si>
    <t>PROD-1847</t>
  </si>
  <si>
    <t>PROD-1848</t>
  </si>
  <si>
    <t>PROD-1849</t>
  </si>
  <si>
    <t>PROD-1850</t>
  </si>
  <si>
    <t>PROD-1851</t>
  </si>
  <si>
    <t>PROD-1852</t>
  </si>
  <si>
    <t>PROD-1853</t>
  </si>
  <si>
    <t>PROD-1854</t>
  </si>
  <si>
    <t>PROD-1855</t>
  </si>
  <si>
    <t>PROD-1856</t>
  </si>
  <si>
    <t>PROD-1857</t>
  </si>
  <si>
    <t>PROD-1858</t>
  </si>
  <si>
    <t>PROD-1859</t>
  </si>
  <si>
    <t>PROD-1860</t>
  </si>
  <si>
    <t>PROD-1861</t>
  </si>
  <si>
    <t>PROD-1862</t>
  </si>
  <si>
    <t>PROD-1863</t>
  </si>
  <si>
    <t>PROD-1864</t>
  </si>
  <si>
    <t>PROD-1865</t>
  </si>
  <si>
    <t>PROD-1866</t>
  </si>
  <si>
    <t>PROD-1867</t>
  </si>
  <si>
    <t>PROD-1868</t>
  </si>
  <si>
    <t>PROD-1869</t>
  </si>
  <si>
    <t>PROD-1870</t>
  </si>
  <si>
    <t>PROD-1871</t>
  </si>
  <si>
    <t>PROD-1872</t>
  </si>
  <si>
    <t>PROD-1873</t>
  </si>
  <si>
    <t>PROD-1874</t>
  </si>
  <si>
    <t>PROD-1875</t>
  </si>
  <si>
    <t>PROD-1876</t>
  </si>
  <si>
    <t>PROD-1877</t>
  </si>
  <si>
    <t>PROD-1878</t>
  </si>
  <si>
    <t>PROD-1879</t>
  </si>
  <si>
    <t>PROD-1880</t>
  </si>
  <si>
    <t>PROD-1881</t>
  </si>
  <si>
    <t>PROD-1882</t>
  </si>
  <si>
    <t>PROD-1883</t>
  </si>
  <si>
    <t>PROD-1884</t>
  </si>
  <si>
    <t>PROD-1885</t>
  </si>
  <si>
    <t>PROD-1886</t>
  </si>
  <si>
    <t>PROD-1887</t>
  </si>
  <si>
    <t>PROD-1888</t>
  </si>
  <si>
    <t>PROD-1889</t>
  </si>
  <si>
    <t>PROD-1890</t>
  </si>
  <si>
    <t>PROD-1891</t>
  </si>
  <si>
    <t>PROD-1892</t>
  </si>
  <si>
    <t>PROD-1893</t>
  </si>
  <si>
    <t>PROD-1894</t>
  </si>
  <si>
    <t>PROD-1895</t>
  </si>
  <si>
    <t>PROD-1896</t>
  </si>
  <si>
    <t>PROD-1897</t>
  </si>
  <si>
    <t>PROD-1898</t>
  </si>
  <si>
    <t>PROD-1899</t>
  </si>
  <si>
    <t>PROD-1900</t>
  </si>
  <si>
    <t>PROD-1901</t>
  </si>
  <si>
    <t>PROD-1902</t>
  </si>
  <si>
    <t>PROD-1903</t>
  </si>
  <si>
    <t>PROD-1904</t>
  </si>
  <si>
    <t>PROD-1905</t>
  </si>
  <si>
    <t>PROD-1906</t>
  </si>
  <si>
    <t>PROD-1907</t>
  </si>
  <si>
    <t>PROD-1908</t>
  </si>
  <si>
    <t>PROD-1909</t>
  </si>
  <si>
    <t>PROD-1910</t>
  </si>
  <si>
    <t>PROD-1911</t>
  </si>
  <si>
    <t>PROD-1912</t>
  </si>
  <si>
    <t>PROD-1913</t>
  </si>
  <si>
    <t>PROD-1914</t>
  </si>
  <si>
    <t>PROD-1915</t>
  </si>
  <si>
    <t>PROD-1916</t>
  </si>
  <si>
    <t>PROD-1917</t>
  </si>
  <si>
    <t>PROD-1918</t>
  </si>
  <si>
    <t>PROD-1919</t>
  </si>
  <si>
    <t>PROD-1920</t>
  </si>
  <si>
    <t>PROD-1921</t>
  </si>
  <si>
    <t>PROD-1922</t>
  </si>
  <si>
    <t>PROD-1923</t>
  </si>
  <si>
    <t>PROD-1924</t>
  </si>
  <si>
    <t>PROD-1925</t>
  </si>
  <si>
    <t>PROD-1926</t>
  </si>
  <si>
    <t>PROD-1927</t>
  </si>
  <si>
    <t>PROD-1928</t>
  </si>
  <si>
    <t>PROD-1929</t>
  </si>
  <si>
    <t>PROD-1930</t>
  </si>
  <si>
    <t>PROD-1931</t>
  </si>
  <si>
    <t>PROD-1932</t>
  </si>
  <si>
    <t>PROD-1933</t>
  </si>
  <si>
    <t>PROD-1934</t>
  </si>
  <si>
    <t>PROD-1935</t>
  </si>
  <si>
    <t>PROD-1936</t>
  </si>
  <si>
    <t>PROD-1937</t>
  </si>
  <si>
    <t>PROD-1938</t>
  </si>
  <si>
    <t>PROD-1939</t>
  </si>
  <si>
    <t>PROD-1940</t>
  </si>
  <si>
    <t>PROD-1941</t>
  </si>
  <si>
    <t>PROD-1942</t>
  </si>
  <si>
    <t>PROD-1943</t>
  </si>
  <si>
    <t>PROD-1944</t>
  </si>
  <si>
    <t>PROD-1945</t>
  </si>
  <si>
    <t>PROD-1946</t>
  </si>
  <si>
    <t>PROD-1947</t>
  </si>
  <si>
    <t>PROD-1948</t>
  </si>
  <si>
    <t>PROD-1949</t>
  </si>
  <si>
    <t>PROD-1950</t>
  </si>
  <si>
    <t>PROD-1951</t>
  </si>
  <si>
    <t>PROD-1952</t>
  </si>
  <si>
    <t>PROD-1953</t>
  </si>
  <si>
    <t>PROD-1954</t>
  </si>
  <si>
    <t>PROD-1955</t>
  </si>
  <si>
    <t>PROD-1956</t>
  </si>
  <si>
    <t>PROD-1957</t>
  </si>
  <si>
    <t>PROD-1958</t>
  </si>
  <si>
    <t>PROD-1959</t>
  </si>
  <si>
    <t>PROD-1960</t>
  </si>
  <si>
    <t>PROD-1961</t>
  </si>
  <si>
    <t>PROD-1962</t>
  </si>
  <si>
    <t>PROD-1963</t>
  </si>
  <si>
    <t>PROD-1964</t>
  </si>
  <si>
    <t>PROD-1965</t>
  </si>
  <si>
    <t>PROD-1966</t>
  </si>
  <si>
    <t>PROD-1967</t>
  </si>
  <si>
    <t>PROD-1968</t>
  </si>
  <si>
    <t>PROD-1969</t>
  </si>
  <si>
    <t>PROD-1970</t>
  </si>
  <si>
    <t>PROD-1971</t>
  </si>
  <si>
    <t>PROD-1972</t>
  </si>
  <si>
    <t>PROD-1973</t>
  </si>
  <si>
    <t>PROD-1974</t>
  </si>
  <si>
    <t>PROD-1975</t>
  </si>
  <si>
    <t>PROD-1976</t>
  </si>
  <si>
    <t>PROD-1977</t>
  </si>
  <si>
    <t>PROD-1978</t>
  </si>
  <si>
    <t>PROD-1979</t>
  </si>
  <si>
    <t>PROD-1980</t>
  </si>
  <si>
    <t>PROD-1981</t>
  </si>
  <si>
    <t>PROD-1982</t>
  </si>
  <si>
    <t>PROD-1983</t>
  </si>
  <si>
    <t>PROD-1984</t>
  </si>
  <si>
    <t>PROD-1985</t>
  </si>
  <si>
    <t>PROD-1986</t>
  </si>
  <si>
    <t>PROD-1987</t>
  </si>
  <si>
    <t>PROD-1988</t>
  </si>
  <si>
    <t>PROD-1989</t>
  </si>
  <si>
    <t>PROD-1990</t>
  </si>
  <si>
    <t>PROD-1991</t>
  </si>
  <si>
    <t>PROD-1992</t>
  </si>
  <si>
    <t>PROD-1993</t>
  </si>
  <si>
    <t>PROD-1994</t>
  </si>
  <si>
    <t>PROD-1995</t>
  </si>
  <si>
    <t>PROD-1996</t>
  </si>
  <si>
    <t>PROD-1997</t>
  </si>
  <si>
    <t>PROD-1998</t>
  </si>
  <si>
    <t>PROD-1999</t>
  </si>
  <si>
    <t>PROD-2000</t>
  </si>
  <si>
    <t>Revenue</t>
  </si>
  <si>
    <t>Margins</t>
  </si>
  <si>
    <t>Days in stocks</t>
  </si>
  <si>
    <t>Row Labels</t>
  </si>
  <si>
    <t>Sum of Revenue</t>
  </si>
  <si>
    <t>Grand Total</t>
  </si>
  <si>
    <t>Sum of Margins</t>
  </si>
  <si>
    <t>Column Labels</t>
  </si>
  <si>
    <t>Profit%</t>
  </si>
  <si>
    <t>Sum of Stock-Quantity</t>
  </si>
  <si>
    <t>Average of Days in stocks</t>
  </si>
  <si>
    <t>Revenue Distribution</t>
  </si>
  <si>
    <t>(blank)</t>
  </si>
  <si>
    <t>=</t>
  </si>
  <si>
    <t>Total</t>
  </si>
  <si>
    <t>Average of Profit%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</si>
</sst>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0" fontId="14" fillId="33" borderId="0" xfId="0" applyFont="1" applyFill="1"/>
    <xf numFmtId="0" fontId="0" fillId="33" borderId="0" xfId="0" applyFill="1"/>
    <xf numFmtId="164" fontId="0" fillId="33" borderId="0" xfId="0" applyNumberFormat="1" applyFill="1"/>
    <xf numFmtId="164" fontId="18" fillId="33" borderId="0" xfId="0" applyNumberFormat="1" applyFont="1" applyFill="1" applyAlignment="1">
      <alignment horizontal="center" vertical="center"/>
    </xf>
    <xf numFmtId="0" fontId="19" fillId="33" borderId="0" xfId="0" applyFont="1" applyFill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color rgb="FF00B050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Down">
          <fgColor rgb="FFFF0000"/>
          <bgColor theme="5" tint="0.39994506668294322"/>
        </patternFill>
      </fill>
    </dxf>
    <dxf>
      <numFmt numFmtId="14" formatCode="0.00%"/>
    </dxf>
    <dxf>
      <numFmt numFmtId="14" formatCode="0.00%"/>
    </dxf>
    <dxf>
      <numFmt numFmtId="0" formatCode="General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  <dxf>
      <numFmt numFmtId="1" formatCode="0"/>
    </dxf>
    <dxf>
      <font>
        <color theme="4" tint="0.39994506668294322"/>
      </font>
    </dxf>
  </dxfs>
  <tableStyles count="1" defaultTableStyle="TableStyleMedium2" defaultPivotStyle="PivotStyleLight16">
    <tableStyle name="Slicer Style 1" pivot="0" table="0" count="1" xr9:uid="{C931C704-F3E4-479F-B72F-AA807960763B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[INVENTORY MANAGEMENT PROJECT1.xlsx]Analysis2!PivotTable2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Analysis2!$B$4:$B$9</c:f>
              <c:numCache>
                <c:formatCode>_ [$₹-4009]\ * #,##0.00_ ;_ [$₹-4009]\ * \-#,##0.00_ ;_ [$₹-4009]\ * "-"??_ ;_ @_ </c:formatCode>
                <c:ptCount val="5"/>
                <c:pt idx="0">
                  <c:v>13470751.269999994</c:v>
                </c:pt>
                <c:pt idx="1">
                  <c:v>12177575.010000005</c:v>
                </c:pt>
                <c:pt idx="2">
                  <c:v>13351580.65</c:v>
                </c:pt>
                <c:pt idx="3">
                  <c:v>13930776.319999998</c:v>
                </c:pt>
                <c:pt idx="4">
                  <c:v>12933261.609999996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B-46E1-8949-BF890E5E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2771440"/>
        <c:axId val="62772400"/>
      </c:barChart>
      <c:catAx>
        <c:axId val="6277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72400"/>
        <c:crosses val="autoZero"/>
        <c:auto val="1"/>
        <c:lblAlgn val="ctr"/>
        <c:lblOffset val="100"/>
        <c:noMultiLvlLbl val="0"/>
      </c:catAx>
      <c:valAx>
        <c:axId val="627724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crossAx val="6277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PROJECT1.xlsx]Analysis!PivotTable10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Supplier Distribution</a:t>
            </a:r>
          </a:p>
        </c:rich>
      </c:tx>
      <c:layout>
        <c:manualLayout>
          <c:xMode val="edge"/>
          <c:yMode val="edge"/>
          <c:x val="0.30166649176470894"/>
          <c:y val="3.74999999999999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Analysis!$J$12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DB-4D76-B168-FB78BE6791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DB-4D76-B168-FB78BE67915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DB-4D76-B168-FB78BE67915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DB-4D76-B168-FB78BE67915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DB-4D76-B168-FB78BE679153}"/>
              </c:ext>
            </c:extLst>
          </c:dPt>
          <c:cat>
            <c:strRef>
              <c:f>Analysis!$I$13:$I$18</c:f>
              <c:strCache>
                <c:ptCount val="5"/>
                <c:pt idx="0">
                  <c:v>Fresh Mart Logistics</c:v>
                </c:pt>
                <c:pt idx="1">
                  <c:v>Sunrise Industries</c:v>
                </c:pt>
                <c:pt idx="2">
                  <c:v>Modern Home Supplies</c:v>
                </c:pt>
                <c:pt idx="3">
                  <c:v>Elite Paper Co</c:v>
                </c:pt>
                <c:pt idx="4">
                  <c:v>Global Tech Corp</c:v>
                </c:pt>
              </c:strCache>
            </c:strRef>
          </c:cat>
          <c:val>
            <c:numRef>
              <c:f>Analysis!$J$13:$J$18</c:f>
              <c:numCache>
                <c:formatCode>_ [$₹-4009]\ * #,##0.00_ ;_ [$₹-4009]\ * \-#,##0.00_ ;_ [$₹-4009]\ * "-"??_ ;_ @_ </c:formatCode>
                <c:ptCount val="5"/>
                <c:pt idx="0">
                  <c:v>15053106.210000003</c:v>
                </c:pt>
                <c:pt idx="1">
                  <c:v>14616926.959999999</c:v>
                </c:pt>
                <c:pt idx="2">
                  <c:v>12157667.029999996</c:v>
                </c:pt>
                <c:pt idx="3">
                  <c:v>12062295.009999998</c:v>
                </c:pt>
                <c:pt idx="4">
                  <c:v>11973949.649999999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DB-4D76-B168-FB78BE679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PROJECT1.xlsx]Analysis!PivotTable9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Days in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Analysis!$B$12:$B$13</c:f>
              <c:strCache>
                <c:ptCount val="1"/>
                <c:pt idx="0">
                  <c:v>Elite Paper Co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Analysis!$A$14:$A$19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Analysis!$B$14:$B$19</c:f>
              <c:numCache>
                <c:formatCode>0</c:formatCode>
                <c:ptCount val="5"/>
                <c:pt idx="0">
                  <c:v>17.486486486486488</c:v>
                </c:pt>
                <c:pt idx="1">
                  <c:v>16.55</c:v>
                </c:pt>
                <c:pt idx="2">
                  <c:v>15.757575757575758</c:v>
                </c:pt>
                <c:pt idx="3">
                  <c:v>16.833333333333332</c:v>
                </c:pt>
                <c:pt idx="4">
                  <c:v>15.111111111111111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0-4C74-A2E1-9C3642E48BF0}"/>
            </c:ext>
          </c:extLst>
        </c:ser>
        <c:ser>
          <c:idx val="1"/>
          <c:order val="1"/>
          <c:tx>
            <c:strRef>
              <c:f>Analysis!$C$12:$C$13</c:f>
              <c:strCache>
                <c:ptCount val="1"/>
                <c:pt idx="0">
                  <c:v>Fresh Mart Logistics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Analysis!$A$14:$A$19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Analysis!$C$14:$C$19</c:f>
              <c:numCache>
                <c:formatCode>0</c:formatCode>
                <c:ptCount val="5"/>
                <c:pt idx="0">
                  <c:v>15.325581395348838</c:v>
                </c:pt>
                <c:pt idx="1">
                  <c:v>15.941176470588236</c:v>
                </c:pt>
                <c:pt idx="2">
                  <c:v>14.372093023255815</c:v>
                </c:pt>
                <c:pt idx="3">
                  <c:v>13.902439024390244</c:v>
                </c:pt>
                <c:pt idx="4">
                  <c:v>13.695652173913043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0-4C74-A2E1-9C3642E48BF0}"/>
            </c:ext>
          </c:extLst>
        </c:ser>
        <c:ser>
          <c:idx val="2"/>
          <c:order val="2"/>
          <c:tx>
            <c:strRef>
              <c:f>Analysis!$D$12:$D$13</c:f>
              <c:strCache>
                <c:ptCount val="1"/>
                <c:pt idx="0">
                  <c:v>Global Tech Corp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Analysis!$A$14:$A$19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Analysis!$D$14:$D$19</c:f>
              <c:numCache>
                <c:formatCode>0</c:formatCode>
                <c:ptCount val="5"/>
                <c:pt idx="0">
                  <c:v>17.162162162162161</c:v>
                </c:pt>
                <c:pt idx="1">
                  <c:v>12.142857142857142</c:v>
                </c:pt>
                <c:pt idx="2">
                  <c:v>17.62857142857143</c:v>
                </c:pt>
                <c:pt idx="3">
                  <c:v>14.738095238095237</c:v>
                </c:pt>
                <c:pt idx="4">
                  <c:v>15.26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40-4C74-A2E1-9C3642E48BF0}"/>
            </c:ext>
          </c:extLst>
        </c:ser>
        <c:ser>
          <c:idx val="3"/>
          <c:order val="3"/>
          <c:tx>
            <c:strRef>
              <c:f>Analysis!$E$12:$E$13</c:f>
              <c:strCache>
                <c:ptCount val="1"/>
                <c:pt idx="0">
                  <c:v>Modern Home Supplies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Analysis!$A$14:$A$19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Analysis!$E$14:$E$19</c:f>
              <c:numCache>
                <c:formatCode>0</c:formatCode>
                <c:ptCount val="5"/>
                <c:pt idx="0">
                  <c:v>15.225</c:v>
                </c:pt>
                <c:pt idx="1">
                  <c:v>14.382978723404255</c:v>
                </c:pt>
                <c:pt idx="2">
                  <c:v>14.114285714285714</c:v>
                </c:pt>
                <c:pt idx="3">
                  <c:v>14.871794871794872</c:v>
                </c:pt>
                <c:pt idx="4">
                  <c:v>14.857142857142858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40-4C74-A2E1-9C3642E48BF0}"/>
            </c:ext>
          </c:extLst>
        </c:ser>
        <c:ser>
          <c:idx val="4"/>
          <c:order val="4"/>
          <c:tx>
            <c:strRef>
              <c:f>Analysis!$F$12:$F$13</c:f>
              <c:strCache>
                <c:ptCount val="1"/>
                <c:pt idx="0">
                  <c:v>Sunrise Industries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Analysis!$A$14:$A$19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Stationery</c:v>
                </c:pt>
              </c:strCache>
            </c:strRef>
          </c:cat>
          <c:val>
            <c:numRef>
              <c:f>Analysis!$F$14:$F$19</c:f>
              <c:numCache>
                <c:formatCode>0</c:formatCode>
                <c:ptCount val="5"/>
                <c:pt idx="0">
                  <c:v>15.918918918918919</c:v>
                </c:pt>
                <c:pt idx="1">
                  <c:v>15.595238095238095</c:v>
                </c:pt>
                <c:pt idx="2">
                  <c:v>14.886792452830189</c:v>
                </c:pt>
                <c:pt idx="3">
                  <c:v>13.044444444444444</c:v>
                </c:pt>
                <c:pt idx="4">
                  <c:v>17.824999999999999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40-4C74-A2E1-9C3642E48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070208"/>
        <c:axId val="2094087008"/>
      </c:lineChart>
      <c:catAx>
        <c:axId val="209407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87008"/>
        <c:crosses val="autoZero"/>
        <c:auto val="1"/>
        <c:lblAlgn val="ctr"/>
        <c:lblOffset val="100"/>
        <c:noMultiLvlLbl val="0"/>
      </c:catAx>
      <c:valAx>
        <c:axId val="20940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07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50000"/>
        <a:lumOff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PROJECT1.xlsx]Analysis!PivotTable6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Top Products</a:t>
            </a:r>
          </a:p>
        </c:rich>
      </c:tx>
      <c:layout>
        <c:manualLayout>
          <c:xMode val="edge"/>
          <c:yMode val="edge"/>
          <c:x val="0.21799019607843137"/>
          <c:y val="0.1388888888888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4169491525423729"/>
                  <c:h val="0.20109082421744262"/>
                </c:manualLayout>
              </c15:layout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474576271186439"/>
                  <c:h val="0.20109082421744262"/>
                </c:manualLayout>
              </c15:layout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2474576271186439"/>
                  <c:h val="0.2010908242174426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3921568627450983E-2"/>
          <c:y val="0.40833333333333333"/>
          <c:w val="0.89215686274509809"/>
          <c:h val="0.48463764946048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169491525423729"/>
                      <c:h val="0.201090824217442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01D-4974-8AF9-2CF7844D14E4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474576271186439"/>
                      <c:h val="0.201090824217442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01D-4974-8AF9-2CF7844D14E4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474576271186439"/>
                      <c:h val="0.201090824217442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01D-4974-8AF9-2CF7844D14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Analysis!$A$5:$A$8</c:f>
              <c:strCache>
                <c:ptCount val="3"/>
                <c:pt idx="0">
                  <c:v>Desk Lamp</c:v>
                </c:pt>
                <c:pt idx="1">
                  <c:v>Coffee Beans</c:v>
                </c:pt>
                <c:pt idx="2">
                  <c:v>Hoodie</c:v>
                </c:pt>
              </c:strCache>
            </c:strRef>
          </c:cat>
          <c:val>
            <c:numRef>
              <c:f>Analysis!$B$5:$B$8</c:f>
              <c:numCache>
                <c:formatCode>_ [$₹-4009]\ * #,##0.00_ ;_ [$₹-4009]\ * \-#,##0.00_ ;_ [$₹-4009]\ * "-"??_ ;_ @_ </c:formatCode>
                <c:ptCount val="3"/>
                <c:pt idx="0">
                  <c:v>4288405.9899999993</c:v>
                </c:pt>
                <c:pt idx="1">
                  <c:v>3729828.4499999997</c:v>
                </c:pt>
                <c:pt idx="2">
                  <c:v>3685193.76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8-41FD-9871-C0D90F37C8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97306400"/>
        <c:axId val="297308800"/>
      </c:barChart>
      <c:catAx>
        <c:axId val="2973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308800"/>
        <c:crosses val="autoZero"/>
        <c:auto val="1"/>
        <c:lblAlgn val="ctr"/>
        <c:lblOffset val="100"/>
        <c:noMultiLvlLbl val="0"/>
      </c:catAx>
      <c:valAx>
        <c:axId val="297308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crossAx val="2973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0</xdr:row>
      <xdr:rowOff>129540</xdr:rowOff>
    </xdr:from>
    <xdr:to>
      <xdr:col>10</xdr:col>
      <xdr:colOff>579120</xdr:colOff>
      <xdr:row>4</xdr:row>
      <xdr:rowOff>167640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6C51E64-1832-CD7D-C54C-5E71E9CD7B30}"/>
            </a:ext>
          </a:extLst>
        </xdr:cNvPr>
        <xdr:cNvSpPr/>
      </xdr:nvSpPr>
      <xdr:spPr>
        <a:xfrm>
          <a:off x="464820" y="129540"/>
          <a:ext cx="6210300" cy="76962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>
              <a:latin typeface="Arial" panose="020B0604020202020204" pitchFamily="34" charset="0"/>
              <a:cs typeface="Arial" panose="020B0604020202020204" pitchFamily="34" charset="0"/>
            </a:rPr>
            <a:t>Retail</a:t>
          </a:r>
          <a:r>
            <a:rPr lang="en-IN" sz="2800" baseline="0">
              <a:latin typeface="Arial" panose="020B0604020202020204" pitchFamily="34" charset="0"/>
              <a:cs typeface="Arial" panose="020B0604020202020204" pitchFamily="34" charset="0"/>
            </a:rPr>
            <a:t> Sales &amp; Inventory Dashboard</a:t>
          </a:r>
          <a:endParaRPr lang="en-IN" sz="2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45720</xdr:colOff>
      <xdr:row>0</xdr:row>
      <xdr:rowOff>53340</xdr:rowOff>
    </xdr:from>
    <xdr:to>
      <xdr:col>17</xdr:col>
      <xdr:colOff>601980</xdr:colOff>
      <xdr:row>4</xdr:row>
      <xdr:rowOff>83820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AF58425-E643-4A01-BDAC-A95D9070DCAE}"/>
            </a:ext>
          </a:extLst>
        </xdr:cNvPr>
        <xdr:cNvSpPr/>
      </xdr:nvSpPr>
      <xdr:spPr>
        <a:xfrm>
          <a:off x="9578340" y="53340"/>
          <a:ext cx="2385060" cy="7620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400"/>
        </a:p>
      </xdr:txBody>
    </xdr:sp>
    <xdr:clientData/>
  </xdr:twoCellAnchor>
  <xdr:twoCellAnchor>
    <xdr:from>
      <xdr:col>18</xdr:col>
      <xdr:colOff>30480</xdr:colOff>
      <xdr:row>0</xdr:row>
      <xdr:rowOff>53340</xdr:rowOff>
    </xdr:from>
    <xdr:to>
      <xdr:col>21</xdr:col>
      <xdr:colOff>586740</xdr:colOff>
      <xdr:row>4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070DEBE-30D8-4DD4-989D-F0916AE55D2D}"/>
            </a:ext>
          </a:extLst>
        </xdr:cNvPr>
        <xdr:cNvSpPr/>
      </xdr:nvSpPr>
      <xdr:spPr>
        <a:xfrm>
          <a:off x="12001500" y="53340"/>
          <a:ext cx="2385060" cy="75438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twoCellAnchor>
  <xdr:oneCellAnchor>
    <xdr:from>
      <xdr:col>10</xdr:col>
      <xdr:colOff>45720</xdr:colOff>
      <xdr:row>10</xdr:row>
      <xdr:rowOff>144780</xdr:rowOff>
    </xdr:from>
    <xdr:ext cx="163068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5BA726-170C-6428-EA35-688F6D2418CF}"/>
            </a:ext>
          </a:extLst>
        </xdr:cNvPr>
        <xdr:cNvSpPr txBox="1"/>
      </xdr:nvSpPr>
      <xdr:spPr>
        <a:xfrm>
          <a:off x="6141720" y="1973580"/>
          <a:ext cx="16306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11</xdr:col>
      <xdr:colOff>480060</xdr:colOff>
      <xdr:row>0</xdr:row>
      <xdr:rowOff>68580</xdr:rowOff>
    </xdr:from>
    <xdr:to>
      <xdr:col>13</xdr:col>
      <xdr:colOff>579120</xdr:colOff>
      <xdr:row>4</xdr:row>
      <xdr:rowOff>87540</xdr:rowOff>
    </xdr:to>
    <xdr:sp macro="" textlink="$M$12">
      <xdr:nvSpPr>
        <xdr:cNvPr id="12" name="TextBox 11">
          <a:extLst>
            <a:ext uri="{FF2B5EF4-FFF2-40B4-BE49-F238E27FC236}">
              <a16:creationId xmlns:a16="http://schemas.microsoft.com/office/drawing/2014/main" id="{8779AA91-AAE7-A0AA-21B9-EC86C8A59FFF}"/>
            </a:ext>
          </a:extLst>
        </xdr:cNvPr>
        <xdr:cNvSpPr txBox="1"/>
      </xdr:nvSpPr>
      <xdr:spPr>
        <a:xfrm>
          <a:off x="7185660" y="68580"/>
          <a:ext cx="2316480" cy="75048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B42360E-AB89-4F47-9EC5-A3A473FFA8B0}" type="TxLink">
            <a:rPr lang="en-US" sz="2400" b="0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ptos Narrow"/>
            </a:rPr>
            <a:pPr algn="ctr"/>
            <a:t> ₹ 6,58,63,944.86 </a:t>
          </a:fld>
          <a:endParaRPr lang="en-IN" sz="24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twoCellAnchor>
  <xdr:oneCellAnchor>
    <xdr:from>
      <xdr:col>12</xdr:col>
      <xdr:colOff>419100</xdr:colOff>
      <xdr:row>2</xdr:row>
      <xdr:rowOff>60960</xdr:rowOff>
    </xdr:from>
    <xdr:ext cx="1266244" cy="291234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4340BED-DD91-DE7F-38D8-0A58858EA85A}"/>
            </a:ext>
          </a:extLst>
        </xdr:cNvPr>
        <xdr:cNvSpPr txBox="1"/>
      </xdr:nvSpPr>
      <xdr:spPr>
        <a:xfrm>
          <a:off x="7734300" y="426720"/>
          <a:ext cx="1266244" cy="291234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0" cap="none" spc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latin typeface="Arial Black" panose="020B0A04020102020204" pitchFamily="34" charset="0"/>
            </a:rPr>
            <a:t>TOTAL</a:t>
          </a:r>
          <a:r>
            <a:rPr lang="en-IN" sz="1100" b="0" cap="none" spc="0" baseline="0">
              <a:ln>
                <a:noFill/>
              </a:ln>
              <a:solidFill>
                <a:schemeClr val="bg1">
                  <a:lumMod val="75000"/>
                </a:schemeClr>
              </a:solidFill>
              <a:effectLst/>
              <a:latin typeface="Arial Black" panose="020B0A04020102020204" pitchFamily="34" charset="0"/>
            </a:rPr>
            <a:t> SALES</a:t>
          </a:r>
        </a:p>
      </xdr:txBody>
    </xdr:sp>
    <xdr:clientData/>
  </xdr:oneCellAnchor>
  <xdr:oneCellAnchor>
    <xdr:from>
      <xdr:col>13</xdr:col>
      <xdr:colOff>449580</xdr:colOff>
      <xdr:row>0</xdr:row>
      <xdr:rowOff>67515</xdr:rowOff>
    </xdr:from>
    <xdr:ext cx="2689860" cy="468013"/>
    <xdr:sp macro="" textlink="M50">
      <xdr:nvSpPr>
        <xdr:cNvPr id="15" name="TextBox 14">
          <a:extLst>
            <a:ext uri="{FF2B5EF4-FFF2-40B4-BE49-F238E27FC236}">
              <a16:creationId xmlns:a16="http://schemas.microsoft.com/office/drawing/2014/main" id="{38756566-8846-5575-E127-527DF68BB1CE}"/>
            </a:ext>
          </a:extLst>
        </xdr:cNvPr>
        <xdr:cNvSpPr txBox="1"/>
      </xdr:nvSpPr>
      <xdr:spPr>
        <a:xfrm>
          <a:off x="9372600" y="67515"/>
          <a:ext cx="268986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5B2E5587-303E-4E34-8B80-08F5703A3CFE}" type="TxLink">
            <a:rPr lang="en-US" sz="2400" b="0" i="0" u="none" strike="noStrike">
              <a:solidFill>
                <a:schemeClr val="accent3">
                  <a:lumMod val="20000"/>
                  <a:lumOff val="80000"/>
                </a:schemeClr>
              </a:solidFill>
              <a:latin typeface="Aptos Narrow"/>
            </a:rPr>
            <a:pPr algn="ctr"/>
            <a:t> ₹ 1,31,25,444.73 </a:t>
          </a:fld>
          <a:endParaRPr lang="en-IN" sz="24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oneCellAnchor>
  <xdr:oneCellAnchor>
    <xdr:from>
      <xdr:col>15</xdr:col>
      <xdr:colOff>38100</xdr:colOff>
      <xdr:row>2</xdr:row>
      <xdr:rowOff>30480</xdr:rowOff>
    </xdr:from>
    <xdr:ext cx="1133002" cy="291234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01FF6D6-47E4-A5B9-656C-1F14E61ABADC}"/>
            </a:ext>
          </a:extLst>
        </xdr:cNvPr>
        <xdr:cNvSpPr txBox="1"/>
      </xdr:nvSpPr>
      <xdr:spPr>
        <a:xfrm>
          <a:off x="10180320" y="396240"/>
          <a:ext cx="1133002" cy="2912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>
              <a:solidFill>
                <a:schemeClr val="bg1">
                  <a:lumMod val="75000"/>
                </a:schemeClr>
              </a:solidFill>
              <a:latin typeface="Arial Black" panose="020B0A04020102020204" pitchFamily="34" charset="0"/>
            </a:rPr>
            <a:t>NET</a:t>
          </a:r>
          <a:r>
            <a:rPr lang="en-IN" sz="1100" baseline="0">
              <a:solidFill>
                <a:schemeClr val="bg1">
                  <a:lumMod val="75000"/>
                </a:schemeClr>
              </a:solidFill>
              <a:latin typeface="Arial Black" panose="020B0A04020102020204" pitchFamily="34" charset="0"/>
            </a:rPr>
            <a:t> </a:t>
          </a:r>
          <a:r>
            <a:rPr lang="en-IN" sz="1100">
              <a:solidFill>
                <a:schemeClr val="bg1">
                  <a:lumMod val="75000"/>
                </a:schemeClr>
              </a:solidFill>
              <a:latin typeface="Arial Black" panose="020B0A04020102020204" pitchFamily="34" charset="0"/>
            </a:rPr>
            <a:t>PROFIT</a:t>
          </a:r>
        </a:p>
      </xdr:txBody>
    </xdr:sp>
    <xdr:clientData/>
  </xdr:oneCellAnchor>
  <xdr:oneCellAnchor>
    <xdr:from>
      <xdr:col>19</xdr:col>
      <xdr:colOff>137160</xdr:colOff>
      <xdr:row>0</xdr:row>
      <xdr:rowOff>89314</xdr:rowOff>
    </xdr:from>
    <xdr:ext cx="876300" cy="446212"/>
    <xdr:sp macro="" textlink="'RAW DATA'!A1002">
      <xdr:nvSpPr>
        <xdr:cNvPr id="17" name="TextBox 16">
          <a:extLst>
            <a:ext uri="{FF2B5EF4-FFF2-40B4-BE49-F238E27FC236}">
              <a16:creationId xmlns:a16="http://schemas.microsoft.com/office/drawing/2014/main" id="{9EBCA2D5-2D12-66D2-E2F3-C1B5ADEF603F}"/>
            </a:ext>
          </a:extLst>
        </xdr:cNvPr>
        <xdr:cNvSpPr txBox="1"/>
      </xdr:nvSpPr>
      <xdr:spPr>
        <a:xfrm>
          <a:off x="12717780" y="89314"/>
          <a:ext cx="876300" cy="446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B8EAB821-591D-4E0C-90C1-AFA1F8AE8B9A}" type="TxLink">
            <a:rPr lang="en-US" sz="2400" b="0" i="0" u="none" strike="noStrike"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1000</a:t>
          </a:fld>
          <a:endParaRPr lang="en-IN" sz="2400">
            <a:ln>
              <a:solidFill>
                <a:schemeClr val="tx2">
                  <a:lumMod val="50000"/>
                  <a:lumOff val="50000"/>
                </a:schemeClr>
              </a:solidFill>
            </a:ln>
            <a:solidFill>
              <a:schemeClr val="accent3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18</xdr:col>
      <xdr:colOff>457200</xdr:colOff>
      <xdr:row>2</xdr:row>
      <xdr:rowOff>106680</xdr:rowOff>
    </xdr:from>
    <xdr:ext cx="1576009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F72B85E-8D77-C18E-89BC-A3636A55F32A}"/>
            </a:ext>
          </a:extLst>
        </xdr:cNvPr>
        <xdr:cNvSpPr txBox="1"/>
      </xdr:nvSpPr>
      <xdr:spPr>
        <a:xfrm>
          <a:off x="12428220" y="472440"/>
          <a:ext cx="15760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TOTAL PRODUCTS SOLD</a:t>
          </a:r>
        </a:p>
      </xdr:txBody>
    </xdr:sp>
    <xdr:clientData/>
  </xdr:oneCellAnchor>
  <xdr:twoCellAnchor>
    <xdr:from>
      <xdr:col>0</xdr:col>
      <xdr:colOff>60960</xdr:colOff>
      <xdr:row>6</xdr:row>
      <xdr:rowOff>15240</xdr:rowOff>
    </xdr:from>
    <xdr:to>
      <xdr:col>6</xdr:col>
      <xdr:colOff>403860</xdr:colOff>
      <xdr:row>27</xdr:row>
      <xdr:rowOff>60960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311B64-D895-4AA1-BE6F-6E2F5F64B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198120</xdr:colOff>
      <xdr:row>4</xdr:row>
      <xdr:rowOff>114300</xdr:rowOff>
    </xdr:from>
    <xdr:to>
      <xdr:col>22</xdr:col>
      <xdr:colOff>11205</xdr:colOff>
      <xdr:row>16</xdr:row>
      <xdr:rowOff>137160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2DCC5D9-68A0-404C-AAA5-F05485D53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373380</xdr:colOff>
      <xdr:row>16</xdr:row>
      <xdr:rowOff>167640</xdr:rowOff>
    </xdr:from>
    <xdr:to>
      <xdr:col>21</xdr:col>
      <xdr:colOff>601980</xdr:colOff>
      <xdr:row>28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7215007-AE2B-4E6B-9CA4-7BA892CE5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350520</xdr:colOff>
      <xdr:row>4</xdr:row>
      <xdr:rowOff>137160</xdr:rowOff>
    </xdr:from>
    <xdr:to>
      <xdr:col>17</xdr:col>
      <xdr:colOff>160020</xdr:colOff>
      <xdr:row>16</xdr:row>
      <xdr:rowOff>129540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589D469-9BBB-47DB-8D6D-035324327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548640</xdr:colOff>
      <xdr:row>5</xdr:row>
      <xdr:rowOff>91440</xdr:rowOff>
    </xdr:from>
    <xdr:to>
      <xdr:col>13</xdr:col>
      <xdr:colOff>281940</xdr:colOff>
      <xdr:row>26</xdr:row>
      <xdr:rowOff>144780</xdr:rowOff>
    </xdr:to>
    <xdr:sp macro="" textlink="">
      <xdr:nvSpPr>
        <xdr:cNvPr id="26" name="Arrow: Up 25">
          <a:extLst>
            <a:ext uri="{FF2B5EF4-FFF2-40B4-BE49-F238E27FC236}">
              <a16:creationId xmlns:a16="http://schemas.microsoft.com/office/drawing/2014/main" id="{E5A71760-EC5A-08B3-8F66-0FDB2EC7AE51}"/>
            </a:ext>
          </a:extLst>
        </xdr:cNvPr>
        <xdr:cNvSpPr/>
      </xdr:nvSpPr>
      <xdr:spPr>
        <a:xfrm>
          <a:off x="6644640" y="1005840"/>
          <a:ext cx="2560320" cy="3977640"/>
        </a:xfrm>
        <a:prstGeom prst="upArrow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lang="en-IN" sz="1200">
              <a:solidFill>
                <a:schemeClr val="bg2"/>
              </a:solidFill>
              <a:latin typeface="Arial Rounded MT Bold" panose="020F0704030504030204" pitchFamily="34" charset="0"/>
            </a:rPr>
            <a:t>TOP PERFORMERS</a:t>
          </a:r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449580</xdr:colOff>
      <xdr:row>5</xdr:row>
      <xdr:rowOff>129540</xdr:rowOff>
    </xdr:from>
    <xdr:to>
      <xdr:col>11</xdr:col>
      <xdr:colOff>121920</xdr:colOff>
      <xdr:row>27</xdr:row>
      <xdr:rowOff>68580</xdr:rowOff>
    </xdr:to>
    <xdr:sp macro="" textlink="">
      <xdr:nvSpPr>
        <xdr:cNvPr id="27" name="Arrow: Down 26">
          <a:extLst>
            <a:ext uri="{FF2B5EF4-FFF2-40B4-BE49-F238E27FC236}">
              <a16:creationId xmlns:a16="http://schemas.microsoft.com/office/drawing/2014/main" id="{A23A37AF-B0CB-B0BF-2AC3-FEE42319B53C}"/>
            </a:ext>
          </a:extLst>
        </xdr:cNvPr>
        <xdr:cNvSpPr/>
      </xdr:nvSpPr>
      <xdr:spPr>
        <a:xfrm>
          <a:off x="4107180" y="1043940"/>
          <a:ext cx="2720340" cy="4046220"/>
        </a:xfrm>
        <a:prstGeom prst="downArrow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latin typeface="+mn-lt"/>
            </a:rPr>
            <a:t>         </a:t>
          </a:r>
        </a:p>
        <a:p>
          <a:pPr algn="l"/>
          <a:endParaRPr lang="en-IN" sz="1400">
            <a:latin typeface="+mn-lt"/>
          </a:endParaRPr>
        </a:p>
        <a:p>
          <a:pPr algn="l"/>
          <a:endParaRPr lang="en-IN" sz="1400">
            <a:latin typeface="+mn-lt"/>
          </a:endParaRPr>
        </a:p>
        <a:p>
          <a:pPr algn="l"/>
          <a:endParaRPr lang="en-IN" sz="1400">
            <a:latin typeface="+mn-lt"/>
          </a:endParaRPr>
        </a:p>
        <a:p>
          <a:pPr algn="l"/>
          <a:endParaRPr lang="en-IN" sz="1400">
            <a:latin typeface="+mn-lt"/>
          </a:endParaRPr>
        </a:p>
        <a:p>
          <a:pPr algn="l"/>
          <a:endParaRPr lang="en-IN" sz="1400">
            <a:latin typeface="+mn-lt"/>
          </a:endParaRPr>
        </a:p>
        <a:p>
          <a:pPr algn="l"/>
          <a:endParaRPr lang="en-IN" sz="1400">
            <a:latin typeface="+mn-lt"/>
          </a:endParaRPr>
        </a:p>
      </xdr:txBody>
    </xdr:sp>
    <xdr:clientData/>
  </xdr:twoCellAnchor>
  <xdr:oneCellAnchor>
    <xdr:from>
      <xdr:col>12</xdr:col>
      <xdr:colOff>83820</xdr:colOff>
      <xdr:row>13</xdr:row>
      <xdr:rowOff>68580</xdr:rowOff>
    </xdr:from>
    <xdr:ext cx="1076705" cy="298287"/>
    <xdr:sp macro="" textlink="Analysis2!F14">
      <xdr:nvSpPr>
        <xdr:cNvPr id="28" name="TextBox 27">
          <a:extLst>
            <a:ext uri="{FF2B5EF4-FFF2-40B4-BE49-F238E27FC236}">
              <a16:creationId xmlns:a16="http://schemas.microsoft.com/office/drawing/2014/main" id="{9A162769-2853-6E0E-0C98-7C7DE8D79A21}"/>
            </a:ext>
          </a:extLst>
        </xdr:cNvPr>
        <xdr:cNvSpPr txBox="1"/>
      </xdr:nvSpPr>
      <xdr:spPr>
        <a:xfrm>
          <a:off x="7399020" y="2529840"/>
          <a:ext cx="1076705" cy="298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324E85FD-1F32-48E3-B803-70C48C78D308}" type="TxLink">
            <a:rPr lang="en-US" sz="1400" b="0" i="0" u="none" strike="noStrike">
              <a:solidFill>
                <a:srgbClr val="000000"/>
              </a:solidFill>
              <a:latin typeface="Arial Narrow" panose="020B0606020202030204" pitchFamily="34" charset="0"/>
            </a:rPr>
            <a:t>Coffee Beans</a:t>
          </a:fld>
          <a:endParaRPr lang="en-IN" sz="14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12</xdr:col>
      <xdr:colOff>114300</xdr:colOff>
      <xdr:row>15</xdr:row>
      <xdr:rowOff>30480</xdr:rowOff>
    </xdr:from>
    <xdr:ext cx="929229" cy="298287"/>
    <xdr:sp macro="" textlink="Analysis2!F15">
      <xdr:nvSpPr>
        <xdr:cNvPr id="29" name="TextBox 28">
          <a:extLst>
            <a:ext uri="{FF2B5EF4-FFF2-40B4-BE49-F238E27FC236}">
              <a16:creationId xmlns:a16="http://schemas.microsoft.com/office/drawing/2014/main" id="{3966D04A-0938-5343-5B79-533466BC8A79}"/>
            </a:ext>
          </a:extLst>
        </xdr:cNvPr>
        <xdr:cNvSpPr txBox="1"/>
      </xdr:nvSpPr>
      <xdr:spPr>
        <a:xfrm>
          <a:off x="7429500" y="2857500"/>
          <a:ext cx="929229" cy="298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859F386-D67D-4F04-979A-F8A64A959ACA}" type="TxLink">
            <a:rPr lang="en-US" sz="1400" b="0" i="0" u="none" strike="noStrike">
              <a:solidFill>
                <a:srgbClr val="000000"/>
              </a:solidFill>
              <a:latin typeface="Arial Narrow" panose="020B0606020202030204" pitchFamily="34" charset="0"/>
            </a:rPr>
            <a:t>Desk Lamp</a:t>
          </a:fld>
          <a:endParaRPr lang="en-IN" sz="14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91440</xdr:colOff>
      <xdr:row>20</xdr:row>
      <xdr:rowOff>15240</xdr:rowOff>
    </xdr:from>
    <xdr:ext cx="2267031" cy="30014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DC5F54E-F87D-A3FD-BEE1-518FF6274F31}"/>
            </a:ext>
          </a:extLst>
        </xdr:cNvPr>
        <xdr:cNvSpPr txBox="1"/>
      </xdr:nvSpPr>
      <xdr:spPr>
        <a:xfrm>
          <a:off x="4358640" y="3756660"/>
          <a:ext cx="2267031" cy="30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400">
              <a:solidFill>
                <a:schemeClr val="bg2"/>
              </a:solidFill>
              <a:latin typeface="Arial Rounded MT Bold" panose="020F0704030504030204" pitchFamily="34" charset="0"/>
            </a:rPr>
            <a:t>LOWEST</a:t>
          </a:r>
          <a:r>
            <a:rPr lang="en-IN" sz="1400" baseline="0">
              <a:solidFill>
                <a:schemeClr val="bg2"/>
              </a:solidFill>
              <a:latin typeface="Arial Rounded MT Bold" panose="020F0704030504030204" pitchFamily="34" charset="0"/>
            </a:rPr>
            <a:t> PERFORMERS</a:t>
          </a:r>
          <a:endParaRPr lang="en-IN" sz="1400">
            <a:solidFill>
              <a:schemeClr val="bg2"/>
            </a:solidFill>
            <a:latin typeface="Arial Rounded MT Bold" panose="020F0704030504030204" pitchFamily="34" charset="0"/>
          </a:endParaRPr>
        </a:p>
      </xdr:txBody>
    </xdr:sp>
    <xdr:clientData/>
  </xdr:oneCellAnchor>
  <xdr:oneCellAnchor>
    <xdr:from>
      <xdr:col>7</xdr:col>
      <xdr:colOff>533400</xdr:colOff>
      <xdr:row>13</xdr:row>
      <xdr:rowOff>38100</xdr:rowOff>
    </xdr:from>
    <xdr:ext cx="609600" cy="298287"/>
    <xdr:sp macro="" textlink="Analysis2!F17">
      <xdr:nvSpPr>
        <xdr:cNvPr id="31" name="TextBox 30">
          <a:extLst>
            <a:ext uri="{FF2B5EF4-FFF2-40B4-BE49-F238E27FC236}">
              <a16:creationId xmlns:a16="http://schemas.microsoft.com/office/drawing/2014/main" id="{F433E66A-8881-7594-053D-7F790C549B23}"/>
            </a:ext>
          </a:extLst>
        </xdr:cNvPr>
        <xdr:cNvSpPr txBox="1"/>
      </xdr:nvSpPr>
      <xdr:spPr>
        <a:xfrm>
          <a:off x="4800600" y="2499360"/>
          <a:ext cx="609600" cy="298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0AEE4FB5-1CA4-41A0-9F77-DFB72D21B246}" type="TxLink">
            <a:rPr lang="en-US" sz="1400" b="0" i="0" u="none" strike="noStrike">
              <a:solidFill>
                <a:srgbClr val="000000"/>
              </a:solidFill>
              <a:latin typeface="Arial Narrow" panose="020B0606020202030204" pitchFamily="34" charset="0"/>
            </a:rPr>
            <a:t>Stool</a:t>
          </a:fld>
          <a:endParaRPr lang="en-IN" sz="1400">
            <a:latin typeface="Arial Narrow" panose="020B0606020202030204" pitchFamily="34" charset="0"/>
          </a:endParaRPr>
        </a:p>
      </xdr:txBody>
    </xdr:sp>
    <xdr:clientData/>
  </xdr:oneCellAnchor>
  <xdr:oneCellAnchor>
    <xdr:from>
      <xdr:col>7</xdr:col>
      <xdr:colOff>541020</xdr:colOff>
      <xdr:row>15</xdr:row>
      <xdr:rowOff>83820</xdr:rowOff>
    </xdr:from>
    <xdr:ext cx="1333500" cy="298287"/>
    <xdr:sp macro="" textlink="Analysis2!F18">
      <xdr:nvSpPr>
        <xdr:cNvPr id="32" name="TextBox 31">
          <a:extLst>
            <a:ext uri="{FF2B5EF4-FFF2-40B4-BE49-F238E27FC236}">
              <a16:creationId xmlns:a16="http://schemas.microsoft.com/office/drawing/2014/main" id="{2B2ADF2F-545B-B7AA-592C-F1A45A54E63B}"/>
            </a:ext>
          </a:extLst>
        </xdr:cNvPr>
        <xdr:cNvSpPr txBox="1"/>
      </xdr:nvSpPr>
      <xdr:spPr>
        <a:xfrm>
          <a:off x="4808220" y="2910840"/>
          <a:ext cx="1333500" cy="2982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9CC0B0B6-2D59-4C52-AB39-8B17A01EDD6B}" type="TxLink">
            <a:rPr lang="en-US" sz="1400" b="0" i="0" u="none" strike="noStrike">
              <a:solidFill>
                <a:srgbClr val="000000"/>
              </a:solidFill>
              <a:latin typeface="Arial Narrow" panose="020B0606020202030204" pitchFamily="34" charset="0"/>
            </a:rPr>
            <a:t>Dark Chocolate</a:t>
          </a:fld>
          <a:endParaRPr lang="en-IN" sz="1400">
            <a:latin typeface="Arial Narrow" panose="020B060602020203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KY BLINDERS" refreshedDate="46068.605937268519" createdVersion="8" refreshedVersion="8" minRefreshableVersion="3" recordCount="1002" xr:uid="{A43F5B41-C719-4EA5-AB5D-6718B93A4CF6}">
  <cacheSource type="worksheet">
    <worksheetSource ref="A1:K1048576" sheet="RAW DATA"/>
  </cacheSource>
  <cacheFields count="11">
    <cacheField name="Product-Id" numFmtId="0">
      <sharedItems containsBlank="1" count="1001">
        <s v="PROD-1001"/>
        <s v="PROD-1002"/>
        <s v="PROD-1003"/>
        <s v="PROD-1004"/>
        <s v="PROD-1005"/>
        <s v="PROD-1006"/>
        <s v="PROD-1007"/>
        <s v="PROD-1008"/>
        <s v="PROD-1009"/>
        <s v="PROD-1010"/>
        <s v="PROD-1011"/>
        <s v="PROD-1012"/>
        <s v="PROD-1013"/>
        <s v="PROD-1014"/>
        <s v="PROD-1015"/>
        <s v="PROD-1016"/>
        <s v="PROD-1017"/>
        <s v="PROD-1018"/>
        <s v="PROD-1019"/>
        <s v="PROD-1020"/>
        <s v="PROD-1021"/>
        <s v="PROD-1022"/>
        <s v="PROD-1023"/>
        <s v="PROD-1024"/>
        <s v="PROD-1025"/>
        <s v="PROD-1026"/>
        <s v="PROD-1027"/>
        <s v="PROD-1028"/>
        <s v="PROD-1029"/>
        <s v="PROD-1030"/>
        <s v="PROD-1031"/>
        <s v="PROD-1032"/>
        <s v="PROD-1033"/>
        <s v="PROD-1034"/>
        <s v="PROD-1035"/>
        <s v="PROD-1036"/>
        <s v="PROD-1037"/>
        <s v="PROD-1038"/>
        <s v="PROD-1039"/>
        <s v="PROD-1040"/>
        <s v="PROD-1041"/>
        <s v="PROD-1042"/>
        <s v="PROD-1043"/>
        <s v="PROD-1044"/>
        <s v="PROD-1045"/>
        <s v="PROD-1046"/>
        <s v="PROD-1047"/>
        <s v="PROD-1048"/>
        <s v="PROD-1049"/>
        <s v="PROD-1050"/>
        <s v="PROD-1051"/>
        <s v="PROD-1052"/>
        <s v="PROD-1053"/>
        <s v="PROD-1054"/>
        <s v="PROD-1055"/>
        <s v="PROD-1056"/>
        <s v="PROD-1057"/>
        <s v="PROD-1058"/>
        <s v="PROD-1059"/>
        <s v="PROD-1060"/>
        <s v="PROD-1061"/>
        <s v="PROD-1062"/>
        <s v="PROD-1063"/>
        <s v="PROD-1064"/>
        <s v="PROD-1065"/>
        <s v="PROD-1066"/>
        <s v="PROD-1067"/>
        <s v="PROD-1068"/>
        <s v="PROD-1069"/>
        <s v="PROD-1070"/>
        <s v="PROD-1071"/>
        <s v="PROD-1072"/>
        <s v="PROD-1073"/>
        <s v="PROD-1074"/>
        <s v="PROD-1075"/>
        <s v="PROD-1076"/>
        <s v="PROD-1077"/>
        <s v="PROD-1078"/>
        <s v="PROD-1079"/>
        <s v="PROD-1080"/>
        <s v="PROD-1081"/>
        <s v="PROD-1082"/>
        <s v="PROD-1083"/>
        <s v="PROD-1084"/>
        <s v="PROD-1085"/>
        <s v="PROD-1086"/>
        <s v="PROD-1087"/>
        <s v="PROD-1088"/>
        <s v="PROD-1089"/>
        <s v="PROD-1090"/>
        <s v="PROD-1091"/>
        <s v="PROD-1092"/>
        <s v="PROD-1093"/>
        <s v="PROD-1094"/>
        <s v="PROD-1095"/>
        <s v="PROD-1096"/>
        <s v="PROD-1097"/>
        <s v="PROD-1098"/>
        <s v="PROD-1099"/>
        <s v="PROD-1100"/>
        <s v="PROD-1101"/>
        <s v="PROD-1102"/>
        <s v="PROD-1103"/>
        <s v="PROD-1104"/>
        <s v="PROD-1105"/>
        <s v="PROD-1106"/>
        <s v="PROD-1107"/>
        <s v="PROD-1108"/>
        <s v="PROD-1109"/>
        <s v="PROD-1110"/>
        <s v="PROD-1111"/>
        <s v="PROD-1112"/>
        <s v="PROD-1113"/>
        <s v="PROD-1114"/>
        <s v="PROD-1115"/>
        <s v="PROD-1116"/>
        <s v="PROD-1117"/>
        <s v="PROD-1118"/>
        <s v="PROD-1119"/>
        <s v="PROD-1120"/>
        <s v="PROD-1121"/>
        <s v="PROD-1122"/>
        <s v="PROD-1123"/>
        <s v="PROD-1124"/>
        <s v="PROD-1125"/>
        <s v="PROD-1126"/>
        <s v="PROD-1127"/>
        <s v="PROD-1128"/>
        <s v="PROD-1129"/>
        <s v="PROD-1130"/>
        <s v="PROD-1131"/>
        <s v="PROD-1132"/>
        <s v="PROD-1133"/>
        <s v="PROD-1134"/>
        <s v="PROD-1135"/>
        <s v="PROD-1136"/>
        <s v="PROD-1137"/>
        <s v="PROD-1138"/>
        <s v="PROD-1139"/>
        <s v="PROD-1140"/>
        <s v="PROD-1141"/>
        <s v="PROD-1142"/>
        <s v="PROD-1143"/>
        <s v="PROD-1144"/>
        <s v="PROD-1145"/>
        <s v="PROD-1146"/>
        <s v="PROD-1147"/>
        <s v="PROD-1148"/>
        <s v="PROD-1149"/>
        <s v="PROD-1150"/>
        <s v="PROD-1151"/>
        <s v="PROD-1152"/>
        <s v="PROD-1153"/>
        <s v="PROD-1154"/>
        <s v="PROD-1155"/>
        <s v="PROD-1156"/>
        <s v="PROD-1157"/>
        <s v="PROD-1158"/>
        <s v="PROD-1159"/>
        <s v="PROD-1160"/>
        <s v="PROD-1161"/>
        <s v="PROD-1162"/>
        <s v="PROD-1163"/>
        <s v="PROD-1164"/>
        <s v="PROD-1165"/>
        <s v="PROD-1166"/>
        <s v="PROD-1167"/>
        <s v="PROD-1168"/>
        <s v="PROD-1169"/>
        <s v="PROD-1170"/>
        <s v="PROD-1171"/>
        <s v="PROD-1172"/>
        <s v="PROD-1173"/>
        <s v="PROD-1174"/>
        <s v="PROD-1175"/>
        <s v="PROD-1176"/>
        <s v="PROD-1177"/>
        <s v="PROD-1178"/>
        <s v="PROD-1179"/>
        <s v="PROD-1180"/>
        <s v="PROD-1181"/>
        <s v="PROD-1182"/>
        <s v="PROD-1183"/>
        <s v="PROD-1184"/>
        <s v="PROD-1185"/>
        <s v="PROD-1186"/>
        <s v="PROD-1187"/>
        <s v="PROD-1188"/>
        <s v="PROD-1189"/>
        <s v="PROD-1190"/>
        <s v="PROD-1191"/>
        <s v="PROD-1192"/>
        <s v="PROD-1193"/>
        <s v="PROD-1194"/>
        <s v="PROD-1195"/>
        <s v="PROD-1196"/>
        <s v="PROD-1197"/>
        <s v="PROD-1198"/>
        <s v="PROD-1199"/>
        <s v="PROD-1200"/>
        <s v="PROD-1201"/>
        <s v="PROD-1202"/>
        <s v="PROD-1203"/>
        <s v="PROD-1204"/>
        <s v="PROD-1205"/>
        <s v="PROD-1206"/>
        <s v="PROD-1207"/>
        <s v="PROD-1208"/>
        <s v="PROD-1209"/>
        <s v="PROD-1210"/>
        <s v="PROD-1211"/>
        <s v="PROD-1212"/>
        <s v="PROD-1213"/>
        <s v="PROD-1214"/>
        <s v="PROD-1215"/>
        <s v="PROD-1216"/>
        <s v="PROD-1217"/>
        <s v="PROD-1218"/>
        <s v="PROD-1219"/>
        <s v="PROD-1220"/>
        <s v="PROD-1221"/>
        <s v="PROD-1222"/>
        <s v="PROD-1223"/>
        <s v="PROD-1224"/>
        <s v="PROD-1225"/>
        <s v="PROD-1226"/>
        <s v="PROD-1227"/>
        <s v="PROD-1228"/>
        <s v="PROD-1229"/>
        <s v="PROD-1230"/>
        <s v="PROD-1231"/>
        <s v="PROD-1232"/>
        <s v="PROD-1233"/>
        <s v="PROD-1234"/>
        <s v="PROD-1235"/>
        <s v="PROD-1236"/>
        <s v="PROD-1237"/>
        <s v="PROD-1238"/>
        <s v="PROD-1239"/>
        <s v="PROD-1240"/>
        <s v="PROD-1241"/>
        <s v="PROD-1242"/>
        <s v="PROD-1243"/>
        <s v="PROD-1244"/>
        <s v="PROD-1245"/>
        <s v="PROD-1246"/>
        <s v="PROD-1247"/>
        <s v="PROD-1248"/>
        <s v="PROD-1249"/>
        <s v="PROD-1250"/>
        <s v="PROD-1251"/>
        <s v="PROD-1252"/>
        <s v="PROD-1253"/>
        <s v="PROD-1254"/>
        <s v="PROD-1255"/>
        <s v="PROD-1256"/>
        <s v="PROD-1257"/>
        <s v="PROD-1258"/>
        <s v="PROD-1259"/>
        <s v="PROD-1260"/>
        <s v="PROD-1261"/>
        <s v="PROD-1262"/>
        <s v="PROD-1263"/>
        <s v="PROD-1264"/>
        <s v="PROD-1265"/>
        <s v="PROD-1266"/>
        <s v="PROD-1267"/>
        <s v="PROD-1268"/>
        <s v="PROD-1269"/>
        <s v="PROD-1270"/>
        <s v="PROD-1271"/>
        <s v="PROD-1272"/>
        <s v="PROD-1273"/>
        <s v="PROD-1274"/>
        <s v="PROD-1275"/>
        <s v="PROD-1276"/>
        <s v="PROD-1277"/>
        <s v="PROD-1278"/>
        <s v="PROD-1279"/>
        <s v="PROD-1280"/>
        <s v="PROD-1281"/>
        <s v="PROD-1282"/>
        <s v="PROD-1283"/>
        <s v="PROD-1284"/>
        <s v="PROD-1285"/>
        <s v="PROD-1286"/>
        <s v="PROD-1287"/>
        <s v="PROD-1288"/>
        <s v="PROD-1289"/>
        <s v="PROD-1290"/>
        <s v="PROD-1291"/>
        <s v="PROD-1292"/>
        <s v="PROD-1293"/>
        <s v="PROD-1294"/>
        <s v="PROD-1295"/>
        <s v="PROD-1296"/>
        <s v="PROD-1297"/>
        <s v="PROD-1298"/>
        <s v="PROD-1299"/>
        <s v="PROD-1300"/>
        <s v="PROD-1301"/>
        <s v="PROD-1302"/>
        <s v="PROD-1303"/>
        <s v="PROD-1304"/>
        <s v="PROD-1305"/>
        <s v="PROD-1306"/>
        <s v="PROD-1307"/>
        <s v="PROD-1308"/>
        <s v="PROD-1309"/>
        <s v="PROD-1310"/>
        <s v="PROD-1311"/>
        <s v="PROD-1312"/>
        <s v="PROD-1313"/>
        <s v="PROD-1314"/>
        <s v="PROD-1315"/>
        <s v="PROD-1316"/>
        <s v="PROD-1317"/>
        <s v="PROD-1318"/>
        <s v="PROD-1319"/>
        <s v="PROD-1320"/>
        <s v="PROD-1321"/>
        <s v="PROD-1322"/>
        <s v="PROD-1323"/>
        <s v="PROD-1324"/>
        <s v="PROD-1325"/>
        <s v="PROD-1326"/>
        <s v="PROD-1327"/>
        <s v="PROD-1328"/>
        <s v="PROD-1329"/>
        <s v="PROD-1330"/>
        <s v="PROD-1331"/>
        <s v="PROD-1332"/>
        <s v="PROD-1333"/>
        <s v="PROD-1334"/>
        <s v="PROD-1335"/>
        <s v="PROD-1336"/>
        <s v="PROD-1337"/>
        <s v="PROD-1338"/>
        <s v="PROD-1339"/>
        <s v="PROD-1340"/>
        <s v="PROD-1341"/>
        <s v="PROD-1342"/>
        <s v="PROD-1343"/>
        <s v="PROD-1344"/>
        <s v="PROD-1345"/>
        <s v="PROD-1346"/>
        <s v="PROD-1347"/>
        <s v="PROD-1348"/>
        <s v="PROD-1349"/>
        <s v="PROD-1350"/>
        <s v="PROD-1351"/>
        <s v="PROD-1352"/>
        <s v="PROD-1353"/>
        <s v="PROD-1354"/>
        <s v="PROD-1355"/>
        <s v="PROD-1356"/>
        <s v="PROD-1357"/>
        <s v="PROD-1358"/>
        <s v="PROD-1359"/>
        <s v="PROD-1360"/>
        <s v="PROD-1361"/>
        <s v="PROD-1362"/>
        <s v="PROD-1363"/>
        <s v="PROD-1364"/>
        <s v="PROD-1365"/>
        <s v="PROD-1366"/>
        <s v="PROD-1367"/>
        <s v="PROD-1368"/>
        <s v="PROD-1369"/>
        <s v="PROD-1370"/>
        <s v="PROD-1371"/>
        <s v="PROD-1372"/>
        <s v="PROD-1373"/>
        <s v="PROD-1374"/>
        <s v="PROD-1375"/>
        <s v="PROD-1376"/>
        <s v="PROD-1377"/>
        <s v="PROD-1378"/>
        <s v="PROD-1379"/>
        <s v="PROD-1380"/>
        <s v="PROD-1381"/>
        <s v="PROD-1382"/>
        <s v="PROD-1383"/>
        <s v="PROD-1384"/>
        <s v="PROD-1385"/>
        <s v="PROD-1386"/>
        <s v="PROD-1387"/>
        <s v="PROD-1388"/>
        <s v="PROD-1389"/>
        <s v="PROD-1390"/>
        <s v="PROD-1391"/>
        <s v="PROD-1392"/>
        <s v="PROD-1393"/>
        <s v="PROD-1394"/>
        <s v="PROD-1395"/>
        <s v="PROD-1396"/>
        <s v="PROD-1397"/>
        <s v="PROD-1398"/>
        <s v="PROD-1399"/>
        <s v="PROD-1400"/>
        <s v="PROD-1401"/>
        <s v="PROD-1402"/>
        <s v="PROD-1403"/>
        <s v="PROD-1404"/>
        <s v="PROD-1405"/>
        <s v="PROD-1406"/>
        <s v="PROD-1407"/>
        <s v="PROD-1408"/>
        <s v="PROD-1409"/>
        <s v="PROD-1410"/>
        <s v="PROD-1411"/>
        <s v="PROD-1412"/>
        <s v="PROD-1413"/>
        <s v="PROD-1414"/>
        <s v="PROD-1415"/>
        <s v="PROD-1416"/>
        <s v="PROD-1417"/>
        <s v="PROD-1418"/>
        <s v="PROD-1419"/>
        <s v="PROD-1420"/>
        <s v="PROD-1421"/>
        <s v="PROD-1422"/>
        <s v="PROD-1423"/>
        <s v="PROD-1424"/>
        <s v="PROD-1425"/>
        <s v="PROD-1426"/>
        <s v="PROD-1427"/>
        <s v="PROD-1428"/>
        <s v="PROD-1429"/>
        <s v="PROD-1430"/>
        <s v="PROD-1431"/>
        <s v="PROD-1432"/>
        <s v="PROD-1433"/>
        <s v="PROD-1434"/>
        <s v="PROD-1435"/>
        <s v="PROD-1436"/>
        <s v="PROD-1437"/>
        <s v="PROD-1438"/>
        <s v="PROD-1439"/>
        <s v="PROD-1440"/>
        <s v="PROD-1441"/>
        <s v="PROD-1442"/>
        <s v="PROD-1443"/>
        <s v="PROD-1444"/>
        <s v="PROD-1445"/>
        <s v="PROD-1446"/>
        <s v="PROD-1447"/>
        <s v="PROD-1448"/>
        <s v="PROD-1449"/>
        <s v="PROD-1450"/>
        <s v="PROD-1451"/>
        <s v="PROD-1452"/>
        <s v="PROD-1453"/>
        <s v="PROD-1454"/>
        <s v="PROD-1455"/>
        <s v="PROD-1456"/>
        <s v="PROD-1457"/>
        <s v="PROD-1458"/>
        <s v="PROD-1459"/>
        <s v="PROD-1460"/>
        <s v="PROD-1461"/>
        <s v="PROD-1462"/>
        <s v="PROD-1463"/>
        <s v="PROD-1464"/>
        <s v="PROD-1465"/>
        <s v="PROD-1466"/>
        <s v="PROD-1467"/>
        <s v="PROD-1468"/>
        <s v="PROD-1469"/>
        <s v="PROD-1470"/>
        <s v="PROD-1471"/>
        <s v="PROD-1472"/>
        <s v="PROD-1473"/>
        <s v="PROD-1474"/>
        <s v="PROD-1475"/>
        <s v="PROD-1476"/>
        <s v="PROD-1477"/>
        <s v="PROD-1478"/>
        <s v="PROD-1479"/>
        <s v="PROD-1480"/>
        <s v="PROD-1481"/>
        <s v="PROD-1482"/>
        <s v="PROD-1483"/>
        <s v="PROD-1484"/>
        <s v="PROD-1485"/>
        <s v="PROD-1486"/>
        <s v="PROD-1487"/>
        <s v="PROD-1488"/>
        <s v="PROD-1489"/>
        <s v="PROD-1490"/>
        <s v="PROD-1491"/>
        <s v="PROD-1492"/>
        <s v="PROD-1493"/>
        <s v="PROD-1494"/>
        <s v="PROD-1495"/>
        <s v="PROD-1496"/>
        <s v="PROD-1497"/>
        <s v="PROD-1498"/>
        <s v="PROD-1499"/>
        <s v="PROD-1500"/>
        <s v="PROD-1501"/>
        <s v="PROD-1502"/>
        <s v="PROD-1503"/>
        <s v="PROD-1504"/>
        <s v="PROD-1505"/>
        <s v="PROD-1506"/>
        <s v="PROD-1507"/>
        <s v="PROD-1508"/>
        <s v="PROD-1509"/>
        <s v="PROD-1510"/>
        <s v="PROD-1511"/>
        <s v="PROD-1512"/>
        <s v="PROD-1513"/>
        <s v="PROD-1514"/>
        <s v="PROD-1515"/>
        <s v="PROD-1516"/>
        <s v="PROD-1517"/>
        <s v="PROD-1518"/>
        <s v="PROD-1519"/>
        <s v="PROD-1520"/>
        <s v="PROD-1521"/>
        <s v="PROD-1522"/>
        <s v="PROD-1523"/>
        <s v="PROD-1524"/>
        <s v="PROD-1525"/>
        <s v="PROD-1526"/>
        <s v="PROD-1527"/>
        <s v="PROD-1528"/>
        <s v="PROD-1529"/>
        <s v="PROD-1530"/>
        <s v="PROD-1531"/>
        <s v="PROD-1532"/>
        <s v="PROD-1533"/>
        <s v="PROD-1534"/>
        <s v="PROD-1535"/>
        <s v="PROD-1536"/>
        <s v="PROD-1537"/>
        <s v="PROD-1538"/>
        <s v="PROD-1539"/>
        <s v="PROD-1540"/>
        <s v="PROD-1541"/>
        <s v="PROD-1542"/>
        <s v="PROD-1543"/>
        <s v="PROD-1544"/>
        <s v="PROD-1545"/>
        <s v="PROD-1546"/>
        <s v="PROD-1547"/>
        <s v="PROD-1548"/>
        <s v="PROD-1549"/>
        <s v="PROD-1550"/>
        <s v="PROD-1551"/>
        <s v="PROD-1552"/>
        <s v="PROD-1553"/>
        <s v="PROD-1554"/>
        <s v="PROD-1555"/>
        <s v="PROD-1556"/>
        <s v="PROD-1557"/>
        <s v="PROD-1558"/>
        <s v="PROD-1559"/>
        <s v="PROD-1560"/>
        <s v="PROD-1561"/>
        <s v="PROD-1562"/>
        <s v="PROD-1563"/>
        <s v="PROD-1564"/>
        <s v="PROD-1565"/>
        <s v="PROD-1566"/>
        <s v="PROD-1567"/>
        <s v="PROD-1568"/>
        <s v="PROD-1569"/>
        <s v="PROD-1570"/>
        <s v="PROD-1571"/>
        <s v="PROD-1572"/>
        <s v="PROD-1573"/>
        <s v="PROD-1574"/>
        <s v="PROD-1575"/>
        <s v="PROD-1576"/>
        <s v="PROD-1577"/>
        <s v="PROD-1578"/>
        <s v="PROD-1579"/>
        <s v="PROD-1580"/>
        <s v="PROD-1581"/>
        <s v="PROD-1582"/>
        <s v="PROD-1583"/>
        <s v="PROD-1584"/>
        <s v="PROD-1585"/>
        <s v="PROD-1586"/>
        <s v="PROD-1587"/>
        <s v="PROD-1588"/>
        <s v="PROD-1589"/>
        <s v="PROD-1590"/>
        <s v="PROD-1591"/>
        <s v="PROD-1592"/>
        <s v="PROD-1593"/>
        <s v="PROD-1594"/>
        <s v="PROD-1595"/>
        <s v="PROD-1596"/>
        <s v="PROD-1597"/>
        <s v="PROD-1598"/>
        <s v="PROD-1599"/>
        <s v="PROD-1600"/>
        <s v="PROD-1601"/>
        <s v="PROD-1602"/>
        <s v="PROD-1603"/>
        <s v="PROD-1604"/>
        <s v="PROD-1605"/>
        <s v="PROD-1606"/>
        <s v="PROD-1607"/>
        <s v="PROD-1608"/>
        <s v="PROD-1609"/>
        <s v="PROD-1610"/>
        <s v="PROD-1611"/>
        <s v="PROD-1612"/>
        <s v="PROD-1613"/>
        <s v="PROD-1614"/>
        <s v="PROD-1615"/>
        <s v="PROD-1616"/>
        <s v="PROD-1617"/>
        <s v="PROD-1618"/>
        <s v="PROD-1619"/>
        <s v="PROD-1620"/>
        <s v="PROD-1621"/>
        <s v="PROD-1622"/>
        <s v="PROD-1623"/>
        <s v="PROD-1624"/>
        <s v="PROD-1625"/>
        <s v="PROD-1626"/>
        <s v="PROD-1627"/>
        <s v="PROD-1628"/>
        <s v="PROD-1629"/>
        <s v="PROD-1630"/>
        <s v="PROD-1631"/>
        <s v="PROD-1632"/>
        <s v="PROD-1633"/>
        <s v="PROD-1634"/>
        <s v="PROD-1635"/>
        <s v="PROD-1636"/>
        <s v="PROD-1637"/>
        <s v="PROD-1638"/>
        <s v="PROD-1639"/>
        <s v="PROD-1640"/>
        <s v="PROD-1641"/>
        <s v="PROD-1642"/>
        <s v="PROD-1643"/>
        <s v="PROD-1644"/>
        <s v="PROD-1645"/>
        <s v="PROD-1646"/>
        <s v="PROD-1647"/>
        <s v="PROD-1648"/>
        <s v="PROD-1649"/>
        <s v="PROD-1650"/>
        <s v="PROD-1651"/>
        <s v="PROD-1652"/>
        <s v="PROD-1653"/>
        <s v="PROD-1654"/>
        <s v="PROD-1655"/>
        <s v="PROD-1656"/>
        <s v="PROD-1657"/>
        <s v="PROD-1658"/>
        <s v="PROD-1659"/>
        <s v="PROD-1660"/>
        <s v="PROD-1661"/>
        <s v="PROD-1662"/>
        <s v="PROD-1663"/>
        <s v="PROD-1664"/>
        <s v="PROD-1665"/>
        <s v="PROD-1666"/>
        <s v="PROD-1667"/>
        <s v="PROD-1668"/>
        <s v="PROD-1669"/>
        <s v="PROD-1670"/>
        <s v="PROD-1671"/>
        <s v="PROD-1672"/>
        <s v="PROD-1673"/>
        <s v="PROD-1674"/>
        <s v="PROD-1675"/>
        <s v="PROD-1676"/>
        <s v="PROD-1677"/>
        <s v="PROD-1678"/>
        <s v="PROD-1679"/>
        <s v="PROD-1680"/>
        <s v="PROD-1681"/>
        <s v="PROD-1682"/>
        <s v="PROD-1683"/>
        <s v="PROD-1684"/>
        <s v="PROD-1685"/>
        <s v="PROD-1686"/>
        <s v="PROD-1687"/>
        <s v="PROD-1688"/>
        <s v="PROD-1689"/>
        <s v="PROD-1690"/>
        <s v="PROD-1691"/>
        <s v="PROD-1692"/>
        <s v="PROD-1693"/>
        <s v="PROD-1694"/>
        <s v="PROD-1695"/>
        <s v="PROD-1696"/>
        <s v="PROD-1697"/>
        <s v="PROD-1698"/>
        <s v="PROD-1699"/>
        <s v="PROD-1700"/>
        <s v="PROD-1701"/>
        <s v="PROD-1702"/>
        <s v="PROD-1703"/>
        <s v="PROD-1704"/>
        <s v="PROD-1705"/>
        <s v="PROD-1706"/>
        <s v="PROD-1707"/>
        <s v="PROD-1708"/>
        <s v="PROD-1709"/>
        <s v="PROD-1710"/>
        <s v="PROD-1711"/>
        <s v="PROD-1712"/>
        <s v="PROD-1713"/>
        <s v="PROD-1714"/>
        <s v="PROD-1715"/>
        <s v="PROD-1716"/>
        <s v="PROD-1717"/>
        <s v="PROD-1718"/>
        <s v="PROD-1719"/>
        <s v="PROD-1720"/>
        <s v="PROD-1721"/>
        <s v="PROD-1722"/>
        <s v="PROD-1723"/>
        <s v="PROD-1724"/>
        <s v="PROD-1725"/>
        <s v="PROD-1726"/>
        <s v="PROD-1727"/>
        <s v="PROD-1728"/>
        <s v="PROD-1729"/>
        <s v="PROD-1730"/>
        <s v="PROD-1731"/>
        <s v="PROD-1732"/>
        <s v="PROD-1733"/>
        <s v="PROD-1734"/>
        <s v="PROD-1735"/>
        <s v="PROD-1736"/>
        <s v="PROD-1737"/>
        <s v="PROD-1738"/>
        <s v="PROD-1739"/>
        <s v="PROD-1740"/>
        <s v="PROD-1741"/>
        <s v="PROD-1742"/>
        <s v="PROD-1743"/>
        <s v="PROD-1744"/>
        <s v="PROD-1745"/>
        <s v="PROD-1746"/>
        <s v="PROD-1747"/>
        <s v="PROD-1748"/>
        <s v="PROD-1749"/>
        <s v="PROD-1750"/>
        <s v="PROD-1751"/>
        <s v="PROD-1752"/>
        <s v="PROD-1753"/>
        <s v="PROD-1754"/>
        <s v="PROD-1755"/>
        <s v="PROD-1756"/>
        <s v="PROD-1757"/>
        <s v="PROD-1758"/>
        <s v="PROD-1759"/>
        <s v="PROD-1760"/>
        <s v="PROD-1761"/>
        <s v="PROD-1762"/>
        <s v="PROD-1763"/>
        <s v="PROD-1764"/>
        <s v="PROD-1765"/>
        <s v="PROD-1766"/>
        <s v="PROD-1767"/>
        <s v="PROD-1768"/>
        <s v="PROD-1769"/>
        <s v="PROD-1770"/>
        <s v="PROD-1771"/>
        <s v="PROD-1772"/>
        <s v="PROD-1773"/>
        <s v="PROD-1774"/>
        <s v="PROD-1775"/>
        <s v="PROD-1776"/>
        <s v="PROD-1777"/>
        <s v="PROD-1778"/>
        <s v="PROD-1779"/>
        <s v="PROD-1780"/>
        <s v="PROD-1781"/>
        <s v="PROD-1782"/>
        <s v="PROD-1783"/>
        <s v="PROD-1784"/>
        <s v="PROD-1785"/>
        <s v="PROD-1786"/>
        <s v="PROD-1787"/>
        <s v="PROD-1788"/>
        <s v="PROD-1789"/>
        <s v="PROD-1790"/>
        <s v="PROD-1791"/>
        <s v="PROD-1792"/>
        <s v="PROD-1793"/>
        <s v="PROD-1794"/>
        <s v="PROD-1795"/>
        <s v="PROD-1796"/>
        <s v="PROD-1797"/>
        <s v="PROD-1798"/>
        <s v="PROD-1799"/>
        <s v="PROD-1800"/>
        <s v="PROD-1801"/>
        <s v="PROD-1802"/>
        <s v="PROD-1803"/>
        <s v="PROD-1804"/>
        <s v="PROD-1805"/>
        <s v="PROD-1806"/>
        <s v="PROD-1807"/>
        <s v="PROD-1808"/>
        <s v="PROD-1809"/>
        <s v="PROD-1810"/>
        <s v="PROD-1811"/>
        <s v="PROD-1812"/>
        <s v="PROD-1813"/>
        <s v="PROD-1814"/>
        <s v="PROD-1815"/>
        <s v="PROD-1816"/>
        <s v="PROD-1817"/>
        <s v="PROD-1818"/>
        <s v="PROD-1819"/>
        <s v="PROD-1820"/>
        <s v="PROD-1821"/>
        <s v="PROD-1822"/>
        <s v="PROD-1823"/>
        <s v="PROD-1824"/>
        <s v="PROD-1825"/>
        <s v="PROD-1826"/>
        <s v="PROD-1827"/>
        <s v="PROD-1828"/>
        <s v="PROD-1829"/>
        <s v="PROD-1830"/>
        <s v="PROD-1831"/>
        <s v="PROD-1832"/>
        <s v="PROD-1833"/>
        <s v="PROD-1834"/>
        <s v="PROD-1835"/>
        <s v="PROD-1836"/>
        <s v="PROD-1837"/>
        <s v="PROD-1838"/>
        <s v="PROD-1839"/>
        <s v="PROD-1840"/>
        <s v="PROD-1841"/>
        <s v="PROD-1842"/>
        <s v="PROD-1843"/>
        <s v="PROD-1844"/>
        <s v="PROD-1845"/>
        <s v="PROD-1846"/>
        <s v="PROD-1847"/>
        <s v="PROD-1848"/>
        <s v="PROD-1849"/>
        <s v="PROD-1850"/>
        <s v="PROD-1851"/>
        <s v="PROD-1852"/>
        <s v="PROD-1853"/>
        <s v="PROD-1854"/>
        <s v="PROD-1855"/>
        <s v="PROD-1856"/>
        <s v="PROD-1857"/>
        <s v="PROD-1858"/>
        <s v="PROD-1859"/>
        <s v="PROD-1860"/>
        <s v="PROD-1861"/>
        <s v="PROD-1862"/>
        <s v="PROD-1863"/>
        <s v="PROD-1864"/>
        <s v="PROD-1865"/>
        <s v="PROD-1866"/>
        <s v="PROD-1867"/>
        <s v="PROD-1868"/>
        <s v="PROD-1869"/>
        <s v="PROD-1870"/>
        <s v="PROD-1871"/>
        <s v="PROD-1872"/>
        <s v="PROD-1873"/>
        <s v="PROD-1874"/>
        <s v="PROD-1875"/>
        <s v="PROD-1876"/>
        <s v="PROD-1877"/>
        <s v="PROD-1878"/>
        <s v="PROD-1879"/>
        <s v="PROD-1880"/>
        <s v="PROD-1881"/>
        <s v="PROD-1882"/>
        <s v="PROD-1883"/>
        <s v="PROD-1884"/>
        <s v="PROD-1885"/>
        <s v="PROD-1886"/>
        <s v="PROD-1887"/>
        <s v="PROD-1888"/>
        <s v="PROD-1889"/>
        <s v="PROD-1890"/>
        <s v="PROD-1891"/>
        <s v="PROD-1892"/>
        <s v="PROD-1893"/>
        <s v="PROD-1894"/>
        <s v="PROD-1895"/>
        <s v="PROD-1896"/>
        <s v="PROD-1897"/>
        <s v="PROD-1898"/>
        <s v="PROD-1899"/>
        <s v="PROD-1900"/>
        <s v="PROD-1901"/>
        <s v="PROD-1902"/>
        <s v="PROD-1903"/>
        <s v="PROD-1904"/>
        <s v="PROD-1905"/>
        <s v="PROD-1906"/>
        <s v="PROD-1907"/>
        <s v="PROD-1908"/>
        <s v="PROD-1909"/>
        <s v="PROD-1910"/>
        <s v="PROD-1911"/>
        <s v="PROD-1912"/>
        <s v="PROD-1913"/>
        <s v="PROD-1914"/>
        <s v="PROD-1915"/>
        <s v="PROD-1916"/>
        <s v="PROD-1917"/>
        <s v="PROD-1918"/>
        <s v="PROD-1919"/>
        <s v="PROD-1920"/>
        <s v="PROD-1921"/>
        <s v="PROD-1922"/>
        <s v="PROD-1923"/>
        <s v="PROD-1924"/>
        <s v="PROD-1925"/>
        <s v="PROD-1926"/>
        <s v="PROD-1927"/>
        <s v="PROD-1928"/>
        <s v="PROD-1929"/>
        <s v="PROD-1930"/>
        <s v="PROD-1931"/>
        <s v="PROD-1932"/>
        <s v="PROD-1933"/>
        <s v="PROD-1934"/>
        <s v="PROD-1935"/>
        <s v="PROD-1936"/>
        <s v="PROD-1937"/>
        <s v="PROD-1938"/>
        <s v="PROD-1939"/>
        <s v="PROD-1940"/>
        <s v="PROD-1941"/>
        <s v="PROD-1942"/>
        <s v="PROD-1943"/>
        <s v="PROD-1944"/>
        <s v="PROD-1945"/>
        <s v="PROD-1946"/>
        <s v="PROD-1947"/>
        <s v="PROD-1948"/>
        <s v="PROD-1949"/>
        <s v="PROD-1950"/>
        <s v="PROD-1951"/>
        <s v="PROD-1952"/>
        <s v="PROD-1953"/>
        <s v="PROD-1954"/>
        <s v="PROD-1955"/>
        <s v="PROD-1956"/>
        <s v="PROD-1957"/>
        <s v="PROD-1958"/>
        <s v="PROD-1959"/>
        <s v="PROD-1960"/>
        <s v="PROD-1961"/>
        <s v="PROD-1962"/>
        <s v="PROD-1963"/>
        <s v="PROD-1964"/>
        <s v="PROD-1965"/>
        <s v="PROD-1966"/>
        <s v="PROD-1967"/>
        <s v="PROD-1968"/>
        <s v="PROD-1969"/>
        <s v="PROD-1970"/>
        <s v="PROD-1971"/>
        <s v="PROD-1972"/>
        <s v="PROD-1973"/>
        <s v="PROD-1974"/>
        <s v="PROD-1975"/>
        <s v="PROD-1976"/>
        <s v="PROD-1977"/>
        <s v="PROD-1978"/>
        <s v="PROD-1979"/>
        <s v="PROD-1980"/>
        <s v="PROD-1981"/>
        <s v="PROD-1982"/>
        <s v="PROD-1983"/>
        <s v="PROD-1984"/>
        <s v="PROD-1985"/>
        <s v="PROD-1986"/>
        <s v="PROD-1987"/>
        <s v="PROD-1988"/>
        <s v="PROD-1989"/>
        <s v="PROD-1990"/>
        <s v="PROD-1991"/>
        <s v="PROD-1992"/>
        <s v="PROD-1993"/>
        <s v="PROD-1994"/>
        <s v="PROD-1995"/>
        <s v="PROD-1996"/>
        <s v="PROD-1997"/>
        <s v="PROD-1998"/>
        <s v="PROD-1999"/>
        <s v="PROD-2000"/>
        <m/>
      </sharedItems>
    </cacheField>
    <cacheField name="Product-Name" numFmtId="0">
      <sharedItems containsBlank="1"/>
    </cacheField>
    <cacheField name="Category" numFmtId="0">
      <sharedItems containsBlank="1" count="6">
        <s v="Stationery"/>
        <s v="Clothing"/>
        <s v="Electronics"/>
        <s v="Groceries"/>
        <s v="Furniture"/>
        <m/>
      </sharedItems>
    </cacheField>
    <cacheField name="Supplier-Id" numFmtId="0">
      <sharedItems containsBlank="1"/>
    </cacheField>
    <cacheField name="Supplier-Name" numFmtId="0">
      <sharedItems containsBlank="1"/>
    </cacheField>
    <cacheField name="Stock-Quantity" numFmtId="0">
      <sharedItems containsString="0" containsBlank="1" containsNumber="1" containsInteger="1" minValue="10" maxValue="500"/>
    </cacheField>
    <cacheField name="Unit-Price" numFmtId="44">
      <sharedItems containsString="0" containsBlank="1" containsNumber="1" minValue="5.6" maxValue="499.72"/>
    </cacheField>
    <cacheField name="Date-Received" numFmtId="0">
      <sharedItems containsNonDate="0" containsDate="1" containsString="0" containsBlank="1" minDate="2025-01-01T00:00:00" maxDate="2025-07-01T00:00:00"/>
    </cacheField>
    <cacheField name="Date-Sales" numFmtId="0">
      <sharedItems containsNonDate="0" containsDate="1" containsString="0" containsBlank="1" minDate="2025-01-06T00:00:00" maxDate="2025-07-31T00:00:00"/>
    </cacheField>
    <cacheField name="Margin-Unit" numFmtId="44">
      <sharedItems containsString="0" containsBlank="1" containsNumber="1" minValue="0.78" maxValue="146.88"/>
    </cacheField>
    <cacheField name="Revenue" numFmtId="0">
      <sharedItems containsString="0" containsBlank="1" containsNumber="1" minValue="190.08" maxValue="65863944.8600000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AKY BLINDERS" refreshedDate="46068.709998611113" createdVersion="8" refreshedVersion="8" minRefreshableVersion="3" recordCount="1000" xr:uid="{2E3029B0-376E-49D3-B102-3742D6B5110B}">
  <cacheSource type="worksheet">
    <worksheetSource name="Table4"/>
  </cacheSource>
  <cacheFields count="14">
    <cacheField name="Product-Id" numFmtId="0">
      <sharedItems/>
    </cacheField>
    <cacheField name="Product-Name" numFmtId="0">
      <sharedItems/>
    </cacheField>
    <cacheField name="Category" numFmtId="0">
      <sharedItems count="5">
        <s v="Stationery"/>
        <s v="Clothing"/>
        <s v="Electronics"/>
        <s v="Groceries"/>
        <s v="Furniture"/>
      </sharedItems>
    </cacheField>
    <cacheField name="Supplier-Id" numFmtId="0">
      <sharedItems/>
    </cacheField>
    <cacheField name="Supplier-Name" numFmtId="0">
      <sharedItems/>
    </cacheField>
    <cacheField name="Stock-Quantity" numFmtId="0">
      <sharedItems containsSemiMixedTypes="0" containsString="0" containsNumber="1" containsInteger="1" minValue="10" maxValue="500"/>
    </cacheField>
    <cacheField name="Unit-Price" numFmtId="44">
      <sharedItems containsSemiMixedTypes="0" containsString="0" containsNumber="1" minValue="5.6" maxValue="499.72"/>
    </cacheField>
    <cacheField name="Date-Received" numFmtId="14">
      <sharedItems containsSemiMixedTypes="0" containsNonDate="0" containsDate="1" containsString="0" minDate="2025-01-01T00:00:00" maxDate="2025-07-01T00:00:00"/>
    </cacheField>
    <cacheField name="Date-Sales" numFmtId="14">
      <sharedItems containsSemiMixedTypes="0" containsNonDate="0" containsDate="1" containsString="0" minDate="2025-01-06T00:00:00" maxDate="2025-07-31T00:00:00"/>
    </cacheField>
    <cacheField name="Margin-Unit" numFmtId="44">
      <sharedItems containsSemiMixedTypes="0" containsString="0" containsNumber="1" minValue="0.78" maxValue="146.88"/>
    </cacheField>
    <cacheField name="Revenue" numFmtId="164">
      <sharedItems containsSemiMixedTypes="0" containsString="0" containsNumber="1" minValue="190.08" maxValue="242861.44"/>
    </cacheField>
    <cacheField name="Margins" numFmtId="164">
      <sharedItems containsSemiMixedTypes="0" containsString="0" containsNumber="1" minValue="21.060000000000002" maxValue="66358.5"/>
    </cacheField>
    <cacheField name="Days in stocks" numFmtId="0">
      <sharedItems containsSemiMixedTypes="0" containsString="0" containsNumber="1" containsInteger="1" minValue="1" maxValue="30"/>
    </cacheField>
    <cacheField name="Profit%" numFmtId="10">
      <sharedItems containsSemiMixedTypes="0" containsString="0" containsNumber="1" minValue="0.10014184397163121" maxValue="0.299862177594014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EAKY BLINDERS" refreshedDate="46069.814433101848" createdVersion="8" refreshedVersion="8" minRefreshableVersion="3" recordCount="1000" xr:uid="{F86EDA7A-D4E3-47A9-9E68-21790F5C8E59}">
  <cacheSource type="worksheet">
    <worksheetSource name="Table4"/>
  </cacheSource>
  <cacheFields count="14">
    <cacheField name="Product-Id" numFmtId="0">
      <sharedItems/>
    </cacheField>
    <cacheField name="Product-Name" numFmtId="0">
      <sharedItems count="20">
        <s v="Marker"/>
        <s v="Hoodie"/>
        <s v="Smartphone"/>
        <s v="Laptop"/>
        <s v="Dark Chocolate"/>
        <s v="Stool"/>
        <s v="Headphones"/>
        <s v="Notebook"/>
        <s v="Desk Lamp"/>
        <s v="T-Shirt"/>
        <s v="Cap"/>
        <s v="Pen Set"/>
        <s v="Bookshelf"/>
        <s v="Tablet"/>
        <s v="Office Chair"/>
        <s v="Coffee Beans"/>
        <s v="Organic Tea"/>
        <s v="Almonds"/>
        <s v="Socks"/>
        <s v="Desk Organizer"/>
      </sharedItems>
    </cacheField>
    <cacheField name="Category" numFmtId="0">
      <sharedItems count="5">
        <s v="Stationery"/>
        <s v="Clothing"/>
        <s v="Electronics"/>
        <s v="Groceries"/>
        <s v="Furniture"/>
      </sharedItems>
    </cacheField>
    <cacheField name="Supplier-Id" numFmtId="0">
      <sharedItems/>
    </cacheField>
    <cacheField name="Supplier-Name" numFmtId="0">
      <sharedItems count="5">
        <s v="Fresh Mart Logistics"/>
        <s v="Modern Home Supplies"/>
        <s v="Elite Paper Co"/>
        <s v="Global Tech Corp"/>
        <s v="Sunrise Industries"/>
      </sharedItems>
    </cacheField>
    <cacheField name="Stock-Quantity" numFmtId="0">
      <sharedItems containsSemiMixedTypes="0" containsString="0" containsNumber="1" containsInteger="1" minValue="10" maxValue="500"/>
    </cacheField>
    <cacheField name="Unit-Price" numFmtId="44">
      <sharedItems containsSemiMixedTypes="0" containsString="0" containsNumber="1" minValue="5.6" maxValue="499.72"/>
    </cacheField>
    <cacheField name="Date-Received" numFmtId="14">
      <sharedItems containsSemiMixedTypes="0" containsNonDate="0" containsDate="1" containsString="0" minDate="2025-01-01T00:00:00" maxDate="2025-07-01T00:00:00"/>
    </cacheField>
    <cacheField name="Date-Sales" numFmtId="14">
      <sharedItems containsSemiMixedTypes="0" containsNonDate="0" containsDate="1" containsString="0" minDate="2025-01-06T00:00:00" maxDate="2025-07-31T00:00:00"/>
    </cacheField>
    <cacheField name="Margin-Unit" numFmtId="44">
      <sharedItems containsSemiMixedTypes="0" containsString="0" containsNumber="1" minValue="0.78" maxValue="146.88"/>
    </cacheField>
    <cacheField name="Revenue" numFmtId="164">
      <sharedItems containsSemiMixedTypes="0" containsString="0" containsNumber="1" minValue="190.08" maxValue="242861.44"/>
    </cacheField>
    <cacheField name="Margins" numFmtId="164">
      <sharedItems containsSemiMixedTypes="0" containsString="0" containsNumber="1" minValue="21.060000000000002" maxValue="66358.5"/>
    </cacheField>
    <cacheField name="Days in stocks" numFmtId="0">
      <sharedItems containsSemiMixedTypes="0" containsString="0" containsNumber="1" containsInteger="1" minValue="1" maxValue="30"/>
    </cacheField>
    <cacheField name="Profit%" numFmtId="10">
      <sharedItems containsSemiMixedTypes="0" containsString="0" containsNumber="1" minValue="0.10014184397163121" maxValue="0.29986217759401457"/>
    </cacheField>
  </cacheFields>
  <extLst>
    <ext xmlns:x14="http://schemas.microsoft.com/office/spreadsheetml/2009/9/main" uri="{725AE2AE-9491-48be-B2B4-4EB974FC3084}">
      <x14:pivotCacheDefinition pivotCacheId="16566216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2">
  <r>
    <x v="0"/>
    <s v="Marker"/>
    <x v="0"/>
    <s v="S-105"/>
    <s v="Fresh Mart Logistics"/>
    <n v="78"/>
    <n v="303.98"/>
    <d v="2025-01-07T00:00:00"/>
    <d v="2025-01-15T00:00:00"/>
    <n v="42.7"/>
    <n v="23710.440000000002"/>
  </r>
  <r>
    <x v="1"/>
    <s v="Hoodie"/>
    <x v="1"/>
    <s v="S-104"/>
    <s v="Modern Home Supplies"/>
    <n v="153"/>
    <n v="246.75"/>
    <d v="2025-01-14T00:00:00"/>
    <d v="2025-01-16T00:00:00"/>
    <n v="24.71"/>
    <n v="37752.75"/>
  </r>
  <r>
    <x v="2"/>
    <s v="Smartphone"/>
    <x v="2"/>
    <s v="S-105"/>
    <s v="Fresh Mart Logistics"/>
    <n v="160"/>
    <n v="498.55"/>
    <d v="2025-02-04T00:00:00"/>
    <d v="2025-02-07T00:00:00"/>
    <n v="128.54"/>
    <n v="79768"/>
  </r>
  <r>
    <x v="3"/>
    <s v="Laptop"/>
    <x v="2"/>
    <s v="S-103"/>
    <s v="Elite Paper Co"/>
    <n v="388"/>
    <n v="433.61"/>
    <d v="2025-05-18T00:00:00"/>
    <d v="2025-06-11T00:00:00"/>
    <n v="101.29"/>
    <n v="168240.68"/>
  </r>
  <r>
    <x v="4"/>
    <s v="Dark Chocolate"/>
    <x v="3"/>
    <s v="S-101"/>
    <s v="Global Tech Corp"/>
    <n v="151"/>
    <n v="464.55"/>
    <d v="2025-04-28T00:00:00"/>
    <d v="2025-05-10T00:00:00"/>
    <n v="68.61"/>
    <n v="70147.05"/>
  </r>
  <r>
    <x v="5"/>
    <s v="Hoodie"/>
    <x v="1"/>
    <s v="S-101"/>
    <s v="Global Tech Corp"/>
    <n v="457"/>
    <n v="181.99"/>
    <d v="2025-02-14T00:00:00"/>
    <d v="2025-03-09T00:00:00"/>
    <n v="44.18"/>
    <n v="83169.430000000008"/>
  </r>
  <r>
    <x v="6"/>
    <s v="Stool"/>
    <x v="4"/>
    <s v="S-105"/>
    <s v="Fresh Mart Logistics"/>
    <n v="271"/>
    <n v="345.91"/>
    <d v="2025-01-13T00:00:00"/>
    <d v="2025-01-18T00:00:00"/>
    <n v="83.64"/>
    <n v="93741.61"/>
  </r>
  <r>
    <x v="7"/>
    <s v="Headphones"/>
    <x v="2"/>
    <s v="S-103"/>
    <s v="Elite Paper Co"/>
    <n v="233"/>
    <n v="116.07"/>
    <d v="2025-02-18T00:00:00"/>
    <d v="2025-02-23T00:00:00"/>
    <n v="25.64"/>
    <n v="27044.309999999998"/>
  </r>
  <r>
    <x v="8"/>
    <s v="Notebook"/>
    <x v="0"/>
    <s v="S-102"/>
    <s v="Sunrise Industries"/>
    <n v="27"/>
    <n v="467.87"/>
    <d v="2025-06-12T00:00:00"/>
    <d v="2025-06-21T00:00:00"/>
    <n v="89.53"/>
    <n v="12632.49"/>
  </r>
  <r>
    <x v="9"/>
    <s v="Desk Lamp"/>
    <x v="4"/>
    <s v="S-101"/>
    <s v="Global Tech Corp"/>
    <n v="317"/>
    <n v="19.21"/>
    <d v="2025-03-09T00:00:00"/>
    <d v="2025-04-01T00:00:00"/>
    <n v="3.26"/>
    <n v="6089.5700000000006"/>
  </r>
  <r>
    <x v="10"/>
    <s v="Marker"/>
    <x v="0"/>
    <s v="S-105"/>
    <s v="Fresh Mart Logistics"/>
    <n v="261"/>
    <n v="313.08"/>
    <d v="2025-04-03T00:00:00"/>
    <d v="2025-04-13T00:00:00"/>
    <n v="79.09"/>
    <n v="81713.87999999999"/>
  </r>
  <r>
    <x v="11"/>
    <s v="Marker"/>
    <x v="0"/>
    <s v="S-101"/>
    <s v="Global Tech Corp"/>
    <n v="177"/>
    <n v="252.91"/>
    <d v="2025-06-26T00:00:00"/>
    <d v="2025-07-05T00:00:00"/>
    <n v="69.2"/>
    <n v="44765.07"/>
  </r>
  <r>
    <x v="12"/>
    <s v="T-Shirt"/>
    <x v="1"/>
    <s v="S-101"/>
    <s v="Global Tech Corp"/>
    <n v="324"/>
    <n v="353.67"/>
    <d v="2025-05-14T00:00:00"/>
    <d v="2025-06-13T00:00:00"/>
    <n v="81.69"/>
    <n v="114589.08"/>
  </r>
  <r>
    <x v="13"/>
    <s v="T-Shirt"/>
    <x v="1"/>
    <s v="S-104"/>
    <s v="Modern Home Supplies"/>
    <n v="62"/>
    <n v="63.73"/>
    <d v="2025-05-07T00:00:00"/>
    <d v="2025-06-05T00:00:00"/>
    <n v="10.050000000000001"/>
    <n v="3951.2599999999998"/>
  </r>
  <r>
    <x v="14"/>
    <s v="Cap"/>
    <x v="1"/>
    <s v="S-102"/>
    <s v="Sunrise Industries"/>
    <n v="375"/>
    <n v="403.37"/>
    <d v="2025-02-02T00:00:00"/>
    <d v="2025-02-18T00:00:00"/>
    <n v="86.46"/>
    <n v="151263.75"/>
  </r>
  <r>
    <x v="15"/>
    <s v="Pen Set"/>
    <x v="0"/>
    <s v="S-101"/>
    <s v="Global Tech Corp"/>
    <n v="365"/>
    <n v="379.32"/>
    <d v="2025-06-18T00:00:00"/>
    <d v="2025-07-08T00:00:00"/>
    <n v="60.25"/>
    <n v="138451.79999999999"/>
  </r>
  <r>
    <x v="16"/>
    <s v="Pen Set"/>
    <x v="0"/>
    <s v="S-101"/>
    <s v="Global Tech Corp"/>
    <n v="369"/>
    <n v="7.43"/>
    <d v="2025-04-27T00:00:00"/>
    <d v="2025-05-01T00:00:00"/>
    <n v="1.79"/>
    <n v="2741.67"/>
  </r>
  <r>
    <x v="17"/>
    <s v="T-Shirt"/>
    <x v="1"/>
    <s v="S-104"/>
    <s v="Modern Home Supplies"/>
    <n v="414"/>
    <n v="221.84"/>
    <d v="2025-04-08T00:00:00"/>
    <d v="2025-05-06T00:00:00"/>
    <n v="35.479999999999997"/>
    <n v="91841.76"/>
  </r>
  <r>
    <x v="18"/>
    <s v="Laptop"/>
    <x v="2"/>
    <s v="S-101"/>
    <s v="Global Tech Corp"/>
    <n v="177"/>
    <n v="367.82"/>
    <d v="2025-03-13T00:00:00"/>
    <d v="2025-03-17T00:00:00"/>
    <n v="105.7"/>
    <n v="65104.14"/>
  </r>
  <r>
    <x v="19"/>
    <s v="Headphones"/>
    <x v="2"/>
    <s v="S-104"/>
    <s v="Modern Home Supplies"/>
    <n v="75"/>
    <n v="189.66"/>
    <d v="2025-03-04T00:00:00"/>
    <d v="2025-03-15T00:00:00"/>
    <n v="48.49"/>
    <n v="14224.5"/>
  </r>
  <r>
    <x v="20"/>
    <s v="Marker"/>
    <x v="0"/>
    <s v="S-105"/>
    <s v="Fresh Mart Logistics"/>
    <n v="115"/>
    <n v="147.58000000000001"/>
    <d v="2025-06-08T00:00:00"/>
    <d v="2025-06-09T00:00:00"/>
    <n v="28.42"/>
    <n v="16971.7"/>
  </r>
  <r>
    <x v="21"/>
    <s v="Smartphone"/>
    <x v="2"/>
    <s v="S-104"/>
    <s v="Modern Home Supplies"/>
    <n v="435"/>
    <n v="199.7"/>
    <d v="2025-04-13T00:00:00"/>
    <d v="2025-05-11T00:00:00"/>
    <n v="41.3"/>
    <n v="86869.5"/>
  </r>
  <r>
    <x v="22"/>
    <s v="Headphones"/>
    <x v="2"/>
    <s v="S-103"/>
    <s v="Elite Paper Co"/>
    <n v="67"/>
    <n v="344.21"/>
    <d v="2025-04-17T00:00:00"/>
    <d v="2025-05-12T00:00:00"/>
    <n v="60.05"/>
    <n v="23062.07"/>
  </r>
  <r>
    <x v="23"/>
    <s v="Smartphone"/>
    <x v="2"/>
    <s v="S-105"/>
    <s v="Fresh Mart Logistics"/>
    <n v="188"/>
    <n v="216.78"/>
    <d v="2025-01-03T00:00:00"/>
    <d v="2025-01-08T00:00:00"/>
    <n v="35.61"/>
    <n v="40754.639999999999"/>
  </r>
  <r>
    <x v="24"/>
    <s v="Hoodie"/>
    <x v="1"/>
    <s v="S-105"/>
    <s v="Fresh Mart Logistics"/>
    <n v="382"/>
    <n v="218.21"/>
    <d v="2025-05-06T00:00:00"/>
    <d v="2025-06-03T00:00:00"/>
    <n v="35.54"/>
    <n v="83356.22"/>
  </r>
  <r>
    <x v="25"/>
    <s v="Bookshelf"/>
    <x v="4"/>
    <s v="S-102"/>
    <s v="Sunrise Industries"/>
    <n v="156"/>
    <n v="100.91"/>
    <d v="2025-04-14T00:00:00"/>
    <d v="2025-04-19T00:00:00"/>
    <n v="12.07"/>
    <n v="15741.96"/>
  </r>
  <r>
    <x v="26"/>
    <s v="Tablet"/>
    <x v="2"/>
    <s v="S-103"/>
    <s v="Elite Paper Co"/>
    <n v="263"/>
    <n v="370.15"/>
    <d v="2025-01-10T00:00:00"/>
    <d v="2025-01-14T00:00:00"/>
    <n v="85.66"/>
    <n v="97349.45"/>
  </r>
  <r>
    <x v="27"/>
    <s v="Cap"/>
    <x v="1"/>
    <s v="S-105"/>
    <s v="Fresh Mart Logistics"/>
    <n v="328"/>
    <n v="374.1"/>
    <d v="2025-04-19T00:00:00"/>
    <d v="2025-05-04T00:00:00"/>
    <n v="75.599999999999994"/>
    <n v="122704.8"/>
  </r>
  <r>
    <x v="28"/>
    <s v="Tablet"/>
    <x v="2"/>
    <s v="S-102"/>
    <s v="Sunrise Industries"/>
    <n v="80"/>
    <n v="492.23"/>
    <d v="2025-01-22T00:00:00"/>
    <d v="2025-01-25T00:00:00"/>
    <n v="144.96"/>
    <n v="39378.400000000001"/>
  </r>
  <r>
    <x v="29"/>
    <s v="Pen Set"/>
    <x v="0"/>
    <s v="S-101"/>
    <s v="Global Tech Corp"/>
    <n v="318"/>
    <n v="211.62"/>
    <d v="2025-05-01T00:00:00"/>
    <d v="2025-05-26T00:00:00"/>
    <n v="43.72"/>
    <n v="67295.16"/>
  </r>
  <r>
    <x v="30"/>
    <s v="Office Chair"/>
    <x v="4"/>
    <s v="S-101"/>
    <s v="Global Tech Corp"/>
    <n v="79"/>
    <n v="296.14999999999998"/>
    <d v="2025-03-08T00:00:00"/>
    <d v="2025-04-06T00:00:00"/>
    <n v="81.5"/>
    <n v="23395.85"/>
  </r>
  <r>
    <x v="31"/>
    <s v="Office Chair"/>
    <x v="4"/>
    <s v="S-105"/>
    <s v="Fresh Mart Logistics"/>
    <n v="99"/>
    <n v="275.2"/>
    <d v="2025-04-23T00:00:00"/>
    <d v="2025-05-19T00:00:00"/>
    <n v="72.86"/>
    <n v="27244.799999999999"/>
  </r>
  <r>
    <x v="32"/>
    <s v="Pen Set"/>
    <x v="0"/>
    <s v="S-103"/>
    <s v="Elite Paper Co"/>
    <n v="125"/>
    <n v="201.35"/>
    <d v="2025-06-22T00:00:00"/>
    <d v="2025-07-06T00:00:00"/>
    <n v="27.05"/>
    <n v="25168.75"/>
  </r>
  <r>
    <x v="33"/>
    <s v="Coffee Beans"/>
    <x v="3"/>
    <s v="S-105"/>
    <s v="Fresh Mart Logistics"/>
    <n v="235"/>
    <n v="193.26"/>
    <d v="2025-05-08T00:00:00"/>
    <d v="2025-06-05T00:00:00"/>
    <n v="54.52"/>
    <n v="45416.1"/>
  </r>
  <r>
    <x v="34"/>
    <s v="Tablet"/>
    <x v="2"/>
    <s v="S-104"/>
    <s v="Modern Home Supplies"/>
    <n v="295"/>
    <n v="460.69"/>
    <d v="2025-02-17T00:00:00"/>
    <d v="2025-03-02T00:00:00"/>
    <n v="100.39"/>
    <n v="135903.54999999999"/>
  </r>
  <r>
    <x v="35"/>
    <s v="Headphones"/>
    <x v="2"/>
    <s v="S-102"/>
    <s v="Sunrise Industries"/>
    <n v="479"/>
    <n v="405.21"/>
    <d v="2025-04-06T00:00:00"/>
    <d v="2025-04-20T00:00:00"/>
    <n v="66.23"/>
    <n v="194095.59"/>
  </r>
  <r>
    <x v="36"/>
    <s v="Coffee Beans"/>
    <x v="3"/>
    <s v="S-103"/>
    <s v="Elite Paper Co"/>
    <n v="136"/>
    <n v="229.77"/>
    <d v="2025-05-28T00:00:00"/>
    <d v="2025-06-26T00:00:00"/>
    <n v="36.61"/>
    <n v="31248.720000000001"/>
  </r>
  <r>
    <x v="37"/>
    <s v="Office Chair"/>
    <x v="4"/>
    <s v="S-103"/>
    <s v="Elite Paper Co"/>
    <n v="249"/>
    <n v="23.97"/>
    <d v="2025-04-16T00:00:00"/>
    <d v="2025-04-20T00:00:00"/>
    <n v="4.3099999999999996"/>
    <n v="5968.53"/>
  </r>
  <r>
    <x v="38"/>
    <s v="Organic Tea"/>
    <x v="3"/>
    <s v="S-101"/>
    <s v="Global Tech Corp"/>
    <n v="364"/>
    <n v="352.42"/>
    <d v="2025-05-31T00:00:00"/>
    <d v="2025-06-10T00:00:00"/>
    <n v="93.38"/>
    <n v="128280.88"/>
  </r>
  <r>
    <x v="39"/>
    <s v="Desk Lamp"/>
    <x v="4"/>
    <s v="S-103"/>
    <s v="Elite Paper Co"/>
    <n v="33"/>
    <n v="392.86"/>
    <d v="2025-04-06T00:00:00"/>
    <d v="2025-05-03T00:00:00"/>
    <n v="49.78"/>
    <n v="12964.380000000001"/>
  </r>
  <r>
    <x v="40"/>
    <s v="Notebook"/>
    <x v="0"/>
    <s v="S-103"/>
    <s v="Elite Paper Co"/>
    <n v="65"/>
    <n v="46.21"/>
    <d v="2025-01-05T00:00:00"/>
    <d v="2025-01-07T00:00:00"/>
    <n v="6.75"/>
    <n v="3003.65"/>
  </r>
  <r>
    <x v="41"/>
    <s v="T-Shirt"/>
    <x v="1"/>
    <s v="S-103"/>
    <s v="Elite Paper Co"/>
    <n v="14"/>
    <n v="433.4"/>
    <d v="2025-06-14T00:00:00"/>
    <d v="2025-07-09T00:00:00"/>
    <n v="128.22"/>
    <n v="6067.5999999999995"/>
  </r>
  <r>
    <x v="42"/>
    <s v="Organic Tea"/>
    <x v="3"/>
    <s v="S-101"/>
    <s v="Global Tech Corp"/>
    <n v="175"/>
    <n v="85.23"/>
    <d v="2025-01-07T00:00:00"/>
    <d v="2025-01-11T00:00:00"/>
    <n v="14.22"/>
    <n v="14915.25"/>
  </r>
  <r>
    <x v="43"/>
    <s v="Notebook"/>
    <x v="0"/>
    <s v="S-102"/>
    <s v="Sunrise Industries"/>
    <n v="128"/>
    <n v="477.47"/>
    <d v="2025-04-15T00:00:00"/>
    <d v="2025-04-22T00:00:00"/>
    <n v="52.82"/>
    <n v="61116.160000000003"/>
  </r>
  <r>
    <x v="44"/>
    <s v="Desk Lamp"/>
    <x v="4"/>
    <s v="S-103"/>
    <s v="Elite Paper Co"/>
    <n v="406"/>
    <n v="88.57"/>
    <d v="2025-05-13T00:00:00"/>
    <d v="2025-05-21T00:00:00"/>
    <n v="17.95"/>
    <n v="35959.42"/>
  </r>
  <r>
    <x v="45"/>
    <s v="T-Shirt"/>
    <x v="1"/>
    <s v="S-105"/>
    <s v="Fresh Mart Logistics"/>
    <n v="138"/>
    <n v="205.02"/>
    <d v="2025-02-18T00:00:00"/>
    <d v="2025-03-08T00:00:00"/>
    <n v="35.22"/>
    <n v="28292.760000000002"/>
  </r>
  <r>
    <x v="46"/>
    <s v="Pen Set"/>
    <x v="0"/>
    <s v="S-103"/>
    <s v="Elite Paper Co"/>
    <n v="73"/>
    <n v="124.65"/>
    <d v="2025-05-17T00:00:00"/>
    <d v="2025-06-09T00:00:00"/>
    <n v="22.95"/>
    <n v="9099.4500000000007"/>
  </r>
  <r>
    <x v="47"/>
    <s v="Laptop"/>
    <x v="2"/>
    <s v="S-103"/>
    <s v="Elite Paper Co"/>
    <n v="182"/>
    <n v="82.35"/>
    <d v="2025-06-25T00:00:00"/>
    <d v="2025-07-22T00:00:00"/>
    <n v="21.7"/>
    <n v="14987.699999999999"/>
  </r>
  <r>
    <x v="48"/>
    <s v="Coffee Beans"/>
    <x v="3"/>
    <s v="S-102"/>
    <s v="Sunrise Industries"/>
    <n v="252"/>
    <n v="173.68"/>
    <d v="2025-03-28T00:00:00"/>
    <d v="2025-04-12T00:00:00"/>
    <n v="24.5"/>
    <n v="43767.360000000001"/>
  </r>
  <r>
    <x v="49"/>
    <s v="Marker"/>
    <x v="0"/>
    <s v="S-102"/>
    <s v="Sunrise Industries"/>
    <n v="118"/>
    <n v="162.02000000000001"/>
    <d v="2025-01-19T00:00:00"/>
    <d v="2025-02-08T00:00:00"/>
    <n v="40.21"/>
    <n v="19118.36"/>
  </r>
  <r>
    <x v="50"/>
    <s v="Office Chair"/>
    <x v="4"/>
    <s v="S-104"/>
    <s v="Modern Home Supplies"/>
    <n v="67"/>
    <n v="184.75"/>
    <d v="2025-06-24T00:00:00"/>
    <d v="2025-07-14T00:00:00"/>
    <n v="30.9"/>
    <n v="12378.25"/>
  </r>
  <r>
    <x v="51"/>
    <s v="Almonds"/>
    <x v="3"/>
    <s v="S-104"/>
    <s v="Modern Home Supplies"/>
    <n v="116"/>
    <n v="116.15"/>
    <d v="2025-04-21T00:00:00"/>
    <d v="2025-04-25T00:00:00"/>
    <n v="23.58"/>
    <n v="13473.400000000001"/>
  </r>
  <r>
    <x v="52"/>
    <s v="Cap"/>
    <x v="1"/>
    <s v="S-103"/>
    <s v="Elite Paper Co"/>
    <n v="32"/>
    <n v="296.72000000000003"/>
    <d v="2025-02-12T00:00:00"/>
    <d v="2025-02-24T00:00:00"/>
    <n v="87.72"/>
    <n v="9495.0400000000009"/>
  </r>
  <r>
    <x v="53"/>
    <s v="Desk Lamp"/>
    <x v="4"/>
    <s v="S-102"/>
    <s v="Sunrise Industries"/>
    <n v="322"/>
    <n v="313.48"/>
    <d v="2025-01-03T00:00:00"/>
    <d v="2025-01-22T00:00:00"/>
    <n v="44.03"/>
    <n v="100940.56000000001"/>
  </r>
  <r>
    <x v="54"/>
    <s v="Dark Chocolate"/>
    <x v="3"/>
    <s v="S-104"/>
    <s v="Modern Home Supplies"/>
    <n v="447"/>
    <n v="487.79"/>
    <d v="2025-04-18T00:00:00"/>
    <d v="2025-04-26T00:00:00"/>
    <n v="115.47"/>
    <n v="218042.13"/>
  </r>
  <r>
    <x v="55"/>
    <s v="Pen Set"/>
    <x v="0"/>
    <s v="S-102"/>
    <s v="Sunrise Industries"/>
    <n v="318"/>
    <n v="229.71"/>
    <d v="2025-03-19T00:00:00"/>
    <d v="2025-04-03T00:00:00"/>
    <n v="28.08"/>
    <n v="73047.78"/>
  </r>
  <r>
    <x v="56"/>
    <s v="Smartphone"/>
    <x v="2"/>
    <s v="S-101"/>
    <s v="Global Tech Corp"/>
    <n v="478"/>
    <n v="50.02"/>
    <d v="2025-01-22T00:00:00"/>
    <d v="2025-02-13T00:00:00"/>
    <n v="5.91"/>
    <n v="23909.56"/>
  </r>
  <r>
    <x v="57"/>
    <s v="Laptop"/>
    <x v="2"/>
    <s v="S-104"/>
    <s v="Modern Home Supplies"/>
    <n v="474"/>
    <n v="186.33"/>
    <d v="2025-03-16T00:00:00"/>
    <d v="2025-03-24T00:00:00"/>
    <n v="28.36"/>
    <n v="88320.420000000013"/>
  </r>
  <r>
    <x v="58"/>
    <s v="Office Chair"/>
    <x v="4"/>
    <s v="S-103"/>
    <s v="Elite Paper Co"/>
    <n v="419"/>
    <n v="28.32"/>
    <d v="2025-01-19T00:00:00"/>
    <d v="2025-02-17T00:00:00"/>
    <n v="4.1900000000000004"/>
    <n v="11866.08"/>
  </r>
  <r>
    <x v="59"/>
    <s v="Organic Tea"/>
    <x v="3"/>
    <s v="S-102"/>
    <s v="Sunrise Industries"/>
    <n v="423"/>
    <n v="120.39"/>
    <d v="2025-03-09T00:00:00"/>
    <d v="2025-03-15T00:00:00"/>
    <n v="35.450000000000003"/>
    <n v="50924.97"/>
  </r>
  <r>
    <x v="60"/>
    <s v="Headphones"/>
    <x v="2"/>
    <s v="S-103"/>
    <s v="Elite Paper Co"/>
    <n v="460"/>
    <n v="404.06"/>
    <d v="2025-02-03T00:00:00"/>
    <d v="2025-03-03T00:00:00"/>
    <n v="79.930000000000007"/>
    <n v="185867.6"/>
  </r>
  <r>
    <x v="61"/>
    <s v="Pen Set"/>
    <x v="0"/>
    <s v="S-101"/>
    <s v="Global Tech Corp"/>
    <n v="474"/>
    <n v="66.84"/>
    <d v="2025-04-27T00:00:00"/>
    <d v="2025-05-12T00:00:00"/>
    <n v="12.46"/>
    <n v="31682.16"/>
  </r>
  <r>
    <x v="62"/>
    <s v="Socks"/>
    <x v="1"/>
    <s v="S-101"/>
    <s v="Global Tech Corp"/>
    <n v="352"/>
    <n v="63.87"/>
    <d v="2025-05-29T00:00:00"/>
    <d v="2025-06-04T00:00:00"/>
    <n v="9.17"/>
    <n v="22482.239999999998"/>
  </r>
  <r>
    <x v="63"/>
    <s v="Marker"/>
    <x v="0"/>
    <s v="S-103"/>
    <s v="Elite Paper Co"/>
    <n v="255"/>
    <n v="491.89"/>
    <d v="2025-06-25T00:00:00"/>
    <d v="2025-07-20T00:00:00"/>
    <n v="118.69"/>
    <n v="125431.95"/>
  </r>
  <r>
    <x v="64"/>
    <s v="Almonds"/>
    <x v="3"/>
    <s v="S-101"/>
    <s v="Global Tech Corp"/>
    <n v="54"/>
    <n v="137.6"/>
    <d v="2025-05-26T00:00:00"/>
    <d v="2025-05-30T00:00:00"/>
    <n v="24.62"/>
    <n v="7430.4"/>
  </r>
  <r>
    <x v="65"/>
    <s v="Hoodie"/>
    <x v="1"/>
    <s v="S-103"/>
    <s v="Elite Paper Co"/>
    <n v="419"/>
    <n v="231.56"/>
    <d v="2025-01-09T00:00:00"/>
    <d v="2025-01-26T00:00:00"/>
    <n v="58.8"/>
    <n v="97023.64"/>
  </r>
  <r>
    <x v="66"/>
    <s v="Notebook"/>
    <x v="0"/>
    <s v="S-103"/>
    <s v="Elite Paper Co"/>
    <n v="302"/>
    <n v="18.309999999999999"/>
    <d v="2025-06-18T00:00:00"/>
    <d v="2025-06-28T00:00:00"/>
    <n v="5.17"/>
    <n v="5529.62"/>
  </r>
  <r>
    <x v="67"/>
    <s v="Dark Chocolate"/>
    <x v="3"/>
    <s v="S-105"/>
    <s v="Fresh Mart Logistics"/>
    <n v="57"/>
    <n v="457.4"/>
    <d v="2025-05-25T00:00:00"/>
    <d v="2025-05-27T00:00:00"/>
    <n v="53.06"/>
    <n v="26071.8"/>
  </r>
  <r>
    <x v="68"/>
    <s v="Socks"/>
    <x v="1"/>
    <s v="S-102"/>
    <s v="Sunrise Industries"/>
    <n v="440"/>
    <n v="201.11"/>
    <d v="2025-06-12T00:00:00"/>
    <d v="2025-07-10T00:00:00"/>
    <n v="31.57"/>
    <n v="88488.400000000009"/>
  </r>
  <r>
    <x v="69"/>
    <s v="Almonds"/>
    <x v="3"/>
    <s v="S-101"/>
    <s v="Global Tech Corp"/>
    <n v="173"/>
    <n v="341.28"/>
    <d v="2025-05-05T00:00:00"/>
    <d v="2025-05-23T00:00:00"/>
    <n v="52.22"/>
    <n v="59041.439999999995"/>
  </r>
  <r>
    <x v="70"/>
    <s v="Almonds"/>
    <x v="3"/>
    <s v="S-104"/>
    <s v="Modern Home Supplies"/>
    <n v="452"/>
    <n v="44.61"/>
    <d v="2025-02-20T00:00:00"/>
    <d v="2025-02-22T00:00:00"/>
    <n v="11.36"/>
    <n v="20163.72"/>
  </r>
  <r>
    <x v="71"/>
    <s v="Desk Organizer"/>
    <x v="0"/>
    <s v="S-105"/>
    <s v="Fresh Mart Logistics"/>
    <n v="252"/>
    <n v="204.66"/>
    <d v="2025-04-02T00:00:00"/>
    <d v="2025-04-24T00:00:00"/>
    <n v="53.49"/>
    <n v="51574.32"/>
  </r>
  <r>
    <x v="72"/>
    <s v="Desk Lamp"/>
    <x v="4"/>
    <s v="S-103"/>
    <s v="Elite Paper Co"/>
    <n v="253"/>
    <n v="172.14"/>
    <d v="2025-02-08T00:00:00"/>
    <d v="2025-02-11T00:00:00"/>
    <n v="24.59"/>
    <n v="43551.42"/>
  </r>
  <r>
    <x v="73"/>
    <s v="Marker"/>
    <x v="0"/>
    <s v="S-102"/>
    <s v="Sunrise Industries"/>
    <n v="87"/>
    <n v="194.85"/>
    <d v="2025-03-11T00:00:00"/>
    <d v="2025-04-01T00:00:00"/>
    <n v="23.44"/>
    <n v="16951.95"/>
  </r>
  <r>
    <x v="74"/>
    <s v="Laptop"/>
    <x v="2"/>
    <s v="S-102"/>
    <s v="Sunrise Industries"/>
    <n v="227"/>
    <n v="322.98"/>
    <d v="2025-06-12T00:00:00"/>
    <d v="2025-06-19T00:00:00"/>
    <n v="43.52"/>
    <n v="73316.460000000006"/>
  </r>
  <r>
    <x v="75"/>
    <s v="Stool"/>
    <x v="4"/>
    <s v="S-101"/>
    <s v="Global Tech Corp"/>
    <n v="174"/>
    <n v="437.62"/>
    <d v="2025-04-21T00:00:00"/>
    <d v="2025-05-09T00:00:00"/>
    <n v="45.09"/>
    <n v="76145.88"/>
  </r>
  <r>
    <x v="76"/>
    <s v="Dark Chocolate"/>
    <x v="3"/>
    <s v="S-103"/>
    <s v="Elite Paper Co"/>
    <n v="452"/>
    <n v="72.48"/>
    <d v="2025-01-21T00:00:00"/>
    <d v="2025-01-30T00:00:00"/>
    <n v="15.11"/>
    <n v="32760.960000000003"/>
  </r>
  <r>
    <x v="77"/>
    <s v="Desk Organizer"/>
    <x v="0"/>
    <s v="S-105"/>
    <s v="Fresh Mart Logistics"/>
    <n v="347"/>
    <n v="74"/>
    <d v="2025-03-23T00:00:00"/>
    <d v="2025-03-31T00:00:00"/>
    <n v="16.29"/>
    <n v="25678"/>
  </r>
  <r>
    <x v="78"/>
    <s v="Stool"/>
    <x v="4"/>
    <s v="S-102"/>
    <s v="Sunrise Industries"/>
    <n v="283"/>
    <n v="121.15"/>
    <d v="2025-02-14T00:00:00"/>
    <d v="2025-03-07T00:00:00"/>
    <n v="15.2"/>
    <n v="34285.450000000004"/>
  </r>
  <r>
    <x v="79"/>
    <s v="Almonds"/>
    <x v="3"/>
    <s v="S-104"/>
    <s v="Modern Home Supplies"/>
    <n v="135"/>
    <n v="28.55"/>
    <d v="2025-02-19T00:00:00"/>
    <d v="2025-02-20T00:00:00"/>
    <n v="6.95"/>
    <n v="3854.25"/>
  </r>
  <r>
    <x v="80"/>
    <s v="Socks"/>
    <x v="1"/>
    <s v="S-104"/>
    <s v="Modern Home Supplies"/>
    <n v="282"/>
    <n v="139.83000000000001"/>
    <d v="2025-04-19T00:00:00"/>
    <d v="2025-04-21T00:00:00"/>
    <n v="15.86"/>
    <n v="39432.060000000005"/>
  </r>
  <r>
    <x v="81"/>
    <s v="Notebook"/>
    <x v="0"/>
    <s v="S-102"/>
    <s v="Sunrise Industries"/>
    <n v="92"/>
    <n v="81.5"/>
    <d v="2025-05-01T00:00:00"/>
    <d v="2025-05-12T00:00:00"/>
    <n v="14.51"/>
    <n v="7498"/>
  </r>
  <r>
    <x v="82"/>
    <s v="Marker"/>
    <x v="0"/>
    <s v="S-103"/>
    <s v="Elite Paper Co"/>
    <n v="476"/>
    <n v="111.51"/>
    <d v="2025-01-04T00:00:00"/>
    <d v="2025-01-22T00:00:00"/>
    <n v="15.64"/>
    <n v="53078.76"/>
  </r>
  <r>
    <x v="83"/>
    <s v="T-Shirt"/>
    <x v="1"/>
    <s v="S-105"/>
    <s v="Fresh Mart Logistics"/>
    <n v="217"/>
    <n v="465.58"/>
    <d v="2025-01-17T00:00:00"/>
    <d v="2025-02-06T00:00:00"/>
    <n v="64.709999999999994"/>
    <n v="101030.86"/>
  </r>
  <r>
    <x v="84"/>
    <s v="T-Shirt"/>
    <x v="1"/>
    <s v="S-104"/>
    <s v="Modern Home Supplies"/>
    <n v="411"/>
    <n v="110.15"/>
    <d v="2025-05-24T00:00:00"/>
    <d v="2025-05-26T00:00:00"/>
    <n v="18.600000000000001"/>
    <n v="45271.65"/>
  </r>
  <r>
    <x v="85"/>
    <s v="Marker"/>
    <x v="0"/>
    <s v="S-104"/>
    <s v="Modern Home Supplies"/>
    <n v="62"/>
    <n v="263.48"/>
    <d v="2025-06-21T00:00:00"/>
    <d v="2025-06-29T00:00:00"/>
    <n v="77.73"/>
    <n v="16335.760000000002"/>
  </r>
  <r>
    <x v="86"/>
    <s v="Hoodie"/>
    <x v="1"/>
    <s v="S-103"/>
    <s v="Elite Paper Co"/>
    <n v="340"/>
    <n v="308.91000000000003"/>
    <d v="2025-05-05T00:00:00"/>
    <d v="2025-05-13T00:00:00"/>
    <n v="41.42"/>
    <n v="105029.40000000001"/>
  </r>
  <r>
    <x v="87"/>
    <s v="Smartphone"/>
    <x v="2"/>
    <s v="S-103"/>
    <s v="Elite Paper Co"/>
    <n v="167"/>
    <n v="89.49"/>
    <d v="2025-01-04T00:00:00"/>
    <d v="2025-01-28T00:00:00"/>
    <n v="13.53"/>
    <n v="14944.83"/>
  </r>
  <r>
    <x v="88"/>
    <s v="Office Chair"/>
    <x v="4"/>
    <s v="S-101"/>
    <s v="Global Tech Corp"/>
    <n v="66"/>
    <n v="35.86"/>
    <d v="2025-01-14T00:00:00"/>
    <d v="2025-01-28T00:00:00"/>
    <n v="7.91"/>
    <n v="2366.7599999999998"/>
  </r>
  <r>
    <x v="89"/>
    <s v="T-Shirt"/>
    <x v="1"/>
    <s v="S-104"/>
    <s v="Modern Home Supplies"/>
    <n v="312"/>
    <n v="167.72"/>
    <d v="2025-06-30T00:00:00"/>
    <d v="2025-07-02T00:00:00"/>
    <n v="46.18"/>
    <n v="52328.639999999999"/>
  </r>
  <r>
    <x v="90"/>
    <s v="Dark Chocolate"/>
    <x v="3"/>
    <s v="S-102"/>
    <s v="Sunrise Industries"/>
    <n v="287"/>
    <n v="185.55"/>
    <d v="2025-04-06T00:00:00"/>
    <d v="2025-04-19T00:00:00"/>
    <n v="23.13"/>
    <n v="53252.850000000006"/>
  </r>
  <r>
    <x v="91"/>
    <s v="Headphones"/>
    <x v="2"/>
    <s v="S-101"/>
    <s v="Global Tech Corp"/>
    <n v="156"/>
    <n v="384.4"/>
    <d v="2025-03-26T00:00:00"/>
    <d v="2025-04-15T00:00:00"/>
    <n v="103.41"/>
    <n v="59966.399999999994"/>
  </r>
  <r>
    <x v="92"/>
    <s v="Pen Set"/>
    <x v="0"/>
    <s v="S-101"/>
    <s v="Global Tech Corp"/>
    <n v="221"/>
    <n v="73.97"/>
    <d v="2025-04-03T00:00:00"/>
    <d v="2025-04-28T00:00:00"/>
    <n v="12.73"/>
    <n v="16347.369999999999"/>
  </r>
  <r>
    <x v="93"/>
    <s v="Marker"/>
    <x v="0"/>
    <s v="S-105"/>
    <s v="Fresh Mart Logistics"/>
    <n v="454"/>
    <n v="448.03"/>
    <d v="2025-04-24T00:00:00"/>
    <d v="2025-05-16T00:00:00"/>
    <n v="90.04"/>
    <n v="203405.62"/>
  </r>
  <r>
    <x v="94"/>
    <s v="Almonds"/>
    <x v="3"/>
    <s v="S-102"/>
    <s v="Sunrise Industries"/>
    <n v="155"/>
    <n v="189"/>
    <d v="2025-01-26T00:00:00"/>
    <d v="2025-02-09T00:00:00"/>
    <n v="40.99"/>
    <n v="29295"/>
  </r>
  <r>
    <x v="95"/>
    <s v="Bookshelf"/>
    <x v="4"/>
    <s v="S-104"/>
    <s v="Modern Home Supplies"/>
    <n v="180"/>
    <n v="29.55"/>
    <d v="2025-03-05T00:00:00"/>
    <d v="2025-03-12T00:00:00"/>
    <n v="4.87"/>
    <n v="5319"/>
  </r>
  <r>
    <x v="96"/>
    <s v="Notebook"/>
    <x v="0"/>
    <s v="S-105"/>
    <s v="Fresh Mart Logistics"/>
    <n v="370"/>
    <n v="329.48"/>
    <d v="2025-04-06T00:00:00"/>
    <d v="2025-04-19T00:00:00"/>
    <n v="96.83"/>
    <n v="121907.6"/>
  </r>
  <r>
    <x v="97"/>
    <s v="Socks"/>
    <x v="1"/>
    <s v="S-104"/>
    <s v="Modern Home Supplies"/>
    <n v="185"/>
    <n v="218.36"/>
    <d v="2025-03-10T00:00:00"/>
    <d v="2025-04-02T00:00:00"/>
    <n v="55.49"/>
    <n v="40396.600000000006"/>
  </r>
  <r>
    <x v="98"/>
    <s v="Coffee Beans"/>
    <x v="3"/>
    <s v="S-105"/>
    <s v="Fresh Mart Logistics"/>
    <n v="283"/>
    <n v="267.41000000000003"/>
    <d v="2025-05-27T00:00:00"/>
    <d v="2025-06-26T00:00:00"/>
    <n v="78.08"/>
    <n v="75677.030000000013"/>
  </r>
  <r>
    <x v="99"/>
    <s v="Almonds"/>
    <x v="3"/>
    <s v="S-103"/>
    <s v="Elite Paper Co"/>
    <n v="188"/>
    <n v="384.77"/>
    <d v="2025-04-06T00:00:00"/>
    <d v="2025-05-05T00:00:00"/>
    <n v="43.62"/>
    <n v="72336.759999999995"/>
  </r>
  <r>
    <x v="100"/>
    <s v="Hoodie"/>
    <x v="1"/>
    <s v="S-103"/>
    <s v="Elite Paper Co"/>
    <n v="64"/>
    <n v="488.4"/>
    <d v="2025-05-20T00:00:00"/>
    <d v="2025-06-16T00:00:00"/>
    <n v="64.510000000000005"/>
    <n v="31257.599999999999"/>
  </r>
  <r>
    <x v="101"/>
    <s v="Pen Set"/>
    <x v="0"/>
    <s v="S-105"/>
    <s v="Fresh Mart Logistics"/>
    <n v="195"/>
    <n v="75.180000000000007"/>
    <d v="2025-04-05T00:00:00"/>
    <d v="2025-04-18T00:00:00"/>
    <n v="16.64"/>
    <n v="14660.100000000002"/>
  </r>
  <r>
    <x v="102"/>
    <s v="T-Shirt"/>
    <x v="1"/>
    <s v="S-104"/>
    <s v="Modern Home Supplies"/>
    <n v="219"/>
    <n v="479.74"/>
    <d v="2025-05-02T00:00:00"/>
    <d v="2025-05-21T00:00:00"/>
    <n v="57.77"/>
    <n v="105063.06"/>
  </r>
  <r>
    <x v="103"/>
    <s v="Cap"/>
    <x v="1"/>
    <s v="S-101"/>
    <s v="Global Tech Corp"/>
    <n v="274"/>
    <n v="139.53"/>
    <d v="2025-02-12T00:00:00"/>
    <d v="2025-02-18T00:00:00"/>
    <n v="18.86"/>
    <n v="38231.22"/>
  </r>
  <r>
    <x v="104"/>
    <s v="Smartphone"/>
    <x v="2"/>
    <s v="S-102"/>
    <s v="Sunrise Industries"/>
    <n v="89"/>
    <n v="108.98"/>
    <d v="2025-04-19T00:00:00"/>
    <d v="2025-04-28T00:00:00"/>
    <n v="16.260000000000002"/>
    <n v="9699.2200000000012"/>
  </r>
  <r>
    <x v="105"/>
    <s v="Dark Chocolate"/>
    <x v="3"/>
    <s v="S-104"/>
    <s v="Modern Home Supplies"/>
    <n v="416"/>
    <n v="182.71"/>
    <d v="2025-03-18T00:00:00"/>
    <d v="2025-03-31T00:00:00"/>
    <n v="53.53"/>
    <n v="76007.360000000001"/>
  </r>
  <r>
    <x v="106"/>
    <s v="Socks"/>
    <x v="1"/>
    <s v="S-103"/>
    <s v="Elite Paper Co"/>
    <n v="188"/>
    <n v="209.71"/>
    <d v="2025-04-03T00:00:00"/>
    <d v="2025-04-26T00:00:00"/>
    <n v="49.18"/>
    <n v="39425.480000000003"/>
  </r>
  <r>
    <x v="107"/>
    <s v="Office Chair"/>
    <x v="4"/>
    <s v="S-102"/>
    <s v="Sunrise Industries"/>
    <n v="157"/>
    <n v="120.97"/>
    <d v="2025-01-16T00:00:00"/>
    <d v="2025-02-04T00:00:00"/>
    <n v="23.86"/>
    <n v="18992.29"/>
  </r>
  <r>
    <x v="108"/>
    <s v="Laptop"/>
    <x v="2"/>
    <s v="S-101"/>
    <s v="Global Tech Corp"/>
    <n v="136"/>
    <n v="30.48"/>
    <d v="2025-03-05T00:00:00"/>
    <d v="2025-03-29T00:00:00"/>
    <n v="4.3"/>
    <n v="4145.28"/>
  </r>
  <r>
    <x v="109"/>
    <s v="Pen Set"/>
    <x v="0"/>
    <s v="S-105"/>
    <s v="Fresh Mart Logistics"/>
    <n v="371"/>
    <n v="335.42"/>
    <d v="2025-03-19T00:00:00"/>
    <d v="2025-04-12T00:00:00"/>
    <n v="52.22"/>
    <n v="124440.82"/>
  </r>
  <r>
    <x v="110"/>
    <s v="Almonds"/>
    <x v="3"/>
    <s v="S-104"/>
    <s v="Modern Home Supplies"/>
    <n v="88"/>
    <n v="90.46"/>
    <d v="2025-02-05T00:00:00"/>
    <d v="2025-02-20T00:00:00"/>
    <n v="14.11"/>
    <n v="7960.48"/>
  </r>
  <r>
    <x v="111"/>
    <s v="T-Shirt"/>
    <x v="1"/>
    <s v="S-105"/>
    <s v="Fresh Mart Logistics"/>
    <n v="261"/>
    <n v="469.26"/>
    <d v="2025-04-02T00:00:00"/>
    <d v="2025-04-28T00:00:00"/>
    <n v="93.75"/>
    <n v="122476.86"/>
  </r>
  <r>
    <x v="112"/>
    <s v="Marker"/>
    <x v="0"/>
    <s v="S-102"/>
    <s v="Sunrise Industries"/>
    <n v="13"/>
    <n v="108.68"/>
    <d v="2025-05-04T00:00:00"/>
    <d v="2025-05-21T00:00:00"/>
    <n v="28.14"/>
    <n v="1412.8400000000001"/>
  </r>
  <r>
    <x v="113"/>
    <s v="T-Shirt"/>
    <x v="1"/>
    <s v="S-104"/>
    <s v="Modern Home Supplies"/>
    <n v="433"/>
    <n v="265.95"/>
    <d v="2025-05-05T00:00:00"/>
    <d v="2025-05-28T00:00:00"/>
    <n v="62.75"/>
    <n v="115156.34999999999"/>
  </r>
  <r>
    <x v="114"/>
    <s v="Almonds"/>
    <x v="3"/>
    <s v="S-103"/>
    <s v="Elite Paper Co"/>
    <n v="27"/>
    <n v="143.29"/>
    <d v="2025-04-19T00:00:00"/>
    <d v="2025-05-05T00:00:00"/>
    <n v="28.41"/>
    <n v="3868.83"/>
  </r>
  <r>
    <x v="115"/>
    <s v="Organic Tea"/>
    <x v="3"/>
    <s v="S-105"/>
    <s v="Fresh Mart Logistics"/>
    <n v="223"/>
    <n v="304.55"/>
    <d v="2025-03-23T00:00:00"/>
    <d v="2025-04-15T00:00:00"/>
    <n v="77.03"/>
    <n v="67914.650000000009"/>
  </r>
  <r>
    <x v="116"/>
    <s v="Desk Lamp"/>
    <x v="4"/>
    <s v="S-101"/>
    <s v="Global Tech Corp"/>
    <n v="278"/>
    <n v="157.82"/>
    <d v="2025-04-01T00:00:00"/>
    <d v="2025-04-25T00:00:00"/>
    <n v="33.049999999999997"/>
    <n v="43873.96"/>
  </r>
  <r>
    <x v="117"/>
    <s v="Office Chair"/>
    <x v="4"/>
    <s v="S-105"/>
    <s v="Fresh Mart Logistics"/>
    <n v="136"/>
    <n v="376.55"/>
    <d v="2025-03-12T00:00:00"/>
    <d v="2025-03-22T00:00:00"/>
    <n v="106.5"/>
    <n v="51210.8"/>
  </r>
  <r>
    <x v="118"/>
    <s v="Stool"/>
    <x v="4"/>
    <s v="S-103"/>
    <s v="Elite Paper Co"/>
    <n v="488"/>
    <n v="278.31"/>
    <d v="2025-03-15T00:00:00"/>
    <d v="2025-03-26T00:00:00"/>
    <n v="29.29"/>
    <n v="135815.28"/>
  </r>
  <r>
    <x v="119"/>
    <s v="Desk Organizer"/>
    <x v="0"/>
    <s v="S-104"/>
    <s v="Modern Home Supplies"/>
    <n v="117"/>
    <n v="315.26"/>
    <d v="2025-04-20T00:00:00"/>
    <d v="2025-05-10T00:00:00"/>
    <n v="33.17"/>
    <n v="36885.42"/>
  </r>
  <r>
    <x v="120"/>
    <s v="Office Chair"/>
    <x v="4"/>
    <s v="S-102"/>
    <s v="Sunrise Industries"/>
    <n v="61"/>
    <n v="68.22"/>
    <d v="2025-03-12T00:00:00"/>
    <d v="2025-03-30T00:00:00"/>
    <n v="8.8699999999999992"/>
    <n v="4161.42"/>
  </r>
  <r>
    <x v="121"/>
    <s v="Cap"/>
    <x v="1"/>
    <s v="S-105"/>
    <s v="Fresh Mart Logistics"/>
    <n v="122"/>
    <n v="202.6"/>
    <d v="2025-04-17T00:00:00"/>
    <d v="2025-05-13T00:00:00"/>
    <n v="33.31"/>
    <n v="24717.200000000001"/>
  </r>
  <r>
    <x v="122"/>
    <s v="Stool"/>
    <x v="4"/>
    <s v="S-102"/>
    <s v="Sunrise Industries"/>
    <n v="280"/>
    <n v="9.8800000000000008"/>
    <d v="2025-02-05T00:00:00"/>
    <d v="2025-02-12T00:00:00"/>
    <n v="1.38"/>
    <n v="2766.4"/>
  </r>
  <r>
    <x v="123"/>
    <s v="Tablet"/>
    <x v="2"/>
    <s v="S-104"/>
    <s v="Modern Home Supplies"/>
    <n v="269"/>
    <n v="164.41"/>
    <d v="2025-02-26T00:00:00"/>
    <d v="2025-03-01T00:00:00"/>
    <n v="35.61"/>
    <n v="44226.29"/>
  </r>
  <r>
    <x v="124"/>
    <s v="Coffee Beans"/>
    <x v="3"/>
    <s v="S-102"/>
    <s v="Sunrise Industries"/>
    <n v="251"/>
    <n v="103.1"/>
    <d v="2025-05-19T00:00:00"/>
    <d v="2025-05-27T00:00:00"/>
    <n v="13.77"/>
    <n v="25878.1"/>
  </r>
  <r>
    <x v="125"/>
    <s v="Hoodie"/>
    <x v="1"/>
    <s v="S-102"/>
    <s v="Sunrise Industries"/>
    <n v="37"/>
    <n v="86.98"/>
    <d v="2025-03-21T00:00:00"/>
    <d v="2025-04-11T00:00:00"/>
    <n v="26.08"/>
    <n v="3218.26"/>
  </r>
  <r>
    <x v="126"/>
    <s v="Desk Organizer"/>
    <x v="0"/>
    <s v="S-104"/>
    <s v="Modern Home Supplies"/>
    <n v="183"/>
    <n v="294.43"/>
    <d v="2025-03-11T00:00:00"/>
    <d v="2025-03-23T00:00:00"/>
    <n v="71.760000000000005"/>
    <n v="53880.69"/>
  </r>
  <r>
    <x v="127"/>
    <s v="Tablet"/>
    <x v="2"/>
    <s v="S-102"/>
    <s v="Sunrise Industries"/>
    <n v="411"/>
    <n v="237.57"/>
    <d v="2025-06-17T00:00:00"/>
    <d v="2025-07-12T00:00:00"/>
    <n v="26.4"/>
    <n v="97641.27"/>
  </r>
  <r>
    <x v="128"/>
    <s v="Stool"/>
    <x v="4"/>
    <s v="S-105"/>
    <s v="Fresh Mart Logistics"/>
    <n v="181"/>
    <n v="124.46"/>
    <d v="2025-06-18T00:00:00"/>
    <d v="2025-06-21T00:00:00"/>
    <n v="16.66"/>
    <n v="22527.26"/>
  </r>
  <r>
    <x v="129"/>
    <s v="Hoodie"/>
    <x v="1"/>
    <s v="S-105"/>
    <s v="Fresh Mart Logistics"/>
    <n v="43"/>
    <n v="155.05000000000001"/>
    <d v="2025-01-10T00:00:00"/>
    <d v="2025-01-17T00:00:00"/>
    <n v="16.87"/>
    <n v="6667.1500000000005"/>
  </r>
  <r>
    <x v="130"/>
    <s v="Hoodie"/>
    <x v="1"/>
    <s v="S-102"/>
    <s v="Sunrise Industries"/>
    <n v="315"/>
    <n v="356.51"/>
    <d v="2025-01-04T00:00:00"/>
    <d v="2025-02-02T00:00:00"/>
    <n v="99.81"/>
    <n v="112300.65"/>
  </r>
  <r>
    <x v="131"/>
    <s v="Almonds"/>
    <x v="3"/>
    <s v="S-102"/>
    <s v="Sunrise Industries"/>
    <n v="258"/>
    <n v="486.08"/>
    <d v="2025-01-29T00:00:00"/>
    <d v="2025-02-05T00:00:00"/>
    <n v="135.9"/>
    <n v="125408.64"/>
  </r>
  <r>
    <x v="132"/>
    <s v="Notebook"/>
    <x v="0"/>
    <s v="S-102"/>
    <s v="Sunrise Industries"/>
    <n v="127"/>
    <n v="233.31"/>
    <d v="2025-03-05T00:00:00"/>
    <d v="2025-03-30T00:00:00"/>
    <n v="61.49"/>
    <n v="29630.37"/>
  </r>
  <r>
    <x v="133"/>
    <s v="Bookshelf"/>
    <x v="4"/>
    <s v="S-105"/>
    <s v="Fresh Mart Logistics"/>
    <n v="308"/>
    <n v="14.08"/>
    <d v="2025-05-17T00:00:00"/>
    <d v="2025-05-20T00:00:00"/>
    <n v="3.09"/>
    <n v="4336.6400000000003"/>
  </r>
  <r>
    <x v="134"/>
    <s v="Laptop"/>
    <x v="2"/>
    <s v="S-101"/>
    <s v="Global Tech Corp"/>
    <n v="415"/>
    <n v="475.74"/>
    <d v="2025-06-15T00:00:00"/>
    <d v="2025-06-22T00:00:00"/>
    <n v="79.42"/>
    <n v="197432.1"/>
  </r>
  <r>
    <x v="135"/>
    <s v="Office Chair"/>
    <x v="4"/>
    <s v="S-103"/>
    <s v="Elite Paper Co"/>
    <n v="180"/>
    <n v="274.33"/>
    <d v="2025-02-25T00:00:00"/>
    <d v="2025-03-15T00:00:00"/>
    <n v="52.55"/>
    <n v="49379.399999999994"/>
  </r>
  <r>
    <x v="136"/>
    <s v="Smartphone"/>
    <x v="2"/>
    <s v="S-103"/>
    <s v="Elite Paper Co"/>
    <n v="22"/>
    <n v="312.62"/>
    <d v="2025-05-30T00:00:00"/>
    <d v="2025-06-03T00:00:00"/>
    <n v="57.62"/>
    <n v="6877.64"/>
  </r>
  <r>
    <x v="137"/>
    <s v="Office Chair"/>
    <x v="4"/>
    <s v="S-102"/>
    <s v="Sunrise Industries"/>
    <n v="228"/>
    <n v="69.77"/>
    <d v="2025-06-08T00:00:00"/>
    <d v="2025-06-11T00:00:00"/>
    <n v="16.43"/>
    <n v="15907.56"/>
  </r>
  <r>
    <x v="138"/>
    <s v="Laptop"/>
    <x v="2"/>
    <s v="S-105"/>
    <s v="Fresh Mart Logistics"/>
    <n v="195"/>
    <n v="490.66"/>
    <d v="2025-02-10T00:00:00"/>
    <d v="2025-03-03T00:00:00"/>
    <n v="71.760000000000005"/>
    <n v="95678.700000000012"/>
  </r>
  <r>
    <x v="139"/>
    <s v="Socks"/>
    <x v="1"/>
    <s v="S-104"/>
    <s v="Modern Home Supplies"/>
    <n v="499"/>
    <n v="56.12"/>
    <d v="2025-03-20T00:00:00"/>
    <d v="2025-03-23T00:00:00"/>
    <n v="11.15"/>
    <n v="28003.879999999997"/>
  </r>
  <r>
    <x v="140"/>
    <s v="Organic Tea"/>
    <x v="3"/>
    <s v="S-101"/>
    <s v="Global Tech Corp"/>
    <n v="158"/>
    <n v="342.14"/>
    <d v="2025-06-25T00:00:00"/>
    <d v="2025-07-18T00:00:00"/>
    <n v="41.3"/>
    <n v="54058.119999999995"/>
  </r>
  <r>
    <x v="141"/>
    <s v="Pen Set"/>
    <x v="0"/>
    <s v="S-103"/>
    <s v="Elite Paper Co"/>
    <n v="439"/>
    <n v="418.21"/>
    <d v="2025-04-04T00:00:00"/>
    <d v="2025-04-11T00:00:00"/>
    <n v="81.47"/>
    <n v="183594.19"/>
  </r>
  <r>
    <x v="142"/>
    <s v="Dark Chocolate"/>
    <x v="3"/>
    <s v="S-103"/>
    <s v="Elite Paper Co"/>
    <n v="476"/>
    <n v="342.02"/>
    <d v="2025-05-01T00:00:00"/>
    <d v="2025-05-16T00:00:00"/>
    <n v="65.98"/>
    <n v="162801.51999999999"/>
  </r>
  <r>
    <x v="143"/>
    <s v="Pen Set"/>
    <x v="0"/>
    <s v="S-105"/>
    <s v="Fresh Mart Logistics"/>
    <n v="396"/>
    <n v="23.6"/>
    <d v="2025-03-22T00:00:00"/>
    <d v="2025-04-06T00:00:00"/>
    <n v="4.26"/>
    <n v="9345.6"/>
  </r>
  <r>
    <x v="144"/>
    <s v="Almonds"/>
    <x v="3"/>
    <s v="S-103"/>
    <s v="Elite Paper Co"/>
    <n v="89"/>
    <n v="388.32"/>
    <d v="2025-06-05T00:00:00"/>
    <d v="2025-07-05T00:00:00"/>
    <n v="55.76"/>
    <n v="34560.479999999996"/>
  </r>
  <r>
    <x v="145"/>
    <s v="Hoodie"/>
    <x v="1"/>
    <s v="S-101"/>
    <s v="Global Tech Corp"/>
    <n v="269"/>
    <n v="138.63999999999999"/>
    <d v="2025-03-22T00:00:00"/>
    <d v="2025-04-17T00:00:00"/>
    <n v="17.739999999999998"/>
    <n v="37294.159999999996"/>
  </r>
  <r>
    <x v="146"/>
    <s v="Desk Lamp"/>
    <x v="4"/>
    <s v="S-102"/>
    <s v="Sunrise Industries"/>
    <n v="169"/>
    <n v="162.66999999999999"/>
    <d v="2025-06-26T00:00:00"/>
    <d v="2025-07-15T00:00:00"/>
    <n v="32.340000000000003"/>
    <n v="27491.23"/>
  </r>
  <r>
    <x v="147"/>
    <s v="Bookshelf"/>
    <x v="4"/>
    <s v="S-102"/>
    <s v="Sunrise Industries"/>
    <n v="355"/>
    <n v="84.53"/>
    <d v="2025-02-12T00:00:00"/>
    <d v="2025-03-13T00:00:00"/>
    <n v="18.399999999999999"/>
    <n v="30008.15"/>
  </r>
  <r>
    <x v="148"/>
    <s v="Marker"/>
    <x v="0"/>
    <s v="S-103"/>
    <s v="Elite Paper Co"/>
    <n v="219"/>
    <n v="447.92"/>
    <d v="2025-05-02T00:00:00"/>
    <d v="2025-05-25T00:00:00"/>
    <n v="48.43"/>
    <n v="98094.48000000001"/>
  </r>
  <r>
    <x v="149"/>
    <s v="Hoodie"/>
    <x v="1"/>
    <s v="S-105"/>
    <s v="Fresh Mart Logistics"/>
    <n v="235"/>
    <n v="59.32"/>
    <d v="2025-05-22T00:00:00"/>
    <d v="2025-05-29T00:00:00"/>
    <n v="8.5"/>
    <n v="13940.2"/>
  </r>
  <r>
    <x v="150"/>
    <s v="Desk Lamp"/>
    <x v="4"/>
    <s v="S-104"/>
    <s v="Modern Home Supplies"/>
    <n v="298"/>
    <n v="484.54"/>
    <d v="2025-01-21T00:00:00"/>
    <d v="2025-02-04T00:00:00"/>
    <n v="114.91"/>
    <n v="144392.92000000001"/>
  </r>
  <r>
    <x v="151"/>
    <s v="Coffee Beans"/>
    <x v="3"/>
    <s v="S-103"/>
    <s v="Elite Paper Co"/>
    <n v="465"/>
    <n v="397.81"/>
    <d v="2025-04-10T00:00:00"/>
    <d v="2025-05-08T00:00:00"/>
    <n v="64.62"/>
    <n v="184981.65"/>
  </r>
  <r>
    <x v="152"/>
    <s v="Coffee Beans"/>
    <x v="3"/>
    <s v="S-102"/>
    <s v="Sunrise Industries"/>
    <n v="142"/>
    <n v="329.98"/>
    <d v="2025-06-17T00:00:00"/>
    <d v="2025-06-28T00:00:00"/>
    <n v="54.22"/>
    <n v="46857.16"/>
  </r>
  <r>
    <x v="153"/>
    <s v="Office Chair"/>
    <x v="4"/>
    <s v="S-103"/>
    <s v="Elite Paper Co"/>
    <n v="412"/>
    <n v="240.38"/>
    <d v="2025-06-27T00:00:00"/>
    <d v="2025-07-02T00:00:00"/>
    <n v="30.61"/>
    <n v="99036.56"/>
  </r>
  <r>
    <x v="154"/>
    <s v="Organic Tea"/>
    <x v="3"/>
    <s v="S-105"/>
    <s v="Fresh Mart Logistics"/>
    <n v="131"/>
    <n v="190.53"/>
    <d v="2025-03-08T00:00:00"/>
    <d v="2025-03-22T00:00:00"/>
    <n v="42.64"/>
    <n v="24959.43"/>
  </r>
  <r>
    <x v="155"/>
    <s v="Pen Set"/>
    <x v="0"/>
    <s v="S-103"/>
    <s v="Elite Paper Co"/>
    <n v="28"/>
    <n v="152.02000000000001"/>
    <d v="2025-06-21T00:00:00"/>
    <d v="2025-07-17T00:00:00"/>
    <n v="39.17"/>
    <n v="4256.5600000000004"/>
  </r>
  <r>
    <x v="156"/>
    <s v="Smartphone"/>
    <x v="2"/>
    <s v="S-102"/>
    <s v="Sunrise Industries"/>
    <n v="133"/>
    <n v="220.82"/>
    <d v="2025-02-17T00:00:00"/>
    <d v="2025-03-13T00:00:00"/>
    <n v="64.17"/>
    <n v="29369.059999999998"/>
  </r>
  <r>
    <x v="157"/>
    <s v="Desk Organizer"/>
    <x v="0"/>
    <s v="S-101"/>
    <s v="Global Tech Corp"/>
    <n v="242"/>
    <n v="47.92"/>
    <d v="2025-04-02T00:00:00"/>
    <d v="2025-04-08T00:00:00"/>
    <n v="11.67"/>
    <n v="11596.640000000001"/>
  </r>
  <r>
    <x v="158"/>
    <s v="Notebook"/>
    <x v="0"/>
    <s v="S-101"/>
    <s v="Global Tech Corp"/>
    <n v="115"/>
    <n v="136.72999999999999"/>
    <d v="2025-06-07T00:00:00"/>
    <d v="2025-06-17T00:00:00"/>
    <n v="16.73"/>
    <n v="15723.949999999999"/>
  </r>
  <r>
    <x v="159"/>
    <s v="T-Shirt"/>
    <x v="1"/>
    <s v="S-104"/>
    <s v="Modern Home Supplies"/>
    <n v="220"/>
    <n v="321.73"/>
    <d v="2025-01-27T00:00:00"/>
    <d v="2025-02-18T00:00:00"/>
    <n v="68.790000000000006"/>
    <n v="70780.600000000006"/>
  </r>
  <r>
    <x v="160"/>
    <s v="Coffee Beans"/>
    <x v="3"/>
    <s v="S-104"/>
    <s v="Modern Home Supplies"/>
    <n v="375"/>
    <n v="99.62"/>
    <d v="2025-03-05T00:00:00"/>
    <d v="2025-03-26T00:00:00"/>
    <n v="26.96"/>
    <n v="37357.5"/>
  </r>
  <r>
    <x v="161"/>
    <s v="Notebook"/>
    <x v="0"/>
    <s v="S-103"/>
    <s v="Elite Paper Co"/>
    <n v="418"/>
    <n v="178.08"/>
    <d v="2025-02-13T00:00:00"/>
    <d v="2025-02-20T00:00:00"/>
    <n v="19.899999999999999"/>
    <n v="74437.440000000002"/>
  </r>
  <r>
    <x v="162"/>
    <s v="Dark Chocolate"/>
    <x v="3"/>
    <s v="S-104"/>
    <s v="Modern Home Supplies"/>
    <n v="477"/>
    <n v="221.56"/>
    <d v="2025-04-25T00:00:00"/>
    <d v="2025-05-14T00:00:00"/>
    <n v="27"/>
    <n v="105684.12"/>
  </r>
  <r>
    <x v="163"/>
    <s v="Headphones"/>
    <x v="2"/>
    <s v="S-102"/>
    <s v="Sunrise Industries"/>
    <n v="320"/>
    <n v="177.49"/>
    <d v="2025-03-13T00:00:00"/>
    <d v="2025-04-08T00:00:00"/>
    <n v="25.05"/>
    <n v="56796.800000000003"/>
  </r>
  <r>
    <x v="164"/>
    <s v="Desk Lamp"/>
    <x v="4"/>
    <s v="S-102"/>
    <s v="Sunrise Industries"/>
    <n v="309"/>
    <n v="458.14"/>
    <d v="2025-01-29T00:00:00"/>
    <d v="2025-02-16T00:00:00"/>
    <n v="101.03"/>
    <n v="141565.26"/>
  </r>
  <r>
    <x v="165"/>
    <s v="Pen Set"/>
    <x v="0"/>
    <s v="S-103"/>
    <s v="Elite Paper Co"/>
    <n v="206"/>
    <n v="233.08"/>
    <d v="2025-03-19T00:00:00"/>
    <d v="2025-04-16T00:00:00"/>
    <n v="29.66"/>
    <n v="48014.48"/>
  </r>
  <r>
    <x v="166"/>
    <s v="Notebook"/>
    <x v="0"/>
    <s v="S-104"/>
    <s v="Modern Home Supplies"/>
    <n v="318"/>
    <n v="37.1"/>
    <d v="2025-04-29T00:00:00"/>
    <d v="2025-05-05T00:00:00"/>
    <n v="8.15"/>
    <n v="11797.800000000001"/>
  </r>
  <r>
    <x v="167"/>
    <s v="Office Chair"/>
    <x v="4"/>
    <s v="S-102"/>
    <s v="Sunrise Industries"/>
    <n v="379"/>
    <n v="260.45"/>
    <d v="2025-05-30T00:00:00"/>
    <d v="2025-06-17T00:00:00"/>
    <n v="67.040000000000006"/>
    <n v="98710.55"/>
  </r>
  <r>
    <x v="168"/>
    <s v="Smartphone"/>
    <x v="2"/>
    <s v="S-103"/>
    <s v="Elite Paper Co"/>
    <n v="218"/>
    <n v="310.37"/>
    <d v="2025-06-03T00:00:00"/>
    <d v="2025-06-25T00:00:00"/>
    <n v="52.75"/>
    <n v="67660.66"/>
  </r>
  <r>
    <x v="169"/>
    <s v="Desk Organizer"/>
    <x v="0"/>
    <s v="S-105"/>
    <s v="Fresh Mart Logistics"/>
    <n v="323"/>
    <n v="303.06"/>
    <d v="2025-03-03T00:00:00"/>
    <d v="2025-04-01T00:00:00"/>
    <n v="55.36"/>
    <n v="97888.38"/>
  </r>
  <r>
    <x v="170"/>
    <s v="Desk Organizer"/>
    <x v="0"/>
    <s v="S-103"/>
    <s v="Elite Paper Co"/>
    <n v="447"/>
    <n v="376.14"/>
    <d v="2025-05-11T00:00:00"/>
    <d v="2025-05-18T00:00:00"/>
    <n v="81.17"/>
    <n v="168134.58"/>
  </r>
  <r>
    <x v="171"/>
    <s v="Laptop"/>
    <x v="2"/>
    <s v="S-101"/>
    <s v="Global Tech Corp"/>
    <n v="37"/>
    <n v="43.93"/>
    <d v="2025-01-25T00:00:00"/>
    <d v="2025-02-06T00:00:00"/>
    <n v="8.5299999999999994"/>
    <n v="1625.41"/>
  </r>
  <r>
    <x v="172"/>
    <s v="Smartphone"/>
    <x v="2"/>
    <s v="S-101"/>
    <s v="Global Tech Corp"/>
    <n v="127"/>
    <n v="428.47"/>
    <d v="2025-02-07T00:00:00"/>
    <d v="2025-03-09T00:00:00"/>
    <n v="71.66"/>
    <n v="54415.69"/>
  </r>
  <r>
    <x v="173"/>
    <s v="Stool"/>
    <x v="4"/>
    <s v="S-103"/>
    <s v="Elite Paper Co"/>
    <n v="318"/>
    <n v="234.68"/>
    <d v="2025-06-13T00:00:00"/>
    <d v="2025-07-03T00:00:00"/>
    <n v="25.58"/>
    <n v="74628.240000000005"/>
  </r>
  <r>
    <x v="174"/>
    <s v="Dark Chocolate"/>
    <x v="3"/>
    <s v="S-105"/>
    <s v="Fresh Mart Logistics"/>
    <n v="462"/>
    <n v="221.71"/>
    <d v="2025-05-28T00:00:00"/>
    <d v="2025-06-06T00:00:00"/>
    <n v="24.97"/>
    <n v="102430.02"/>
  </r>
  <r>
    <x v="175"/>
    <s v="Dark Chocolate"/>
    <x v="3"/>
    <s v="S-101"/>
    <s v="Global Tech Corp"/>
    <n v="128"/>
    <n v="373.78"/>
    <d v="2025-05-08T00:00:00"/>
    <d v="2025-05-15T00:00:00"/>
    <n v="81.66"/>
    <n v="47843.839999999997"/>
  </r>
  <r>
    <x v="176"/>
    <s v="Desk Lamp"/>
    <x v="4"/>
    <s v="S-105"/>
    <s v="Fresh Mart Logistics"/>
    <n v="10"/>
    <n v="388.69"/>
    <d v="2025-06-03T00:00:00"/>
    <d v="2025-06-16T00:00:00"/>
    <n v="62.72"/>
    <n v="3886.9"/>
  </r>
  <r>
    <x v="177"/>
    <s v="Hoodie"/>
    <x v="1"/>
    <s v="S-103"/>
    <s v="Elite Paper Co"/>
    <n v="391"/>
    <n v="283.8"/>
    <d v="2025-04-03T00:00:00"/>
    <d v="2025-04-29T00:00:00"/>
    <n v="39.74"/>
    <n v="110965.8"/>
  </r>
  <r>
    <x v="178"/>
    <s v="Coffee Beans"/>
    <x v="3"/>
    <s v="S-103"/>
    <s v="Elite Paper Co"/>
    <n v="333"/>
    <n v="419.22"/>
    <d v="2025-04-13T00:00:00"/>
    <d v="2025-05-10T00:00:00"/>
    <n v="93.6"/>
    <n v="139600.26"/>
  </r>
  <r>
    <x v="179"/>
    <s v="Pen Set"/>
    <x v="0"/>
    <s v="S-103"/>
    <s v="Elite Paper Co"/>
    <n v="197"/>
    <n v="381.42"/>
    <d v="2025-03-27T00:00:00"/>
    <d v="2025-04-13T00:00:00"/>
    <n v="97.69"/>
    <n v="75139.740000000005"/>
  </r>
  <r>
    <x v="180"/>
    <s v="Smartphone"/>
    <x v="2"/>
    <s v="S-104"/>
    <s v="Modern Home Supplies"/>
    <n v="465"/>
    <n v="174.75"/>
    <d v="2025-03-09T00:00:00"/>
    <d v="2025-03-12T00:00:00"/>
    <n v="40.119999999999997"/>
    <n v="81258.75"/>
  </r>
  <r>
    <x v="181"/>
    <s v="Stool"/>
    <x v="4"/>
    <s v="S-104"/>
    <s v="Modern Home Supplies"/>
    <n v="225"/>
    <n v="483.84"/>
    <d v="2025-05-13T00:00:00"/>
    <d v="2025-06-09T00:00:00"/>
    <n v="71.150000000000006"/>
    <n v="108864"/>
  </r>
  <r>
    <x v="182"/>
    <s v="Desk Lamp"/>
    <x v="4"/>
    <s v="S-102"/>
    <s v="Sunrise Industries"/>
    <n v="241"/>
    <n v="467.23"/>
    <d v="2025-02-18T00:00:00"/>
    <d v="2025-03-16T00:00:00"/>
    <n v="78.260000000000005"/>
    <n v="112602.43000000001"/>
  </r>
  <r>
    <x v="183"/>
    <s v="Headphones"/>
    <x v="2"/>
    <s v="S-103"/>
    <s v="Elite Paper Co"/>
    <n v="495"/>
    <n v="328.98"/>
    <d v="2025-04-30T00:00:00"/>
    <d v="2025-05-06T00:00:00"/>
    <n v="56.41"/>
    <n v="162845.1"/>
  </r>
  <r>
    <x v="184"/>
    <s v="T-Shirt"/>
    <x v="1"/>
    <s v="S-102"/>
    <s v="Sunrise Industries"/>
    <n v="340"/>
    <n v="317.26"/>
    <d v="2025-01-25T00:00:00"/>
    <d v="2025-02-07T00:00:00"/>
    <n v="53.15"/>
    <n v="107868.4"/>
  </r>
  <r>
    <x v="185"/>
    <s v="Headphones"/>
    <x v="2"/>
    <s v="S-101"/>
    <s v="Global Tech Corp"/>
    <n v="133"/>
    <n v="341.05"/>
    <d v="2025-03-25T00:00:00"/>
    <d v="2025-04-02T00:00:00"/>
    <n v="85.89"/>
    <n v="45359.65"/>
  </r>
  <r>
    <x v="186"/>
    <s v="Hoodie"/>
    <x v="1"/>
    <s v="S-104"/>
    <s v="Modern Home Supplies"/>
    <n v="460"/>
    <n v="491.78"/>
    <d v="2025-06-12T00:00:00"/>
    <d v="2025-07-10T00:00:00"/>
    <n v="64.42"/>
    <n v="226218.8"/>
  </r>
  <r>
    <x v="187"/>
    <s v="Marker"/>
    <x v="0"/>
    <s v="S-104"/>
    <s v="Modern Home Supplies"/>
    <n v="399"/>
    <n v="27.09"/>
    <d v="2025-01-10T00:00:00"/>
    <d v="2025-01-16T00:00:00"/>
    <n v="6.56"/>
    <n v="10808.91"/>
  </r>
  <r>
    <x v="188"/>
    <s v="Dark Chocolate"/>
    <x v="3"/>
    <s v="S-105"/>
    <s v="Fresh Mart Logistics"/>
    <n v="228"/>
    <n v="264.41000000000003"/>
    <d v="2025-02-12T00:00:00"/>
    <d v="2025-02-22T00:00:00"/>
    <n v="65.86"/>
    <n v="60285.48"/>
  </r>
  <r>
    <x v="189"/>
    <s v="Notebook"/>
    <x v="0"/>
    <s v="S-105"/>
    <s v="Fresh Mart Logistics"/>
    <n v="161"/>
    <n v="447.4"/>
    <d v="2025-05-30T00:00:00"/>
    <d v="2025-06-16T00:00:00"/>
    <n v="101.71"/>
    <n v="72031.399999999994"/>
  </r>
  <r>
    <x v="190"/>
    <s v="Almonds"/>
    <x v="3"/>
    <s v="S-102"/>
    <s v="Sunrise Industries"/>
    <n v="449"/>
    <n v="256.47000000000003"/>
    <d v="2025-03-05T00:00:00"/>
    <d v="2025-03-07T00:00:00"/>
    <n v="63.32"/>
    <n v="115155.03000000001"/>
  </r>
  <r>
    <x v="191"/>
    <s v="Organic Tea"/>
    <x v="3"/>
    <s v="S-105"/>
    <s v="Fresh Mart Logistics"/>
    <n v="221"/>
    <n v="206.95"/>
    <d v="2025-06-24T00:00:00"/>
    <d v="2025-06-30T00:00:00"/>
    <n v="33.06"/>
    <n v="45735.95"/>
  </r>
  <r>
    <x v="192"/>
    <s v="Desk Lamp"/>
    <x v="4"/>
    <s v="S-103"/>
    <s v="Elite Paper Co"/>
    <n v="16"/>
    <n v="33.53"/>
    <d v="2025-01-12T00:00:00"/>
    <d v="2025-01-22T00:00:00"/>
    <n v="9.64"/>
    <n v="536.48"/>
  </r>
  <r>
    <x v="193"/>
    <s v="T-Shirt"/>
    <x v="1"/>
    <s v="S-101"/>
    <s v="Global Tech Corp"/>
    <n v="109"/>
    <n v="186.23"/>
    <d v="2025-05-09T00:00:00"/>
    <d v="2025-06-06T00:00:00"/>
    <n v="29.93"/>
    <n v="20299.07"/>
  </r>
  <r>
    <x v="194"/>
    <s v="Tablet"/>
    <x v="2"/>
    <s v="S-104"/>
    <s v="Modern Home Supplies"/>
    <n v="404"/>
    <n v="41.57"/>
    <d v="2025-05-28T00:00:00"/>
    <d v="2025-06-15T00:00:00"/>
    <n v="10.119999999999999"/>
    <n v="16794.28"/>
  </r>
  <r>
    <x v="195"/>
    <s v="Hoodie"/>
    <x v="1"/>
    <s v="S-102"/>
    <s v="Sunrise Industries"/>
    <n v="462"/>
    <n v="426.91"/>
    <d v="2025-06-03T00:00:00"/>
    <d v="2025-06-23T00:00:00"/>
    <n v="74.709999999999994"/>
    <n v="197232.42"/>
  </r>
  <r>
    <x v="196"/>
    <s v="Smartphone"/>
    <x v="2"/>
    <s v="S-105"/>
    <s v="Fresh Mart Logistics"/>
    <n v="31"/>
    <n v="288.41000000000003"/>
    <d v="2025-06-25T00:00:00"/>
    <d v="2025-07-14T00:00:00"/>
    <n v="64.290000000000006"/>
    <n v="8940.7100000000009"/>
  </r>
  <r>
    <x v="197"/>
    <s v="Hoodie"/>
    <x v="1"/>
    <s v="S-105"/>
    <s v="Fresh Mart Logistics"/>
    <n v="476"/>
    <n v="108.88"/>
    <d v="2025-02-25T00:00:00"/>
    <d v="2025-03-11T00:00:00"/>
    <n v="20.74"/>
    <n v="51826.879999999997"/>
  </r>
  <r>
    <x v="198"/>
    <s v="Coffee Beans"/>
    <x v="3"/>
    <s v="S-102"/>
    <s v="Sunrise Industries"/>
    <n v="421"/>
    <n v="189.7"/>
    <d v="2025-05-21T00:00:00"/>
    <d v="2025-06-08T00:00:00"/>
    <n v="37.32"/>
    <n v="79863.7"/>
  </r>
  <r>
    <x v="199"/>
    <s v="Headphones"/>
    <x v="2"/>
    <s v="S-101"/>
    <s v="Global Tech Corp"/>
    <n v="189"/>
    <n v="134.63999999999999"/>
    <d v="2025-05-30T00:00:00"/>
    <d v="2025-06-16T00:00:00"/>
    <n v="26.89"/>
    <n v="25446.959999999999"/>
  </r>
  <r>
    <x v="200"/>
    <s v="Desk Lamp"/>
    <x v="4"/>
    <s v="S-102"/>
    <s v="Sunrise Industries"/>
    <n v="188"/>
    <n v="167.05"/>
    <d v="2025-02-25T00:00:00"/>
    <d v="2025-03-21T00:00:00"/>
    <n v="18.14"/>
    <n v="31405.4"/>
  </r>
  <r>
    <x v="201"/>
    <s v="Pen Set"/>
    <x v="0"/>
    <s v="S-102"/>
    <s v="Sunrise Industries"/>
    <n v="358"/>
    <n v="313.76"/>
    <d v="2025-01-04T00:00:00"/>
    <d v="2025-01-30T00:00:00"/>
    <n v="38.840000000000003"/>
    <n v="112326.08"/>
  </r>
  <r>
    <x v="202"/>
    <s v="Smartphone"/>
    <x v="2"/>
    <s v="S-103"/>
    <s v="Elite Paper Co"/>
    <n v="174"/>
    <n v="391.56"/>
    <d v="2025-03-14T00:00:00"/>
    <d v="2025-03-19T00:00:00"/>
    <n v="104.25"/>
    <n v="68131.44"/>
  </r>
  <r>
    <x v="203"/>
    <s v="Desk Organizer"/>
    <x v="0"/>
    <s v="S-104"/>
    <s v="Modern Home Supplies"/>
    <n v="50"/>
    <n v="322.32"/>
    <d v="2025-03-22T00:00:00"/>
    <d v="2025-03-24T00:00:00"/>
    <n v="62.87"/>
    <n v="16116"/>
  </r>
  <r>
    <x v="204"/>
    <s v="Notebook"/>
    <x v="0"/>
    <s v="S-102"/>
    <s v="Sunrise Industries"/>
    <n v="451"/>
    <n v="330.11"/>
    <d v="2025-05-29T00:00:00"/>
    <d v="2025-06-22T00:00:00"/>
    <n v="56.5"/>
    <n v="148879.61000000002"/>
  </r>
  <r>
    <x v="205"/>
    <s v="Pen Set"/>
    <x v="0"/>
    <s v="S-104"/>
    <s v="Modern Home Supplies"/>
    <n v="270"/>
    <n v="458.45"/>
    <d v="2025-03-24T00:00:00"/>
    <d v="2025-04-23T00:00:00"/>
    <n v="84.08"/>
    <n v="123781.5"/>
  </r>
  <r>
    <x v="206"/>
    <s v="Tablet"/>
    <x v="2"/>
    <s v="S-104"/>
    <s v="Modern Home Supplies"/>
    <n v="412"/>
    <n v="469.5"/>
    <d v="2025-03-23T00:00:00"/>
    <d v="2025-04-03T00:00:00"/>
    <n v="87.58"/>
    <n v="193434"/>
  </r>
  <r>
    <x v="207"/>
    <s v="Smartphone"/>
    <x v="2"/>
    <s v="S-104"/>
    <s v="Modern Home Supplies"/>
    <n v="155"/>
    <n v="174.39"/>
    <d v="2025-05-07T00:00:00"/>
    <d v="2025-05-22T00:00:00"/>
    <n v="22.53"/>
    <n v="27030.449999999997"/>
  </r>
  <r>
    <x v="208"/>
    <s v="Office Chair"/>
    <x v="4"/>
    <s v="S-105"/>
    <s v="Fresh Mart Logistics"/>
    <n v="174"/>
    <n v="181.53"/>
    <d v="2025-02-16T00:00:00"/>
    <d v="2025-02-20T00:00:00"/>
    <n v="44.58"/>
    <n v="31586.22"/>
  </r>
  <r>
    <x v="209"/>
    <s v="Stool"/>
    <x v="4"/>
    <s v="S-104"/>
    <s v="Modern Home Supplies"/>
    <n v="100"/>
    <n v="224.04"/>
    <d v="2025-02-04T00:00:00"/>
    <d v="2025-02-17T00:00:00"/>
    <n v="37.74"/>
    <n v="22404"/>
  </r>
  <r>
    <x v="210"/>
    <s v="Coffee Beans"/>
    <x v="3"/>
    <s v="S-105"/>
    <s v="Fresh Mart Logistics"/>
    <n v="355"/>
    <n v="368.78"/>
    <d v="2025-01-01T00:00:00"/>
    <d v="2025-01-29T00:00:00"/>
    <n v="59.68"/>
    <n v="130916.9"/>
  </r>
  <r>
    <x v="211"/>
    <s v="Almonds"/>
    <x v="3"/>
    <s v="S-102"/>
    <s v="Sunrise Industries"/>
    <n v="137"/>
    <n v="434.25"/>
    <d v="2025-03-29T00:00:00"/>
    <d v="2025-04-12T00:00:00"/>
    <n v="121.19"/>
    <n v="59492.25"/>
  </r>
  <r>
    <x v="212"/>
    <s v="Cap"/>
    <x v="1"/>
    <s v="S-103"/>
    <s v="Elite Paper Co"/>
    <n v="425"/>
    <n v="362.27"/>
    <d v="2025-03-11T00:00:00"/>
    <d v="2025-03-27T00:00:00"/>
    <n v="54.68"/>
    <n v="153964.75"/>
  </r>
  <r>
    <x v="213"/>
    <s v="Dark Chocolate"/>
    <x v="3"/>
    <s v="S-101"/>
    <s v="Global Tech Corp"/>
    <n v="193"/>
    <n v="162.09"/>
    <d v="2025-06-24T00:00:00"/>
    <d v="2025-07-12T00:00:00"/>
    <n v="21.63"/>
    <n v="31283.37"/>
  </r>
  <r>
    <x v="214"/>
    <s v="Office Chair"/>
    <x v="4"/>
    <s v="S-101"/>
    <s v="Global Tech Corp"/>
    <n v="125"/>
    <n v="476.97"/>
    <d v="2025-04-21T00:00:00"/>
    <d v="2025-05-16T00:00:00"/>
    <n v="118.21"/>
    <n v="59621.25"/>
  </r>
  <r>
    <x v="215"/>
    <s v="Headphones"/>
    <x v="2"/>
    <s v="S-103"/>
    <s v="Elite Paper Co"/>
    <n v="110"/>
    <n v="72.3"/>
    <d v="2025-03-11T00:00:00"/>
    <d v="2025-04-08T00:00:00"/>
    <n v="14.22"/>
    <n v="7953"/>
  </r>
  <r>
    <x v="216"/>
    <s v="Bookshelf"/>
    <x v="4"/>
    <s v="S-103"/>
    <s v="Elite Paper Co"/>
    <n v="243"/>
    <n v="61.94"/>
    <d v="2025-01-13T00:00:00"/>
    <d v="2025-02-05T00:00:00"/>
    <n v="12.6"/>
    <n v="15051.42"/>
  </r>
  <r>
    <x v="217"/>
    <s v="Notebook"/>
    <x v="0"/>
    <s v="S-101"/>
    <s v="Global Tech Corp"/>
    <n v="462"/>
    <n v="269.77"/>
    <d v="2025-04-11T00:00:00"/>
    <d v="2025-04-19T00:00:00"/>
    <n v="39.68"/>
    <n v="124633.73999999999"/>
  </r>
  <r>
    <x v="218"/>
    <s v="Tablet"/>
    <x v="2"/>
    <s v="S-103"/>
    <s v="Elite Paper Co"/>
    <n v="111"/>
    <n v="183.29"/>
    <d v="2025-01-06T00:00:00"/>
    <d v="2025-01-14T00:00:00"/>
    <n v="25.79"/>
    <n v="20345.189999999999"/>
  </r>
  <r>
    <x v="219"/>
    <s v="Marker"/>
    <x v="0"/>
    <s v="S-104"/>
    <s v="Modern Home Supplies"/>
    <n v="304"/>
    <n v="346.84"/>
    <d v="2025-02-02T00:00:00"/>
    <d v="2025-02-25T00:00:00"/>
    <n v="94.6"/>
    <n v="105439.35999999999"/>
  </r>
  <r>
    <x v="220"/>
    <s v="T-Shirt"/>
    <x v="1"/>
    <s v="S-101"/>
    <s v="Global Tech Corp"/>
    <n v="143"/>
    <n v="286.63"/>
    <d v="2025-02-02T00:00:00"/>
    <d v="2025-02-17T00:00:00"/>
    <n v="71.63"/>
    <n v="40988.089999999997"/>
  </r>
  <r>
    <x v="221"/>
    <s v="Dark Chocolate"/>
    <x v="3"/>
    <s v="S-101"/>
    <s v="Global Tech Corp"/>
    <n v="318"/>
    <n v="15.15"/>
    <d v="2025-01-10T00:00:00"/>
    <d v="2025-02-01T00:00:00"/>
    <n v="1.73"/>
    <n v="4817.7"/>
  </r>
  <r>
    <x v="222"/>
    <s v="Bookshelf"/>
    <x v="4"/>
    <s v="S-105"/>
    <s v="Fresh Mart Logistics"/>
    <n v="408"/>
    <n v="165.42"/>
    <d v="2025-03-10T00:00:00"/>
    <d v="2025-03-30T00:00:00"/>
    <n v="37.369999999999997"/>
    <n v="67491.360000000001"/>
  </r>
  <r>
    <x v="223"/>
    <s v="Smartphone"/>
    <x v="2"/>
    <s v="S-104"/>
    <s v="Modern Home Supplies"/>
    <n v="186"/>
    <n v="183.55"/>
    <d v="2025-05-21T00:00:00"/>
    <d v="2025-06-02T00:00:00"/>
    <n v="26.37"/>
    <n v="34140.300000000003"/>
  </r>
  <r>
    <x v="224"/>
    <s v="Smartphone"/>
    <x v="2"/>
    <s v="S-105"/>
    <s v="Fresh Mart Logistics"/>
    <n v="388"/>
    <n v="474.29"/>
    <d v="2025-03-30T00:00:00"/>
    <d v="2025-04-26T00:00:00"/>
    <n v="115.15"/>
    <n v="184024.52000000002"/>
  </r>
  <r>
    <x v="225"/>
    <s v="Tablet"/>
    <x v="2"/>
    <s v="S-102"/>
    <s v="Sunrise Industries"/>
    <n v="243"/>
    <n v="392.59"/>
    <d v="2025-01-23T00:00:00"/>
    <d v="2025-02-05T00:00:00"/>
    <n v="104.82"/>
    <n v="95399.37"/>
  </r>
  <r>
    <x v="226"/>
    <s v="Dark Chocolate"/>
    <x v="3"/>
    <s v="S-103"/>
    <s v="Elite Paper Co"/>
    <n v="117"/>
    <n v="465.43"/>
    <d v="2025-02-15T00:00:00"/>
    <d v="2025-02-21T00:00:00"/>
    <n v="117.79"/>
    <n v="54455.31"/>
  </r>
  <r>
    <x v="227"/>
    <s v="Desk Lamp"/>
    <x v="4"/>
    <s v="S-104"/>
    <s v="Modern Home Supplies"/>
    <n v="237"/>
    <n v="23.29"/>
    <d v="2025-04-19T00:00:00"/>
    <d v="2025-04-28T00:00:00"/>
    <n v="6.74"/>
    <n v="5519.73"/>
  </r>
  <r>
    <x v="228"/>
    <s v="Cap"/>
    <x v="1"/>
    <s v="S-102"/>
    <s v="Sunrise Industries"/>
    <n v="227"/>
    <n v="221.67"/>
    <d v="2025-06-15T00:00:00"/>
    <d v="2025-06-30T00:00:00"/>
    <n v="53.33"/>
    <n v="50319.09"/>
  </r>
  <r>
    <x v="229"/>
    <s v="Hoodie"/>
    <x v="1"/>
    <s v="S-103"/>
    <s v="Elite Paper Co"/>
    <n v="139"/>
    <n v="410.32"/>
    <d v="2025-01-19T00:00:00"/>
    <d v="2025-02-12T00:00:00"/>
    <n v="110.81"/>
    <n v="57034.479999999996"/>
  </r>
  <r>
    <x v="230"/>
    <s v="Coffee Beans"/>
    <x v="3"/>
    <s v="S-103"/>
    <s v="Elite Paper Co"/>
    <n v="322"/>
    <n v="88.58"/>
    <d v="2025-03-07T00:00:00"/>
    <d v="2025-03-31T00:00:00"/>
    <n v="26.14"/>
    <n v="28522.76"/>
  </r>
  <r>
    <x v="231"/>
    <s v="Coffee Beans"/>
    <x v="3"/>
    <s v="S-101"/>
    <s v="Global Tech Corp"/>
    <n v="193"/>
    <n v="166.87"/>
    <d v="2025-01-20T00:00:00"/>
    <d v="2025-02-18T00:00:00"/>
    <n v="45.5"/>
    <n v="32205.91"/>
  </r>
  <r>
    <x v="232"/>
    <s v="Socks"/>
    <x v="1"/>
    <s v="S-104"/>
    <s v="Modern Home Supplies"/>
    <n v="190"/>
    <n v="384.63"/>
    <d v="2025-01-24T00:00:00"/>
    <d v="2025-02-22T00:00:00"/>
    <n v="43.8"/>
    <n v="73079.7"/>
  </r>
  <r>
    <x v="233"/>
    <s v="Bookshelf"/>
    <x v="4"/>
    <s v="S-102"/>
    <s v="Sunrise Industries"/>
    <n v="124"/>
    <n v="294.62"/>
    <d v="2025-06-29T00:00:00"/>
    <d v="2025-07-11T00:00:00"/>
    <n v="82.34"/>
    <n v="36532.879999999997"/>
  </r>
  <r>
    <x v="234"/>
    <s v="Office Chair"/>
    <x v="4"/>
    <s v="S-102"/>
    <s v="Sunrise Industries"/>
    <n v="225"/>
    <n v="463.74"/>
    <d v="2025-01-05T00:00:00"/>
    <d v="2025-01-07T00:00:00"/>
    <n v="113.36"/>
    <n v="104341.5"/>
  </r>
  <r>
    <x v="235"/>
    <s v="Almonds"/>
    <x v="3"/>
    <s v="S-101"/>
    <s v="Global Tech Corp"/>
    <n v="370"/>
    <n v="239.92"/>
    <d v="2025-04-01T00:00:00"/>
    <d v="2025-05-01T00:00:00"/>
    <n v="53.05"/>
    <n v="88770.4"/>
  </r>
  <r>
    <x v="236"/>
    <s v="Pen Set"/>
    <x v="0"/>
    <s v="S-101"/>
    <s v="Global Tech Corp"/>
    <n v="289"/>
    <n v="309.04000000000002"/>
    <d v="2025-03-24T00:00:00"/>
    <d v="2025-04-02T00:00:00"/>
    <n v="91.12"/>
    <n v="89312.560000000012"/>
  </r>
  <r>
    <x v="237"/>
    <s v="T-Shirt"/>
    <x v="1"/>
    <s v="S-105"/>
    <s v="Fresh Mart Logistics"/>
    <n v="214"/>
    <n v="118.63"/>
    <d v="2025-06-19T00:00:00"/>
    <d v="2025-07-07T00:00:00"/>
    <n v="16"/>
    <n v="25386.82"/>
  </r>
  <r>
    <x v="238"/>
    <s v="Organic Tea"/>
    <x v="3"/>
    <s v="S-105"/>
    <s v="Fresh Mart Logistics"/>
    <n v="500"/>
    <n v="381.1"/>
    <d v="2025-06-02T00:00:00"/>
    <d v="2025-06-24T00:00:00"/>
    <n v="74.13"/>
    <n v="190550"/>
  </r>
  <r>
    <x v="239"/>
    <s v="Headphones"/>
    <x v="2"/>
    <s v="S-104"/>
    <s v="Modern Home Supplies"/>
    <n v="299"/>
    <n v="220.3"/>
    <d v="2025-01-14T00:00:00"/>
    <d v="2025-01-25T00:00:00"/>
    <n v="38.9"/>
    <n v="65869.7"/>
  </r>
  <r>
    <x v="240"/>
    <s v="Coffee Beans"/>
    <x v="3"/>
    <s v="S-104"/>
    <s v="Modern Home Supplies"/>
    <n v="281"/>
    <n v="136.65"/>
    <d v="2025-05-07T00:00:00"/>
    <d v="2025-05-27T00:00:00"/>
    <n v="39.17"/>
    <n v="38398.65"/>
  </r>
  <r>
    <x v="241"/>
    <s v="Desk Lamp"/>
    <x v="4"/>
    <s v="S-102"/>
    <s v="Sunrise Industries"/>
    <n v="141"/>
    <n v="170.28"/>
    <d v="2025-06-14T00:00:00"/>
    <d v="2025-07-11T00:00:00"/>
    <n v="33.39"/>
    <n v="24009.48"/>
  </r>
  <r>
    <x v="242"/>
    <s v="Organic Tea"/>
    <x v="3"/>
    <s v="S-101"/>
    <s v="Global Tech Corp"/>
    <n v="344"/>
    <n v="403.19"/>
    <d v="2025-03-08T00:00:00"/>
    <d v="2025-03-10T00:00:00"/>
    <n v="101.22"/>
    <n v="138697.35999999999"/>
  </r>
  <r>
    <x v="243"/>
    <s v="T-Shirt"/>
    <x v="1"/>
    <s v="S-102"/>
    <s v="Sunrise Industries"/>
    <n v="271"/>
    <n v="15.46"/>
    <d v="2025-04-24T00:00:00"/>
    <d v="2025-05-17T00:00:00"/>
    <n v="3.35"/>
    <n v="4189.66"/>
  </r>
  <r>
    <x v="244"/>
    <s v="Laptop"/>
    <x v="2"/>
    <s v="S-102"/>
    <s v="Sunrise Industries"/>
    <n v="256"/>
    <n v="491.2"/>
    <d v="2025-06-11T00:00:00"/>
    <d v="2025-06-13T00:00:00"/>
    <n v="129.27000000000001"/>
    <n v="125747.2"/>
  </r>
  <r>
    <x v="245"/>
    <s v="Tablet"/>
    <x v="2"/>
    <s v="S-104"/>
    <s v="Modern Home Supplies"/>
    <n v="126"/>
    <n v="18.3"/>
    <d v="2025-01-19T00:00:00"/>
    <d v="2025-02-14T00:00:00"/>
    <n v="3.03"/>
    <n v="2305.8000000000002"/>
  </r>
  <r>
    <x v="246"/>
    <s v="Desk Lamp"/>
    <x v="4"/>
    <s v="S-105"/>
    <s v="Fresh Mart Logistics"/>
    <n v="104"/>
    <n v="342.11"/>
    <d v="2025-03-23T00:00:00"/>
    <d v="2025-04-16T00:00:00"/>
    <n v="58.94"/>
    <n v="35579.440000000002"/>
  </r>
  <r>
    <x v="247"/>
    <s v="Hoodie"/>
    <x v="1"/>
    <s v="S-102"/>
    <s v="Sunrise Industries"/>
    <n v="402"/>
    <n v="230.72"/>
    <d v="2025-02-11T00:00:00"/>
    <d v="2025-02-26T00:00:00"/>
    <n v="34.33"/>
    <n v="92749.440000000002"/>
  </r>
  <r>
    <x v="248"/>
    <s v="Hoodie"/>
    <x v="1"/>
    <s v="S-105"/>
    <s v="Fresh Mart Logistics"/>
    <n v="71"/>
    <n v="491.86"/>
    <d v="2025-03-17T00:00:00"/>
    <d v="2025-03-31T00:00:00"/>
    <n v="65.11"/>
    <n v="34922.06"/>
  </r>
  <r>
    <x v="249"/>
    <s v="Desk Lamp"/>
    <x v="4"/>
    <s v="S-101"/>
    <s v="Global Tech Corp"/>
    <n v="63"/>
    <n v="338.59"/>
    <d v="2025-02-20T00:00:00"/>
    <d v="2025-03-03T00:00:00"/>
    <n v="77.599999999999994"/>
    <n v="21331.17"/>
  </r>
  <r>
    <x v="250"/>
    <s v="Desk Organizer"/>
    <x v="0"/>
    <s v="S-101"/>
    <s v="Global Tech Corp"/>
    <n v="238"/>
    <n v="481.91"/>
    <d v="2025-06-29T00:00:00"/>
    <d v="2025-07-04T00:00:00"/>
    <n v="102.58"/>
    <n v="114694.58"/>
  </r>
  <r>
    <x v="251"/>
    <s v="Laptop"/>
    <x v="2"/>
    <s v="S-102"/>
    <s v="Sunrise Industries"/>
    <n v="50"/>
    <n v="155.52000000000001"/>
    <d v="2025-02-16T00:00:00"/>
    <d v="2025-03-10T00:00:00"/>
    <n v="20"/>
    <n v="7776.0000000000009"/>
  </r>
  <r>
    <x v="252"/>
    <s v="Hoodie"/>
    <x v="1"/>
    <s v="S-105"/>
    <s v="Fresh Mart Logistics"/>
    <n v="236"/>
    <n v="455.34"/>
    <d v="2025-02-27T00:00:00"/>
    <d v="2025-03-28T00:00:00"/>
    <n v="78.2"/>
    <n v="107460.23999999999"/>
  </r>
  <r>
    <x v="253"/>
    <s v="Dark Chocolate"/>
    <x v="3"/>
    <s v="S-104"/>
    <s v="Modern Home Supplies"/>
    <n v="422"/>
    <n v="373.24"/>
    <d v="2025-04-11T00:00:00"/>
    <d v="2025-05-11T00:00:00"/>
    <n v="55.9"/>
    <n v="157507.28"/>
  </r>
  <r>
    <x v="254"/>
    <s v="Coffee Beans"/>
    <x v="3"/>
    <s v="S-101"/>
    <s v="Global Tech Corp"/>
    <n v="202"/>
    <n v="316.18"/>
    <d v="2025-05-27T00:00:00"/>
    <d v="2025-06-08T00:00:00"/>
    <n v="78.91"/>
    <n v="63868.36"/>
  </r>
  <r>
    <x v="255"/>
    <s v="T-Shirt"/>
    <x v="1"/>
    <s v="S-101"/>
    <s v="Global Tech Corp"/>
    <n v="199"/>
    <n v="75.75"/>
    <d v="2025-06-12T00:00:00"/>
    <d v="2025-06-16T00:00:00"/>
    <n v="10.47"/>
    <n v="15074.25"/>
  </r>
  <r>
    <x v="256"/>
    <s v="Organic Tea"/>
    <x v="3"/>
    <s v="S-105"/>
    <s v="Fresh Mart Logistics"/>
    <n v="27"/>
    <n v="7.04"/>
    <d v="2025-06-28T00:00:00"/>
    <d v="2025-07-14T00:00:00"/>
    <n v="0.78"/>
    <n v="190.08"/>
  </r>
  <r>
    <x v="257"/>
    <s v="Socks"/>
    <x v="1"/>
    <s v="S-101"/>
    <s v="Global Tech Corp"/>
    <n v="500"/>
    <n v="335.06"/>
    <d v="2025-05-17T00:00:00"/>
    <d v="2025-06-12T00:00:00"/>
    <n v="53.5"/>
    <n v="167530"/>
  </r>
  <r>
    <x v="258"/>
    <s v="Desk Organizer"/>
    <x v="0"/>
    <s v="S-102"/>
    <s v="Sunrise Industries"/>
    <n v="218"/>
    <n v="336.11"/>
    <d v="2025-06-14T00:00:00"/>
    <d v="2025-06-28T00:00:00"/>
    <n v="79.28"/>
    <n v="73271.98"/>
  </r>
  <r>
    <x v="259"/>
    <s v="Socks"/>
    <x v="1"/>
    <s v="S-105"/>
    <s v="Fresh Mart Logistics"/>
    <n v="16"/>
    <n v="469.47"/>
    <d v="2025-05-30T00:00:00"/>
    <d v="2025-06-02T00:00:00"/>
    <n v="62.97"/>
    <n v="7511.52"/>
  </r>
  <r>
    <x v="260"/>
    <s v="Desk Lamp"/>
    <x v="4"/>
    <s v="S-101"/>
    <s v="Global Tech Corp"/>
    <n v="384"/>
    <n v="397.49"/>
    <d v="2025-02-25T00:00:00"/>
    <d v="2025-03-05T00:00:00"/>
    <n v="91.23"/>
    <n v="152636.16"/>
  </r>
  <r>
    <x v="261"/>
    <s v="Office Chair"/>
    <x v="4"/>
    <s v="S-104"/>
    <s v="Modern Home Supplies"/>
    <n v="160"/>
    <n v="314.85000000000002"/>
    <d v="2025-06-17T00:00:00"/>
    <d v="2025-06-26T00:00:00"/>
    <n v="36.25"/>
    <n v="50376"/>
  </r>
  <r>
    <x v="262"/>
    <s v="Headphones"/>
    <x v="2"/>
    <s v="S-104"/>
    <s v="Modern Home Supplies"/>
    <n v="386"/>
    <n v="300.27"/>
    <d v="2025-02-26T00:00:00"/>
    <d v="2025-02-28T00:00:00"/>
    <n v="39.31"/>
    <n v="115904.21999999999"/>
  </r>
  <r>
    <x v="263"/>
    <s v="Socks"/>
    <x v="1"/>
    <s v="S-101"/>
    <s v="Global Tech Corp"/>
    <n v="315"/>
    <n v="120.42"/>
    <d v="2025-02-13T00:00:00"/>
    <d v="2025-03-08T00:00:00"/>
    <n v="20.61"/>
    <n v="37932.300000000003"/>
  </r>
  <r>
    <x v="264"/>
    <s v="Desk Lamp"/>
    <x v="4"/>
    <s v="S-103"/>
    <s v="Elite Paper Co"/>
    <n v="169"/>
    <n v="274.95999999999998"/>
    <d v="2025-02-08T00:00:00"/>
    <d v="2025-02-24T00:00:00"/>
    <n v="43.91"/>
    <n v="46468.24"/>
  </r>
  <r>
    <x v="265"/>
    <s v="Tablet"/>
    <x v="2"/>
    <s v="S-102"/>
    <s v="Sunrise Industries"/>
    <n v="25"/>
    <n v="386.92"/>
    <d v="2025-06-07T00:00:00"/>
    <d v="2025-06-13T00:00:00"/>
    <n v="106.94"/>
    <n v="9673"/>
  </r>
  <r>
    <x v="266"/>
    <s v="Almonds"/>
    <x v="3"/>
    <s v="S-101"/>
    <s v="Global Tech Corp"/>
    <n v="452"/>
    <n v="404.63"/>
    <d v="2025-05-27T00:00:00"/>
    <d v="2025-05-28T00:00:00"/>
    <n v="75.959999999999994"/>
    <n v="182892.76"/>
  </r>
  <r>
    <x v="267"/>
    <s v="Pen Set"/>
    <x v="0"/>
    <s v="S-101"/>
    <s v="Global Tech Corp"/>
    <n v="56"/>
    <n v="442.26"/>
    <d v="2025-04-12T00:00:00"/>
    <d v="2025-05-11T00:00:00"/>
    <n v="95.29"/>
    <n v="24766.559999999998"/>
  </r>
  <r>
    <x v="268"/>
    <s v="Tablet"/>
    <x v="2"/>
    <s v="S-103"/>
    <s v="Elite Paper Co"/>
    <n v="22"/>
    <n v="420.2"/>
    <d v="2025-02-09T00:00:00"/>
    <d v="2025-02-16T00:00:00"/>
    <n v="53.6"/>
    <n v="9244.4"/>
  </r>
  <r>
    <x v="269"/>
    <s v="Organic Tea"/>
    <x v="3"/>
    <s v="S-102"/>
    <s v="Sunrise Industries"/>
    <n v="92"/>
    <n v="321.37"/>
    <d v="2025-01-31T00:00:00"/>
    <d v="2025-02-17T00:00:00"/>
    <n v="79.87"/>
    <n v="29566.04"/>
  </r>
  <r>
    <x v="270"/>
    <s v="Desk Organizer"/>
    <x v="0"/>
    <s v="S-105"/>
    <s v="Fresh Mart Logistics"/>
    <n v="324"/>
    <n v="442.37"/>
    <d v="2025-02-04T00:00:00"/>
    <d v="2025-02-19T00:00:00"/>
    <n v="45.96"/>
    <n v="143327.88"/>
  </r>
  <r>
    <x v="271"/>
    <s v="Hoodie"/>
    <x v="1"/>
    <s v="S-102"/>
    <s v="Sunrise Industries"/>
    <n v="341"/>
    <n v="232.08"/>
    <d v="2025-02-25T00:00:00"/>
    <d v="2025-03-06T00:00:00"/>
    <n v="59.44"/>
    <n v="79139.28"/>
  </r>
  <r>
    <x v="272"/>
    <s v="Dark Chocolate"/>
    <x v="3"/>
    <s v="S-104"/>
    <s v="Modern Home Supplies"/>
    <n v="286"/>
    <n v="323.75"/>
    <d v="2025-04-04T00:00:00"/>
    <d v="2025-04-05T00:00:00"/>
    <n v="84.77"/>
    <n v="92592.5"/>
  </r>
  <r>
    <x v="273"/>
    <s v="Tablet"/>
    <x v="2"/>
    <s v="S-101"/>
    <s v="Global Tech Corp"/>
    <n v="209"/>
    <n v="89.89"/>
    <d v="2025-02-23T00:00:00"/>
    <d v="2025-03-17T00:00:00"/>
    <n v="13.78"/>
    <n v="18787.009999999998"/>
  </r>
  <r>
    <x v="274"/>
    <s v="Almonds"/>
    <x v="3"/>
    <s v="S-105"/>
    <s v="Fresh Mart Logistics"/>
    <n v="104"/>
    <n v="224.82"/>
    <d v="2025-05-06T00:00:00"/>
    <d v="2025-05-18T00:00:00"/>
    <n v="53.34"/>
    <n v="23381.279999999999"/>
  </r>
  <r>
    <x v="275"/>
    <s v="Marker"/>
    <x v="0"/>
    <s v="S-102"/>
    <s v="Sunrise Industries"/>
    <n v="48"/>
    <n v="218.37"/>
    <d v="2025-04-22T00:00:00"/>
    <d v="2025-05-04T00:00:00"/>
    <n v="45.54"/>
    <n v="10481.76"/>
  </r>
  <r>
    <x v="276"/>
    <s v="Organic Tea"/>
    <x v="3"/>
    <s v="S-105"/>
    <s v="Fresh Mart Logistics"/>
    <n v="310"/>
    <n v="371.75"/>
    <d v="2025-06-17T00:00:00"/>
    <d v="2025-06-21T00:00:00"/>
    <n v="86.31"/>
    <n v="115242.5"/>
  </r>
  <r>
    <x v="277"/>
    <s v="Coffee Beans"/>
    <x v="3"/>
    <s v="S-103"/>
    <s v="Elite Paper Co"/>
    <n v="423"/>
    <n v="84.84"/>
    <d v="2025-01-23T00:00:00"/>
    <d v="2025-02-15T00:00:00"/>
    <n v="14.23"/>
    <n v="35887.32"/>
  </r>
  <r>
    <x v="278"/>
    <s v="Office Chair"/>
    <x v="4"/>
    <s v="S-102"/>
    <s v="Sunrise Industries"/>
    <n v="91"/>
    <n v="472.31"/>
    <d v="2025-06-23T00:00:00"/>
    <d v="2025-07-08T00:00:00"/>
    <n v="136.77000000000001"/>
    <n v="42980.21"/>
  </r>
  <r>
    <x v="279"/>
    <s v="Socks"/>
    <x v="1"/>
    <s v="S-104"/>
    <s v="Modern Home Supplies"/>
    <n v="487"/>
    <n v="404.4"/>
    <d v="2025-03-07T00:00:00"/>
    <d v="2025-04-03T00:00:00"/>
    <n v="89.18"/>
    <n v="196942.8"/>
  </r>
  <r>
    <x v="280"/>
    <s v="Organic Tea"/>
    <x v="3"/>
    <s v="S-104"/>
    <s v="Modern Home Supplies"/>
    <n v="286"/>
    <n v="139.04"/>
    <d v="2025-03-02T00:00:00"/>
    <d v="2025-03-29T00:00:00"/>
    <n v="14.52"/>
    <n v="39765.439999999995"/>
  </r>
  <r>
    <x v="281"/>
    <s v="Desk Lamp"/>
    <x v="4"/>
    <s v="S-104"/>
    <s v="Modern Home Supplies"/>
    <n v="471"/>
    <n v="224.17"/>
    <d v="2025-03-28T00:00:00"/>
    <d v="2025-04-07T00:00:00"/>
    <n v="66.27"/>
    <n v="105584.06999999999"/>
  </r>
  <r>
    <x v="282"/>
    <s v="Marker"/>
    <x v="0"/>
    <s v="S-102"/>
    <s v="Sunrise Industries"/>
    <n v="174"/>
    <n v="103.76"/>
    <d v="2025-01-01T00:00:00"/>
    <d v="2025-01-11T00:00:00"/>
    <n v="12.42"/>
    <n v="18054.240000000002"/>
  </r>
  <r>
    <x v="283"/>
    <s v="Office Chair"/>
    <x v="4"/>
    <s v="S-102"/>
    <s v="Sunrise Industries"/>
    <n v="480"/>
    <n v="399.74"/>
    <d v="2025-05-28T00:00:00"/>
    <d v="2025-06-12T00:00:00"/>
    <n v="70.95"/>
    <n v="191875.20000000001"/>
  </r>
  <r>
    <x v="284"/>
    <s v="Headphones"/>
    <x v="2"/>
    <s v="S-105"/>
    <s v="Fresh Mart Logistics"/>
    <n v="253"/>
    <n v="441.02"/>
    <d v="2025-02-16T00:00:00"/>
    <d v="2025-03-10T00:00:00"/>
    <n v="123.45"/>
    <n v="111578.06"/>
  </r>
  <r>
    <x v="285"/>
    <s v="Pen Set"/>
    <x v="0"/>
    <s v="S-103"/>
    <s v="Elite Paper Co"/>
    <n v="229"/>
    <n v="130.71"/>
    <d v="2025-02-08T00:00:00"/>
    <d v="2025-02-10T00:00:00"/>
    <n v="36.57"/>
    <n v="29932.59"/>
  </r>
  <r>
    <x v="286"/>
    <s v="Marker"/>
    <x v="0"/>
    <s v="S-102"/>
    <s v="Sunrise Industries"/>
    <n v="213"/>
    <n v="365.74"/>
    <d v="2025-01-13T00:00:00"/>
    <d v="2025-02-12T00:00:00"/>
    <n v="59.84"/>
    <n v="77902.62"/>
  </r>
  <r>
    <x v="287"/>
    <s v="Coffee Beans"/>
    <x v="3"/>
    <s v="S-102"/>
    <s v="Sunrise Industries"/>
    <n v="274"/>
    <n v="73.48"/>
    <d v="2025-06-16T00:00:00"/>
    <d v="2025-07-05T00:00:00"/>
    <n v="10.11"/>
    <n v="20133.52"/>
  </r>
  <r>
    <x v="288"/>
    <s v="Office Chair"/>
    <x v="4"/>
    <s v="S-101"/>
    <s v="Global Tech Corp"/>
    <n v="307"/>
    <n v="89.3"/>
    <d v="2025-05-26T00:00:00"/>
    <d v="2025-06-23T00:00:00"/>
    <n v="18.41"/>
    <n v="27415.1"/>
  </r>
  <r>
    <x v="289"/>
    <s v="Socks"/>
    <x v="1"/>
    <s v="S-102"/>
    <s v="Sunrise Industries"/>
    <n v="148"/>
    <n v="456.68"/>
    <d v="2025-01-05T00:00:00"/>
    <d v="2025-01-27T00:00:00"/>
    <n v="62.16"/>
    <n v="67588.639999999999"/>
  </r>
  <r>
    <x v="290"/>
    <s v="Coffee Beans"/>
    <x v="3"/>
    <s v="S-104"/>
    <s v="Modern Home Supplies"/>
    <n v="87"/>
    <n v="267.04000000000002"/>
    <d v="2025-04-28T00:00:00"/>
    <d v="2025-05-13T00:00:00"/>
    <n v="60.87"/>
    <n v="23232.480000000003"/>
  </r>
  <r>
    <x v="291"/>
    <s v="T-Shirt"/>
    <x v="1"/>
    <s v="S-105"/>
    <s v="Fresh Mart Logistics"/>
    <n v="18"/>
    <n v="227.71"/>
    <d v="2025-04-11T00:00:00"/>
    <d v="2025-04-16T00:00:00"/>
    <n v="24.39"/>
    <n v="4098.78"/>
  </r>
  <r>
    <x v="292"/>
    <s v="Hoodie"/>
    <x v="1"/>
    <s v="S-103"/>
    <s v="Elite Paper Co"/>
    <n v="223"/>
    <n v="5.6"/>
    <d v="2025-01-01T00:00:00"/>
    <d v="2025-01-25T00:00:00"/>
    <n v="1.59"/>
    <n v="1248.8"/>
  </r>
  <r>
    <x v="293"/>
    <s v="Stool"/>
    <x v="4"/>
    <s v="S-101"/>
    <s v="Global Tech Corp"/>
    <n v="391"/>
    <n v="493.85"/>
    <d v="2025-03-18T00:00:00"/>
    <d v="2025-03-26T00:00:00"/>
    <n v="83.54"/>
    <n v="193095.35"/>
  </r>
  <r>
    <x v="294"/>
    <s v="Socks"/>
    <x v="1"/>
    <s v="S-104"/>
    <s v="Modern Home Supplies"/>
    <n v="365"/>
    <n v="57.38"/>
    <d v="2025-05-22T00:00:00"/>
    <d v="2025-06-01T00:00:00"/>
    <n v="12.62"/>
    <n v="20943.7"/>
  </r>
  <r>
    <x v="295"/>
    <s v="Cap"/>
    <x v="1"/>
    <s v="S-105"/>
    <s v="Fresh Mart Logistics"/>
    <n v="303"/>
    <n v="310.73"/>
    <d v="2025-04-21T00:00:00"/>
    <d v="2025-04-23T00:00:00"/>
    <n v="72.44"/>
    <n v="94151.19"/>
  </r>
  <r>
    <x v="296"/>
    <s v="Marker"/>
    <x v="0"/>
    <s v="S-102"/>
    <s v="Sunrise Industries"/>
    <n v="127"/>
    <n v="172.89"/>
    <d v="2025-06-02T00:00:00"/>
    <d v="2025-06-29T00:00:00"/>
    <n v="17.8"/>
    <n v="21957.03"/>
  </r>
  <r>
    <x v="297"/>
    <s v="Organic Tea"/>
    <x v="3"/>
    <s v="S-101"/>
    <s v="Global Tech Corp"/>
    <n v="309"/>
    <n v="369.67"/>
    <d v="2025-06-17T00:00:00"/>
    <d v="2025-06-26T00:00:00"/>
    <n v="108.89"/>
    <n v="114228.03"/>
  </r>
  <r>
    <x v="298"/>
    <s v="Notebook"/>
    <x v="0"/>
    <s v="S-102"/>
    <s v="Sunrise Industries"/>
    <n v="463"/>
    <n v="199.05"/>
    <d v="2025-04-30T00:00:00"/>
    <d v="2025-05-15T00:00:00"/>
    <n v="31.86"/>
    <n v="92160.150000000009"/>
  </r>
  <r>
    <x v="299"/>
    <s v="T-Shirt"/>
    <x v="1"/>
    <s v="S-103"/>
    <s v="Elite Paper Co"/>
    <n v="429"/>
    <n v="320.5"/>
    <d v="2025-03-12T00:00:00"/>
    <d v="2025-04-02T00:00:00"/>
    <n v="84.4"/>
    <n v="137494.5"/>
  </r>
  <r>
    <x v="300"/>
    <s v="Bookshelf"/>
    <x v="4"/>
    <s v="S-105"/>
    <s v="Fresh Mart Logistics"/>
    <n v="473"/>
    <n v="452.18"/>
    <d v="2025-04-13T00:00:00"/>
    <d v="2025-04-15T00:00:00"/>
    <n v="111.15"/>
    <n v="213881.14"/>
  </r>
  <r>
    <x v="301"/>
    <s v="Marker"/>
    <x v="0"/>
    <s v="S-102"/>
    <s v="Sunrise Industries"/>
    <n v="467"/>
    <n v="272.27999999999997"/>
    <d v="2025-05-21T00:00:00"/>
    <d v="2025-06-03T00:00:00"/>
    <n v="77.22"/>
    <n v="127154.75999999998"/>
  </r>
  <r>
    <x v="302"/>
    <s v="Organic Tea"/>
    <x v="3"/>
    <s v="S-101"/>
    <s v="Global Tech Corp"/>
    <n v="415"/>
    <n v="327.67"/>
    <d v="2025-03-01T00:00:00"/>
    <d v="2025-03-31T00:00:00"/>
    <n v="74.91"/>
    <n v="135983.05000000002"/>
  </r>
  <r>
    <x v="303"/>
    <s v="Notebook"/>
    <x v="0"/>
    <s v="S-102"/>
    <s v="Sunrise Industries"/>
    <n v="434"/>
    <n v="284.08999999999997"/>
    <d v="2025-02-25T00:00:00"/>
    <d v="2025-03-09T00:00:00"/>
    <n v="55.52"/>
    <n v="123295.05999999998"/>
  </r>
  <r>
    <x v="304"/>
    <s v="Desk Lamp"/>
    <x v="4"/>
    <s v="S-103"/>
    <s v="Elite Paper Co"/>
    <n v="369"/>
    <n v="225.06"/>
    <d v="2025-02-16T00:00:00"/>
    <d v="2025-02-22T00:00:00"/>
    <n v="55.2"/>
    <n v="83047.14"/>
  </r>
  <r>
    <x v="305"/>
    <s v="Desk Organizer"/>
    <x v="0"/>
    <s v="S-103"/>
    <s v="Elite Paper Co"/>
    <n v="470"/>
    <n v="71.53"/>
    <d v="2025-06-09T00:00:00"/>
    <d v="2025-07-05T00:00:00"/>
    <n v="20.52"/>
    <n v="33619.1"/>
  </r>
  <r>
    <x v="306"/>
    <s v="Coffee Beans"/>
    <x v="3"/>
    <s v="S-105"/>
    <s v="Fresh Mart Logistics"/>
    <n v="12"/>
    <n v="110.98"/>
    <d v="2025-02-13T00:00:00"/>
    <d v="2025-03-11T00:00:00"/>
    <n v="26.03"/>
    <n v="1331.76"/>
  </r>
  <r>
    <x v="307"/>
    <s v="Organic Tea"/>
    <x v="3"/>
    <s v="S-105"/>
    <s v="Fresh Mart Logistics"/>
    <n v="299"/>
    <n v="372.47"/>
    <d v="2025-01-25T00:00:00"/>
    <d v="2025-02-09T00:00:00"/>
    <n v="65.86"/>
    <n v="111368.53000000001"/>
  </r>
  <r>
    <x v="308"/>
    <s v="Headphones"/>
    <x v="2"/>
    <s v="S-104"/>
    <s v="Modern Home Supplies"/>
    <n v="75"/>
    <n v="57.93"/>
    <d v="2025-05-08T00:00:00"/>
    <d v="2025-05-23T00:00:00"/>
    <n v="8.11"/>
    <n v="4344.75"/>
  </r>
  <r>
    <x v="309"/>
    <s v="Office Chair"/>
    <x v="4"/>
    <s v="S-103"/>
    <s v="Elite Paper Co"/>
    <n v="199"/>
    <n v="57.4"/>
    <d v="2025-05-14T00:00:00"/>
    <d v="2025-06-06T00:00:00"/>
    <n v="13.18"/>
    <n v="11422.6"/>
  </r>
  <r>
    <x v="310"/>
    <s v="Smartphone"/>
    <x v="2"/>
    <s v="S-102"/>
    <s v="Sunrise Industries"/>
    <n v="107"/>
    <n v="98.81"/>
    <d v="2025-06-02T00:00:00"/>
    <d v="2025-06-26T00:00:00"/>
    <n v="12.26"/>
    <n v="10572.67"/>
  </r>
  <r>
    <x v="311"/>
    <s v="Desk Lamp"/>
    <x v="4"/>
    <s v="S-104"/>
    <s v="Modern Home Supplies"/>
    <n v="182"/>
    <n v="208.52"/>
    <d v="2025-04-13T00:00:00"/>
    <d v="2025-04-24T00:00:00"/>
    <n v="53.67"/>
    <n v="37950.639999999999"/>
  </r>
  <r>
    <x v="312"/>
    <s v="Almonds"/>
    <x v="3"/>
    <s v="S-102"/>
    <s v="Sunrise Industries"/>
    <n v="382"/>
    <n v="307.14999999999998"/>
    <d v="2025-06-08T00:00:00"/>
    <d v="2025-06-12T00:00:00"/>
    <n v="39.130000000000003"/>
    <n v="117331.29999999999"/>
  </r>
  <r>
    <x v="313"/>
    <s v="Dark Chocolate"/>
    <x v="3"/>
    <s v="S-102"/>
    <s v="Sunrise Industries"/>
    <n v="275"/>
    <n v="402.51"/>
    <d v="2025-04-25T00:00:00"/>
    <d v="2025-05-11T00:00:00"/>
    <n v="86.18"/>
    <n v="110690.25"/>
  </r>
  <r>
    <x v="314"/>
    <s v="Pen Set"/>
    <x v="0"/>
    <s v="S-101"/>
    <s v="Global Tech Corp"/>
    <n v="183"/>
    <n v="31.1"/>
    <d v="2025-01-29T00:00:00"/>
    <d v="2025-02-05T00:00:00"/>
    <n v="5.16"/>
    <n v="5691.3"/>
  </r>
  <r>
    <x v="315"/>
    <s v="Bookshelf"/>
    <x v="4"/>
    <s v="S-101"/>
    <s v="Global Tech Corp"/>
    <n v="108"/>
    <n v="387.03"/>
    <d v="2025-03-11T00:00:00"/>
    <d v="2025-04-07T00:00:00"/>
    <n v="78.430000000000007"/>
    <n v="41799.24"/>
  </r>
  <r>
    <x v="316"/>
    <s v="Marker"/>
    <x v="0"/>
    <s v="S-102"/>
    <s v="Sunrise Industries"/>
    <n v="361"/>
    <n v="118.78"/>
    <d v="2025-01-09T00:00:00"/>
    <d v="2025-01-14T00:00:00"/>
    <n v="15.74"/>
    <n v="42879.58"/>
  </r>
  <r>
    <x v="317"/>
    <s v="Socks"/>
    <x v="1"/>
    <s v="S-101"/>
    <s v="Global Tech Corp"/>
    <n v="395"/>
    <n v="40.64"/>
    <d v="2025-04-02T00:00:00"/>
    <d v="2025-04-13T00:00:00"/>
    <n v="6.45"/>
    <n v="16052.800000000001"/>
  </r>
  <r>
    <x v="318"/>
    <s v="Desk Organizer"/>
    <x v="0"/>
    <s v="S-101"/>
    <s v="Global Tech Corp"/>
    <n v="117"/>
    <n v="228.56"/>
    <d v="2025-01-29T00:00:00"/>
    <d v="2025-02-26T00:00:00"/>
    <n v="28.43"/>
    <n v="26741.52"/>
  </r>
  <r>
    <x v="319"/>
    <s v="Bookshelf"/>
    <x v="4"/>
    <s v="S-102"/>
    <s v="Sunrise Industries"/>
    <n v="413"/>
    <n v="223.16"/>
    <d v="2025-04-17T00:00:00"/>
    <d v="2025-04-29T00:00:00"/>
    <n v="42.36"/>
    <n v="92165.08"/>
  </r>
  <r>
    <x v="320"/>
    <s v="Headphones"/>
    <x v="2"/>
    <s v="S-103"/>
    <s v="Elite Paper Co"/>
    <n v="249"/>
    <n v="451.82"/>
    <d v="2025-04-16T00:00:00"/>
    <d v="2025-05-15T00:00:00"/>
    <n v="94.01"/>
    <n v="112503.18"/>
  </r>
  <r>
    <x v="321"/>
    <s v="Laptop"/>
    <x v="2"/>
    <s v="S-105"/>
    <s v="Fresh Mart Logistics"/>
    <n v="179"/>
    <n v="357.64"/>
    <d v="2025-06-16T00:00:00"/>
    <d v="2025-06-19T00:00:00"/>
    <n v="45.07"/>
    <n v="64017.56"/>
  </r>
  <r>
    <x v="322"/>
    <s v="Smartphone"/>
    <x v="2"/>
    <s v="S-101"/>
    <s v="Global Tech Corp"/>
    <n v="39"/>
    <n v="21.94"/>
    <d v="2025-04-29T00:00:00"/>
    <d v="2025-05-04T00:00:00"/>
    <n v="4.58"/>
    <n v="855.66000000000008"/>
  </r>
  <r>
    <x v="323"/>
    <s v="Stool"/>
    <x v="4"/>
    <s v="S-102"/>
    <s v="Sunrise Industries"/>
    <n v="67"/>
    <n v="297.14"/>
    <d v="2025-05-10T00:00:00"/>
    <d v="2025-05-12T00:00:00"/>
    <n v="81.760000000000005"/>
    <n v="19908.379999999997"/>
  </r>
  <r>
    <x v="324"/>
    <s v="Dark Chocolate"/>
    <x v="3"/>
    <s v="S-102"/>
    <s v="Sunrise Industries"/>
    <n v="278"/>
    <n v="107.71"/>
    <d v="2025-01-28T00:00:00"/>
    <d v="2025-02-14T00:00:00"/>
    <n v="17.55"/>
    <n v="29943.379999999997"/>
  </r>
  <r>
    <x v="325"/>
    <s v="Dark Chocolate"/>
    <x v="3"/>
    <s v="S-103"/>
    <s v="Elite Paper Co"/>
    <n v="370"/>
    <n v="471.11"/>
    <d v="2025-01-08T00:00:00"/>
    <d v="2025-01-16T00:00:00"/>
    <n v="93.11"/>
    <n v="174310.7"/>
  </r>
  <r>
    <x v="326"/>
    <s v="Cap"/>
    <x v="1"/>
    <s v="S-104"/>
    <s v="Modern Home Supplies"/>
    <n v="42"/>
    <n v="112.74"/>
    <d v="2025-04-20T00:00:00"/>
    <d v="2025-05-14T00:00:00"/>
    <n v="16.57"/>
    <n v="4735.08"/>
  </r>
  <r>
    <x v="327"/>
    <s v="Almonds"/>
    <x v="3"/>
    <s v="S-101"/>
    <s v="Global Tech Corp"/>
    <n v="112"/>
    <n v="163.06"/>
    <d v="2025-03-08T00:00:00"/>
    <d v="2025-03-31T00:00:00"/>
    <n v="28.49"/>
    <n v="18262.72"/>
  </r>
  <r>
    <x v="328"/>
    <s v="Organic Tea"/>
    <x v="3"/>
    <s v="S-103"/>
    <s v="Elite Paper Co"/>
    <n v="32"/>
    <n v="71.41"/>
    <d v="2025-05-16T00:00:00"/>
    <d v="2025-06-13T00:00:00"/>
    <n v="12.33"/>
    <n v="2285.12"/>
  </r>
  <r>
    <x v="329"/>
    <s v="Stool"/>
    <x v="4"/>
    <s v="S-101"/>
    <s v="Global Tech Corp"/>
    <n v="391"/>
    <n v="316.67"/>
    <d v="2025-02-22T00:00:00"/>
    <d v="2025-03-18T00:00:00"/>
    <n v="33.08"/>
    <n v="123817.97"/>
  </r>
  <r>
    <x v="330"/>
    <s v="Pen Set"/>
    <x v="0"/>
    <s v="S-103"/>
    <s v="Elite Paper Co"/>
    <n v="148"/>
    <n v="79.03"/>
    <d v="2025-06-10T00:00:00"/>
    <d v="2025-06-26T00:00:00"/>
    <n v="13.76"/>
    <n v="11696.44"/>
  </r>
  <r>
    <x v="331"/>
    <s v="Almonds"/>
    <x v="3"/>
    <s v="S-105"/>
    <s v="Fresh Mart Logistics"/>
    <n v="80"/>
    <n v="259.41000000000003"/>
    <d v="2025-05-29T00:00:00"/>
    <d v="2025-06-24T00:00:00"/>
    <n v="37.909999999999997"/>
    <n v="20752.800000000003"/>
  </r>
  <r>
    <x v="332"/>
    <s v="Notebook"/>
    <x v="0"/>
    <s v="S-104"/>
    <s v="Modern Home Supplies"/>
    <n v="415"/>
    <n v="388.53"/>
    <d v="2025-04-22T00:00:00"/>
    <d v="2025-05-21T00:00:00"/>
    <n v="54.89"/>
    <n v="161239.94999999998"/>
  </r>
  <r>
    <x v="333"/>
    <s v="Organic Tea"/>
    <x v="3"/>
    <s v="S-101"/>
    <s v="Global Tech Corp"/>
    <n v="238"/>
    <n v="360.49"/>
    <d v="2025-04-06T00:00:00"/>
    <d v="2025-04-12T00:00:00"/>
    <n v="91.15"/>
    <n v="85796.62"/>
  </r>
  <r>
    <x v="334"/>
    <s v="Dark Chocolate"/>
    <x v="3"/>
    <s v="S-102"/>
    <s v="Sunrise Industries"/>
    <n v="54"/>
    <n v="37.25"/>
    <d v="2025-06-11T00:00:00"/>
    <d v="2025-06-17T00:00:00"/>
    <n v="9.48"/>
    <n v="2011.5"/>
  </r>
  <r>
    <x v="335"/>
    <s v="Hoodie"/>
    <x v="1"/>
    <s v="S-101"/>
    <s v="Global Tech Corp"/>
    <n v="169"/>
    <n v="144.4"/>
    <d v="2025-02-02T00:00:00"/>
    <d v="2025-02-15T00:00:00"/>
    <n v="32.229999999999997"/>
    <n v="24403.600000000002"/>
  </r>
  <r>
    <x v="336"/>
    <s v="Laptop"/>
    <x v="2"/>
    <s v="S-104"/>
    <s v="Modern Home Supplies"/>
    <n v="280"/>
    <n v="326.27"/>
    <d v="2025-04-03T00:00:00"/>
    <d v="2025-04-24T00:00:00"/>
    <n v="67.989999999999995"/>
    <n v="91355.599999999991"/>
  </r>
  <r>
    <x v="337"/>
    <s v="Cap"/>
    <x v="1"/>
    <s v="S-102"/>
    <s v="Sunrise Industries"/>
    <n v="315"/>
    <n v="84.55"/>
    <d v="2025-02-05T00:00:00"/>
    <d v="2025-02-16T00:00:00"/>
    <n v="17.690000000000001"/>
    <n v="26633.25"/>
  </r>
  <r>
    <x v="338"/>
    <s v="Notebook"/>
    <x v="0"/>
    <s v="S-105"/>
    <s v="Fresh Mart Logistics"/>
    <n v="223"/>
    <n v="478.7"/>
    <d v="2025-04-30T00:00:00"/>
    <d v="2025-05-19T00:00:00"/>
    <n v="140.21"/>
    <n v="106750.09999999999"/>
  </r>
  <r>
    <x v="339"/>
    <s v="Marker"/>
    <x v="0"/>
    <s v="S-105"/>
    <s v="Fresh Mart Logistics"/>
    <n v="84"/>
    <n v="212.23"/>
    <d v="2025-04-23T00:00:00"/>
    <d v="2025-04-30T00:00:00"/>
    <n v="21.31"/>
    <n v="17827.32"/>
  </r>
  <r>
    <x v="340"/>
    <s v="Tablet"/>
    <x v="2"/>
    <s v="S-104"/>
    <s v="Modern Home Supplies"/>
    <n v="447"/>
    <n v="474.45"/>
    <d v="2025-06-11T00:00:00"/>
    <d v="2025-06-14T00:00:00"/>
    <n v="111.51"/>
    <n v="212079.15"/>
  </r>
  <r>
    <x v="341"/>
    <s v="Marker"/>
    <x v="0"/>
    <s v="S-103"/>
    <s v="Elite Paper Co"/>
    <n v="284"/>
    <n v="352.55"/>
    <d v="2025-06-10T00:00:00"/>
    <d v="2025-06-19T00:00:00"/>
    <n v="55.36"/>
    <n v="100124.2"/>
  </r>
  <r>
    <x v="342"/>
    <s v="Desk Organizer"/>
    <x v="0"/>
    <s v="S-101"/>
    <s v="Global Tech Corp"/>
    <n v="33"/>
    <n v="417.47"/>
    <d v="2025-03-26T00:00:00"/>
    <d v="2025-04-20T00:00:00"/>
    <n v="46.5"/>
    <n v="13776.51"/>
  </r>
  <r>
    <x v="343"/>
    <s v="Headphones"/>
    <x v="2"/>
    <s v="S-104"/>
    <s v="Modern Home Supplies"/>
    <n v="109"/>
    <n v="119.93"/>
    <d v="2025-02-06T00:00:00"/>
    <d v="2025-02-14T00:00:00"/>
    <n v="14.88"/>
    <n v="13072.37"/>
  </r>
  <r>
    <x v="344"/>
    <s v="Dark Chocolate"/>
    <x v="3"/>
    <s v="S-105"/>
    <s v="Fresh Mart Logistics"/>
    <n v="292"/>
    <n v="337.85"/>
    <d v="2025-02-23T00:00:00"/>
    <d v="2025-03-17T00:00:00"/>
    <n v="65.23"/>
    <n v="98652.200000000012"/>
  </r>
  <r>
    <x v="345"/>
    <s v="Coffee Beans"/>
    <x v="3"/>
    <s v="S-103"/>
    <s v="Elite Paper Co"/>
    <n v="320"/>
    <n v="495.05"/>
    <d v="2025-03-14T00:00:00"/>
    <d v="2025-03-28T00:00:00"/>
    <n v="50.32"/>
    <n v="158416"/>
  </r>
  <r>
    <x v="346"/>
    <s v="Smartphone"/>
    <x v="2"/>
    <s v="S-103"/>
    <s v="Elite Paper Co"/>
    <n v="139"/>
    <n v="251.48"/>
    <d v="2025-01-29T00:00:00"/>
    <d v="2025-02-02T00:00:00"/>
    <n v="29.87"/>
    <n v="34955.72"/>
  </r>
  <r>
    <x v="347"/>
    <s v="Hoodie"/>
    <x v="1"/>
    <s v="S-102"/>
    <s v="Sunrise Industries"/>
    <n v="93"/>
    <n v="211.55"/>
    <d v="2025-06-27T00:00:00"/>
    <d v="2025-07-08T00:00:00"/>
    <n v="46.74"/>
    <n v="19674.150000000001"/>
  </r>
  <r>
    <x v="348"/>
    <s v="Tablet"/>
    <x v="2"/>
    <s v="S-101"/>
    <s v="Global Tech Corp"/>
    <n v="314"/>
    <n v="106.58"/>
    <d v="2025-06-20T00:00:00"/>
    <d v="2025-07-01T00:00:00"/>
    <n v="10.93"/>
    <n v="33466.120000000003"/>
  </r>
  <r>
    <x v="349"/>
    <s v="Tablet"/>
    <x v="2"/>
    <s v="S-103"/>
    <s v="Elite Paper Co"/>
    <n v="213"/>
    <n v="216.99"/>
    <d v="2025-05-19T00:00:00"/>
    <d v="2025-06-01T00:00:00"/>
    <n v="55.76"/>
    <n v="46218.87"/>
  </r>
  <r>
    <x v="350"/>
    <s v="Tablet"/>
    <x v="2"/>
    <s v="S-101"/>
    <s v="Global Tech Corp"/>
    <n v="146"/>
    <n v="406.2"/>
    <d v="2025-01-24T00:00:00"/>
    <d v="2025-02-08T00:00:00"/>
    <n v="50.85"/>
    <n v="59305.2"/>
  </r>
  <r>
    <x v="351"/>
    <s v="T-Shirt"/>
    <x v="1"/>
    <s v="S-102"/>
    <s v="Sunrise Industries"/>
    <n v="376"/>
    <n v="261.77999999999997"/>
    <d v="2025-02-15T00:00:00"/>
    <d v="2025-03-09T00:00:00"/>
    <n v="47.33"/>
    <n v="98429.279999999984"/>
  </r>
  <r>
    <x v="352"/>
    <s v="Almonds"/>
    <x v="3"/>
    <s v="S-105"/>
    <s v="Fresh Mart Logistics"/>
    <n v="291"/>
    <n v="444.52"/>
    <d v="2025-01-03T00:00:00"/>
    <d v="2025-01-22T00:00:00"/>
    <n v="63.3"/>
    <n v="129355.31999999999"/>
  </r>
  <r>
    <x v="353"/>
    <s v="Tablet"/>
    <x v="2"/>
    <s v="S-101"/>
    <s v="Global Tech Corp"/>
    <n v="328"/>
    <n v="136.76"/>
    <d v="2025-01-10T00:00:00"/>
    <d v="2025-01-23T00:00:00"/>
    <n v="36.08"/>
    <n v="44857.279999999999"/>
  </r>
  <r>
    <x v="354"/>
    <s v="Almonds"/>
    <x v="3"/>
    <s v="S-101"/>
    <s v="Global Tech Corp"/>
    <n v="391"/>
    <n v="232.02"/>
    <d v="2025-03-03T00:00:00"/>
    <d v="2025-03-21T00:00:00"/>
    <n v="53.97"/>
    <n v="90719.82"/>
  </r>
  <r>
    <x v="355"/>
    <s v="Hoodie"/>
    <x v="1"/>
    <s v="S-102"/>
    <s v="Sunrise Industries"/>
    <n v="27"/>
    <n v="483.96"/>
    <d v="2025-03-25T00:00:00"/>
    <d v="2025-04-07T00:00:00"/>
    <n v="142.69999999999999"/>
    <n v="13066.92"/>
  </r>
  <r>
    <x v="356"/>
    <s v="Headphones"/>
    <x v="2"/>
    <s v="S-101"/>
    <s v="Global Tech Corp"/>
    <n v="153"/>
    <n v="196.08"/>
    <d v="2025-01-02T00:00:00"/>
    <d v="2025-01-11T00:00:00"/>
    <n v="34.6"/>
    <n v="30000.240000000002"/>
  </r>
  <r>
    <x v="357"/>
    <s v="Pen Set"/>
    <x v="0"/>
    <s v="S-102"/>
    <s v="Sunrise Industries"/>
    <n v="374"/>
    <n v="86.72"/>
    <d v="2025-06-13T00:00:00"/>
    <d v="2025-07-12T00:00:00"/>
    <n v="18.13"/>
    <n v="32433.279999999999"/>
  </r>
  <r>
    <x v="358"/>
    <s v="Laptop"/>
    <x v="2"/>
    <s v="S-102"/>
    <s v="Sunrise Industries"/>
    <n v="246"/>
    <n v="176.95"/>
    <d v="2025-02-27T00:00:00"/>
    <d v="2025-03-05T00:00:00"/>
    <n v="30.7"/>
    <n v="43529.7"/>
  </r>
  <r>
    <x v="359"/>
    <s v="Stool"/>
    <x v="4"/>
    <s v="S-105"/>
    <s v="Fresh Mart Logistics"/>
    <n v="297"/>
    <n v="115.09"/>
    <d v="2025-04-29T00:00:00"/>
    <d v="2025-05-11T00:00:00"/>
    <n v="30.37"/>
    <n v="34181.730000000003"/>
  </r>
  <r>
    <x v="360"/>
    <s v="Hoodie"/>
    <x v="1"/>
    <s v="S-102"/>
    <s v="Sunrise Industries"/>
    <n v="374"/>
    <n v="451.39"/>
    <d v="2025-06-02T00:00:00"/>
    <d v="2025-06-26T00:00:00"/>
    <n v="93.75"/>
    <n v="168819.86"/>
  </r>
  <r>
    <x v="361"/>
    <s v="Desk Lamp"/>
    <x v="4"/>
    <s v="S-104"/>
    <s v="Modern Home Supplies"/>
    <n v="119"/>
    <n v="261.58999999999997"/>
    <d v="2025-05-12T00:00:00"/>
    <d v="2025-06-06T00:00:00"/>
    <n v="62.08"/>
    <n v="31129.209999999995"/>
  </r>
  <r>
    <x v="362"/>
    <s v="Headphones"/>
    <x v="2"/>
    <s v="S-103"/>
    <s v="Elite Paper Co"/>
    <n v="173"/>
    <n v="444.83"/>
    <d v="2025-05-08T00:00:00"/>
    <d v="2025-05-16T00:00:00"/>
    <n v="51.96"/>
    <n v="76955.59"/>
  </r>
  <r>
    <x v="363"/>
    <s v="Socks"/>
    <x v="1"/>
    <s v="S-103"/>
    <s v="Elite Paper Co"/>
    <n v="467"/>
    <n v="195.43"/>
    <d v="2025-05-20T00:00:00"/>
    <d v="2025-06-18T00:00:00"/>
    <n v="32.67"/>
    <n v="91265.81"/>
  </r>
  <r>
    <x v="364"/>
    <s v="Hoodie"/>
    <x v="1"/>
    <s v="S-103"/>
    <s v="Elite Paper Co"/>
    <n v="126"/>
    <n v="48.07"/>
    <d v="2025-01-11T00:00:00"/>
    <d v="2025-02-04T00:00:00"/>
    <n v="10.38"/>
    <n v="6056.82"/>
  </r>
  <r>
    <x v="365"/>
    <s v="Bookshelf"/>
    <x v="4"/>
    <s v="S-101"/>
    <s v="Global Tech Corp"/>
    <n v="83"/>
    <n v="309.14999999999998"/>
    <d v="2025-01-14T00:00:00"/>
    <d v="2025-01-16T00:00:00"/>
    <n v="86.92"/>
    <n v="25659.449999999997"/>
  </r>
  <r>
    <x v="366"/>
    <s v="Hoodie"/>
    <x v="1"/>
    <s v="S-105"/>
    <s v="Fresh Mart Logistics"/>
    <n v="290"/>
    <n v="317.35000000000002"/>
    <d v="2025-04-06T00:00:00"/>
    <d v="2025-04-12T00:00:00"/>
    <n v="49.23"/>
    <n v="92031.5"/>
  </r>
  <r>
    <x v="367"/>
    <s v="Desk Lamp"/>
    <x v="4"/>
    <s v="S-102"/>
    <s v="Sunrise Industries"/>
    <n v="418"/>
    <n v="454.87"/>
    <d v="2025-03-20T00:00:00"/>
    <d v="2025-03-21T00:00:00"/>
    <n v="132.26"/>
    <n v="190135.66"/>
  </r>
  <r>
    <x v="368"/>
    <s v="Cap"/>
    <x v="1"/>
    <s v="S-104"/>
    <s v="Modern Home Supplies"/>
    <n v="408"/>
    <n v="49.98"/>
    <d v="2025-03-19T00:00:00"/>
    <d v="2025-03-31T00:00:00"/>
    <n v="7.56"/>
    <n v="20391.84"/>
  </r>
  <r>
    <x v="369"/>
    <s v="Tablet"/>
    <x v="2"/>
    <s v="S-102"/>
    <s v="Sunrise Industries"/>
    <n v="450"/>
    <n v="468.98"/>
    <d v="2025-03-13T00:00:00"/>
    <d v="2025-04-04T00:00:00"/>
    <n v="101.34"/>
    <n v="211041"/>
  </r>
  <r>
    <x v="370"/>
    <s v="T-Shirt"/>
    <x v="1"/>
    <s v="S-105"/>
    <s v="Fresh Mart Logistics"/>
    <n v="321"/>
    <n v="46.68"/>
    <d v="2025-02-14T00:00:00"/>
    <d v="2025-02-19T00:00:00"/>
    <n v="6.23"/>
    <n v="14984.28"/>
  </r>
  <r>
    <x v="371"/>
    <s v="Tablet"/>
    <x v="2"/>
    <s v="S-101"/>
    <s v="Global Tech Corp"/>
    <n v="23"/>
    <n v="404.88"/>
    <d v="2025-06-29T00:00:00"/>
    <d v="2025-07-04T00:00:00"/>
    <n v="70.650000000000006"/>
    <n v="9312.24"/>
  </r>
  <r>
    <x v="372"/>
    <s v="Marker"/>
    <x v="0"/>
    <s v="S-102"/>
    <s v="Sunrise Industries"/>
    <n v="342"/>
    <n v="65.52"/>
    <d v="2025-02-11T00:00:00"/>
    <d v="2025-02-17T00:00:00"/>
    <n v="8.84"/>
    <n v="22407.84"/>
  </r>
  <r>
    <x v="373"/>
    <s v="Tablet"/>
    <x v="2"/>
    <s v="S-101"/>
    <s v="Global Tech Corp"/>
    <n v="121"/>
    <n v="171.08"/>
    <d v="2025-03-22T00:00:00"/>
    <d v="2025-03-25T00:00:00"/>
    <n v="24.47"/>
    <n v="20700.68"/>
  </r>
  <r>
    <x v="374"/>
    <s v="Cap"/>
    <x v="1"/>
    <s v="S-105"/>
    <s v="Fresh Mart Logistics"/>
    <n v="341"/>
    <n v="150.05000000000001"/>
    <d v="2025-03-08T00:00:00"/>
    <d v="2025-03-31T00:00:00"/>
    <n v="15.31"/>
    <n v="51167.05"/>
  </r>
  <r>
    <x v="375"/>
    <s v="Dark Chocolate"/>
    <x v="3"/>
    <s v="S-105"/>
    <s v="Fresh Mart Logistics"/>
    <n v="371"/>
    <n v="465.63"/>
    <d v="2025-05-27T00:00:00"/>
    <d v="2025-06-12T00:00:00"/>
    <n v="52.09"/>
    <n v="172748.73"/>
  </r>
  <r>
    <x v="376"/>
    <s v="Headphones"/>
    <x v="2"/>
    <s v="S-104"/>
    <s v="Modern Home Supplies"/>
    <n v="336"/>
    <n v="228.71"/>
    <d v="2025-02-22T00:00:00"/>
    <d v="2025-02-25T00:00:00"/>
    <n v="55.85"/>
    <n v="76846.559999999998"/>
  </r>
  <r>
    <x v="377"/>
    <s v="Smartphone"/>
    <x v="2"/>
    <s v="S-103"/>
    <s v="Elite Paper Co"/>
    <n v="353"/>
    <n v="172.33"/>
    <d v="2025-05-28T00:00:00"/>
    <d v="2025-06-20T00:00:00"/>
    <n v="21.45"/>
    <n v="60832.490000000005"/>
  </r>
  <r>
    <x v="378"/>
    <s v="Desk Organizer"/>
    <x v="0"/>
    <s v="S-101"/>
    <s v="Global Tech Corp"/>
    <n v="235"/>
    <n v="89.2"/>
    <d v="2025-03-17T00:00:00"/>
    <d v="2025-03-19T00:00:00"/>
    <n v="13.91"/>
    <n v="20962"/>
  </r>
  <r>
    <x v="379"/>
    <s v="Stool"/>
    <x v="4"/>
    <s v="S-103"/>
    <s v="Elite Paper Co"/>
    <n v="279"/>
    <n v="248.12"/>
    <d v="2025-04-21T00:00:00"/>
    <d v="2025-05-01T00:00:00"/>
    <n v="29.57"/>
    <n v="69225.48"/>
  </r>
  <r>
    <x v="380"/>
    <s v="Marker"/>
    <x v="0"/>
    <s v="S-102"/>
    <s v="Sunrise Industries"/>
    <n v="86"/>
    <n v="474.98"/>
    <d v="2025-04-25T00:00:00"/>
    <d v="2025-05-18T00:00:00"/>
    <n v="113.05"/>
    <n v="40848.28"/>
  </r>
  <r>
    <x v="381"/>
    <s v="Organic Tea"/>
    <x v="3"/>
    <s v="S-104"/>
    <s v="Modern Home Supplies"/>
    <n v="48"/>
    <n v="305.95999999999998"/>
    <d v="2025-04-09T00:00:00"/>
    <d v="2025-04-18T00:00:00"/>
    <n v="64.45"/>
    <n v="14686.079999999998"/>
  </r>
  <r>
    <x v="382"/>
    <s v="Dark Chocolate"/>
    <x v="3"/>
    <s v="S-101"/>
    <s v="Global Tech Corp"/>
    <n v="339"/>
    <n v="179.49"/>
    <d v="2025-05-06T00:00:00"/>
    <d v="2025-05-26T00:00:00"/>
    <n v="32.83"/>
    <n v="60847.11"/>
  </r>
  <r>
    <x v="383"/>
    <s v="Pen Set"/>
    <x v="0"/>
    <s v="S-101"/>
    <s v="Global Tech Corp"/>
    <n v="139"/>
    <n v="58.04"/>
    <d v="2025-04-14T00:00:00"/>
    <d v="2025-05-09T00:00:00"/>
    <n v="10.58"/>
    <n v="8067.5599999999995"/>
  </r>
  <r>
    <x v="384"/>
    <s v="Tablet"/>
    <x v="2"/>
    <s v="S-104"/>
    <s v="Modern Home Supplies"/>
    <n v="470"/>
    <n v="257.29000000000002"/>
    <d v="2025-05-01T00:00:00"/>
    <d v="2025-05-08T00:00:00"/>
    <n v="54.03"/>
    <n v="120926.3"/>
  </r>
  <r>
    <x v="385"/>
    <s v="Marker"/>
    <x v="0"/>
    <s v="S-101"/>
    <s v="Global Tech Corp"/>
    <n v="210"/>
    <n v="338.32"/>
    <d v="2025-04-30T00:00:00"/>
    <d v="2025-05-30T00:00:00"/>
    <n v="74.02"/>
    <n v="71047.199999999997"/>
  </r>
  <r>
    <x v="386"/>
    <s v="Notebook"/>
    <x v="0"/>
    <s v="S-104"/>
    <s v="Modern Home Supplies"/>
    <n v="80"/>
    <n v="115.46"/>
    <d v="2025-04-02T00:00:00"/>
    <d v="2025-04-19T00:00:00"/>
    <n v="21.55"/>
    <n v="9236.7999999999993"/>
  </r>
  <r>
    <x v="387"/>
    <s v="Coffee Beans"/>
    <x v="3"/>
    <s v="S-104"/>
    <s v="Modern Home Supplies"/>
    <n v="45"/>
    <n v="342.3"/>
    <d v="2025-06-07T00:00:00"/>
    <d v="2025-07-04T00:00:00"/>
    <n v="98.59"/>
    <n v="15403.5"/>
  </r>
  <r>
    <x v="388"/>
    <s v="Organic Tea"/>
    <x v="3"/>
    <s v="S-101"/>
    <s v="Global Tech Corp"/>
    <n v="238"/>
    <n v="492.52"/>
    <d v="2025-02-05T00:00:00"/>
    <d v="2025-02-27T00:00:00"/>
    <n v="124.08"/>
    <n v="117219.76"/>
  </r>
  <r>
    <x v="389"/>
    <s v="Desk Lamp"/>
    <x v="4"/>
    <s v="S-105"/>
    <s v="Fresh Mart Logistics"/>
    <n v="337"/>
    <n v="254.72"/>
    <d v="2025-02-22T00:00:00"/>
    <d v="2025-03-16T00:00:00"/>
    <n v="48.86"/>
    <n v="85840.639999999999"/>
  </r>
  <r>
    <x v="390"/>
    <s v="Dark Chocolate"/>
    <x v="3"/>
    <s v="S-104"/>
    <s v="Modern Home Supplies"/>
    <n v="413"/>
    <n v="201.99"/>
    <d v="2025-01-27T00:00:00"/>
    <d v="2025-02-01T00:00:00"/>
    <n v="48.73"/>
    <n v="83421.87000000001"/>
  </r>
  <r>
    <x v="391"/>
    <s v="Hoodie"/>
    <x v="1"/>
    <s v="S-104"/>
    <s v="Modern Home Supplies"/>
    <n v="15"/>
    <n v="473.29"/>
    <d v="2025-06-17T00:00:00"/>
    <d v="2025-06-23T00:00:00"/>
    <n v="135.72"/>
    <n v="7099.35"/>
  </r>
  <r>
    <x v="392"/>
    <s v="Socks"/>
    <x v="1"/>
    <s v="S-102"/>
    <s v="Sunrise Industries"/>
    <n v="170"/>
    <n v="253.49"/>
    <d v="2025-04-19T00:00:00"/>
    <d v="2025-05-09T00:00:00"/>
    <n v="64.61"/>
    <n v="43093.3"/>
  </r>
  <r>
    <x v="393"/>
    <s v="Smartphone"/>
    <x v="2"/>
    <s v="S-104"/>
    <s v="Modern Home Supplies"/>
    <n v="78"/>
    <n v="76.540000000000006"/>
    <d v="2025-02-20T00:00:00"/>
    <d v="2025-03-18T00:00:00"/>
    <n v="21.42"/>
    <n v="5970.1200000000008"/>
  </r>
  <r>
    <x v="394"/>
    <s v="Headphones"/>
    <x v="2"/>
    <s v="S-102"/>
    <s v="Sunrise Industries"/>
    <n v="33"/>
    <n v="106.42"/>
    <d v="2025-06-11T00:00:00"/>
    <d v="2025-06-26T00:00:00"/>
    <n v="20.8"/>
    <n v="3511.86"/>
  </r>
  <r>
    <x v="395"/>
    <s v="Marker"/>
    <x v="0"/>
    <s v="S-105"/>
    <s v="Fresh Mart Logistics"/>
    <n v="142"/>
    <n v="133.15"/>
    <d v="2025-06-23T00:00:00"/>
    <d v="2025-06-30T00:00:00"/>
    <n v="23.43"/>
    <n v="18907.3"/>
  </r>
  <r>
    <x v="396"/>
    <s v="Pen Set"/>
    <x v="0"/>
    <s v="S-101"/>
    <s v="Global Tech Corp"/>
    <n v="374"/>
    <n v="406.41"/>
    <d v="2025-06-28T00:00:00"/>
    <d v="2025-07-17T00:00:00"/>
    <n v="47.92"/>
    <n v="151997.34"/>
  </r>
  <r>
    <x v="397"/>
    <s v="Headphones"/>
    <x v="2"/>
    <s v="S-105"/>
    <s v="Fresh Mart Logistics"/>
    <n v="42"/>
    <n v="10.3"/>
    <d v="2025-02-03T00:00:00"/>
    <d v="2025-02-27T00:00:00"/>
    <n v="3"/>
    <n v="432.6"/>
  </r>
  <r>
    <x v="398"/>
    <s v="Tablet"/>
    <x v="2"/>
    <s v="S-101"/>
    <s v="Global Tech Corp"/>
    <n v="119"/>
    <n v="13.55"/>
    <d v="2025-03-02T00:00:00"/>
    <d v="2025-03-03T00:00:00"/>
    <n v="2.52"/>
    <n v="1612.45"/>
  </r>
  <r>
    <x v="399"/>
    <s v="Stool"/>
    <x v="4"/>
    <s v="S-102"/>
    <s v="Sunrise Industries"/>
    <n v="454"/>
    <n v="388.63"/>
    <d v="2025-06-06T00:00:00"/>
    <d v="2025-07-04T00:00:00"/>
    <n v="89.96"/>
    <n v="176438.02"/>
  </r>
  <r>
    <x v="400"/>
    <s v="Laptop"/>
    <x v="2"/>
    <s v="S-104"/>
    <s v="Modern Home Supplies"/>
    <n v="366"/>
    <n v="297.52"/>
    <d v="2025-01-27T00:00:00"/>
    <d v="2025-01-30T00:00:00"/>
    <n v="85.22"/>
    <n v="108892.31999999999"/>
  </r>
  <r>
    <x v="401"/>
    <s v="Dark Chocolate"/>
    <x v="3"/>
    <s v="S-102"/>
    <s v="Sunrise Industries"/>
    <n v="34"/>
    <n v="145.82"/>
    <d v="2025-03-29T00:00:00"/>
    <d v="2025-04-22T00:00:00"/>
    <n v="39.94"/>
    <n v="4957.88"/>
  </r>
  <r>
    <x v="402"/>
    <s v="Headphones"/>
    <x v="2"/>
    <s v="S-101"/>
    <s v="Global Tech Corp"/>
    <n v="198"/>
    <n v="20.66"/>
    <d v="2025-05-21T00:00:00"/>
    <d v="2025-05-24T00:00:00"/>
    <n v="5.37"/>
    <n v="4090.68"/>
  </r>
  <r>
    <x v="403"/>
    <s v="Laptop"/>
    <x v="2"/>
    <s v="S-102"/>
    <s v="Sunrise Industries"/>
    <n v="215"/>
    <n v="25.62"/>
    <d v="2025-02-15T00:00:00"/>
    <d v="2025-02-19T00:00:00"/>
    <n v="4.26"/>
    <n v="5508.3"/>
  </r>
  <r>
    <x v="404"/>
    <s v="Bookshelf"/>
    <x v="4"/>
    <s v="S-102"/>
    <s v="Sunrise Industries"/>
    <n v="142"/>
    <n v="466.2"/>
    <d v="2025-05-19T00:00:00"/>
    <d v="2025-06-13T00:00:00"/>
    <n v="49.08"/>
    <n v="66200.399999999994"/>
  </r>
  <r>
    <x v="405"/>
    <s v="Headphones"/>
    <x v="2"/>
    <s v="S-104"/>
    <s v="Modern Home Supplies"/>
    <n v="343"/>
    <n v="410.21"/>
    <d v="2025-02-16T00:00:00"/>
    <d v="2025-03-06T00:00:00"/>
    <n v="113.39"/>
    <n v="140702.03"/>
  </r>
  <r>
    <x v="406"/>
    <s v="Laptop"/>
    <x v="2"/>
    <s v="S-101"/>
    <s v="Global Tech Corp"/>
    <n v="230"/>
    <n v="477.35"/>
    <d v="2025-01-09T00:00:00"/>
    <d v="2025-02-05T00:00:00"/>
    <n v="140.71"/>
    <n v="109790.5"/>
  </r>
  <r>
    <x v="407"/>
    <s v="T-Shirt"/>
    <x v="1"/>
    <s v="S-103"/>
    <s v="Elite Paper Co"/>
    <n v="479"/>
    <n v="438.12"/>
    <d v="2025-01-18T00:00:00"/>
    <d v="2025-01-20T00:00:00"/>
    <n v="96.22"/>
    <n v="209859.48"/>
  </r>
  <r>
    <x v="408"/>
    <s v="Smartphone"/>
    <x v="2"/>
    <s v="S-102"/>
    <s v="Sunrise Industries"/>
    <n v="271"/>
    <n v="167.23"/>
    <d v="2025-06-24T00:00:00"/>
    <d v="2025-06-29T00:00:00"/>
    <n v="37.479999999999997"/>
    <n v="45319.329999999994"/>
  </r>
  <r>
    <x v="409"/>
    <s v="Organic Tea"/>
    <x v="3"/>
    <s v="S-104"/>
    <s v="Modern Home Supplies"/>
    <n v="105"/>
    <n v="448.86"/>
    <d v="2025-06-13T00:00:00"/>
    <d v="2025-07-01T00:00:00"/>
    <n v="121.2"/>
    <n v="47130.3"/>
  </r>
  <r>
    <x v="410"/>
    <s v="Laptop"/>
    <x v="2"/>
    <s v="S-102"/>
    <s v="Sunrise Industries"/>
    <n v="307"/>
    <n v="274.52999999999997"/>
    <d v="2025-03-23T00:00:00"/>
    <d v="2025-03-25T00:00:00"/>
    <n v="74.89"/>
    <n v="84280.709999999992"/>
  </r>
  <r>
    <x v="411"/>
    <s v="Organic Tea"/>
    <x v="3"/>
    <s v="S-101"/>
    <s v="Global Tech Corp"/>
    <n v="255"/>
    <n v="52.97"/>
    <d v="2025-05-23T00:00:00"/>
    <d v="2025-06-02T00:00:00"/>
    <n v="6.26"/>
    <n v="13507.35"/>
  </r>
  <r>
    <x v="412"/>
    <s v="Marker"/>
    <x v="0"/>
    <s v="S-101"/>
    <s v="Global Tech Corp"/>
    <n v="422"/>
    <n v="416.45"/>
    <d v="2025-03-07T00:00:00"/>
    <d v="2025-03-22T00:00:00"/>
    <n v="50.17"/>
    <n v="175741.9"/>
  </r>
  <r>
    <x v="413"/>
    <s v="Cap"/>
    <x v="1"/>
    <s v="S-105"/>
    <s v="Fresh Mart Logistics"/>
    <n v="332"/>
    <n v="249.7"/>
    <d v="2025-02-11T00:00:00"/>
    <d v="2025-02-23T00:00:00"/>
    <n v="38.35"/>
    <n v="82900.399999999994"/>
  </r>
  <r>
    <x v="414"/>
    <s v="Office Chair"/>
    <x v="4"/>
    <s v="S-104"/>
    <s v="Modern Home Supplies"/>
    <n v="264"/>
    <n v="68.55"/>
    <d v="2025-03-24T00:00:00"/>
    <d v="2025-04-01T00:00:00"/>
    <n v="10.87"/>
    <n v="18097.2"/>
  </r>
  <r>
    <x v="415"/>
    <s v="Stool"/>
    <x v="4"/>
    <s v="S-102"/>
    <s v="Sunrise Industries"/>
    <n v="106"/>
    <n v="269.57"/>
    <d v="2025-02-22T00:00:00"/>
    <d v="2025-03-17T00:00:00"/>
    <n v="29.26"/>
    <n v="28574.42"/>
  </r>
  <r>
    <x v="416"/>
    <s v="Tablet"/>
    <x v="2"/>
    <s v="S-102"/>
    <s v="Sunrise Industries"/>
    <n v="146"/>
    <n v="193.93"/>
    <d v="2025-05-16T00:00:00"/>
    <d v="2025-05-21T00:00:00"/>
    <n v="30.14"/>
    <n v="28313.780000000002"/>
  </r>
  <r>
    <x v="417"/>
    <s v="Cap"/>
    <x v="1"/>
    <s v="S-101"/>
    <s v="Global Tech Corp"/>
    <n v="131"/>
    <n v="449.23"/>
    <d v="2025-04-05T00:00:00"/>
    <d v="2025-04-13T00:00:00"/>
    <n v="52.5"/>
    <n v="58849.130000000005"/>
  </r>
  <r>
    <x v="418"/>
    <s v="T-Shirt"/>
    <x v="1"/>
    <s v="S-105"/>
    <s v="Fresh Mart Logistics"/>
    <n v="430"/>
    <n v="224.25"/>
    <d v="2025-02-05T00:00:00"/>
    <d v="2025-02-25T00:00:00"/>
    <n v="30.75"/>
    <n v="96427.5"/>
  </r>
  <r>
    <x v="419"/>
    <s v="Smartphone"/>
    <x v="2"/>
    <s v="S-105"/>
    <s v="Fresh Mart Logistics"/>
    <n v="345"/>
    <n v="161.94"/>
    <d v="2025-05-07T00:00:00"/>
    <d v="2025-05-28T00:00:00"/>
    <n v="47.59"/>
    <n v="55869.299999999996"/>
  </r>
  <r>
    <x v="420"/>
    <s v="Laptop"/>
    <x v="2"/>
    <s v="S-101"/>
    <s v="Global Tech Corp"/>
    <n v="26"/>
    <n v="14.43"/>
    <d v="2025-06-22T00:00:00"/>
    <d v="2025-06-30T00:00:00"/>
    <n v="4.29"/>
    <n v="375.18"/>
  </r>
  <r>
    <x v="421"/>
    <s v="Headphones"/>
    <x v="2"/>
    <s v="S-103"/>
    <s v="Elite Paper Co"/>
    <n v="419"/>
    <n v="6.86"/>
    <d v="2025-03-18T00:00:00"/>
    <d v="2025-04-06T00:00:00"/>
    <n v="1.22"/>
    <n v="2874.34"/>
  </r>
  <r>
    <x v="422"/>
    <s v="Socks"/>
    <x v="1"/>
    <s v="S-102"/>
    <s v="Sunrise Industries"/>
    <n v="153"/>
    <n v="15.64"/>
    <d v="2025-01-23T00:00:00"/>
    <d v="2025-02-06T00:00:00"/>
    <n v="2.09"/>
    <n v="2392.92"/>
  </r>
  <r>
    <x v="423"/>
    <s v="Office Chair"/>
    <x v="4"/>
    <s v="S-101"/>
    <s v="Global Tech Corp"/>
    <n v="426"/>
    <n v="74.22"/>
    <d v="2025-06-23T00:00:00"/>
    <d v="2025-07-17T00:00:00"/>
    <n v="10.75"/>
    <n v="31617.72"/>
  </r>
  <r>
    <x v="424"/>
    <s v="Almonds"/>
    <x v="3"/>
    <s v="S-102"/>
    <s v="Sunrise Industries"/>
    <n v="364"/>
    <n v="156.38999999999999"/>
    <d v="2025-02-13T00:00:00"/>
    <d v="2025-02-15T00:00:00"/>
    <n v="25.2"/>
    <n v="56925.959999999992"/>
  </r>
  <r>
    <x v="425"/>
    <s v="Headphones"/>
    <x v="2"/>
    <s v="S-103"/>
    <s v="Elite Paper Co"/>
    <n v="224"/>
    <n v="76.22"/>
    <d v="2025-01-23T00:00:00"/>
    <d v="2025-02-18T00:00:00"/>
    <n v="22.82"/>
    <n v="17073.28"/>
  </r>
  <r>
    <x v="426"/>
    <s v="Office Chair"/>
    <x v="4"/>
    <s v="S-105"/>
    <s v="Fresh Mart Logistics"/>
    <n v="407"/>
    <n v="296.49"/>
    <d v="2025-03-31T00:00:00"/>
    <d v="2025-04-20T00:00:00"/>
    <n v="47.66"/>
    <n v="120671.43000000001"/>
  </r>
  <r>
    <x v="427"/>
    <s v="Dark Chocolate"/>
    <x v="3"/>
    <s v="S-103"/>
    <s v="Elite Paper Co"/>
    <n v="72"/>
    <n v="284.11"/>
    <d v="2025-03-31T00:00:00"/>
    <d v="2025-04-08T00:00:00"/>
    <n v="61.33"/>
    <n v="20455.920000000002"/>
  </r>
  <r>
    <x v="428"/>
    <s v="T-Shirt"/>
    <x v="1"/>
    <s v="S-101"/>
    <s v="Global Tech Corp"/>
    <n v="472"/>
    <n v="179.97"/>
    <d v="2025-01-21T00:00:00"/>
    <d v="2025-02-06T00:00:00"/>
    <n v="36.04"/>
    <n v="84945.84"/>
  </r>
  <r>
    <x v="429"/>
    <s v="Stool"/>
    <x v="4"/>
    <s v="S-105"/>
    <s v="Fresh Mart Logistics"/>
    <n v="455"/>
    <n v="487.06"/>
    <d v="2025-04-06T00:00:00"/>
    <d v="2025-04-25T00:00:00"/>
    <n v="128.9"/>
    <n v="221612.3"/>
  </r>
  <r>
    <x v="430"/>
    <s v="Socks"/>
    <x v="1"/>
    <s v="S-102"/>
    <s v="Sunrise Industries"/>
    <n v="10"/>
    <n v="302.45999999999998"/>
    <d v="2025-04-30T00:00:00"/>
    <d v="2025-05-11T00:00:00"/>
    <n v="69.84"/>
    <n v="3024.6"/>
  </r>
  <r>
    <x v="431"/>
    <s v="Organic Tea"/>
    <x v="3"/>
    <s v="S-102"/>
    <s v="Sunrise Industries"/>
    <n v="51"/>
    <n v="442.98"/>
    <d v="2025-05-09T00:00:00"/>
    <d v="2025-05-17T00:00:00"/>
    <n v="113.43"/>
    <n v="22591.98"/>
  </r>
  <r>
    <x v="432"/>
    <s v="Stool"/>
    <x v="4"/>
    <s v="S-105"/>
    <s v="Fresh Mart Logistics"/>
    <n v="381"/>
    <n v="273.45999999999998"/>
    <d v="2025-06-30T00:00:00"/>
    <d v="2025-07-10T00:00:00"/>
    <n v="61.46"/>
    <n v="104188.26"/>
  </r>
  <r>
    <x v="433"/>
    <s v="T-Shirt"/>
    <x v="1"/>
    <s v="S-103"/>
    <s v="Elite Paper Co"/>
    <n v="481"/>
    <n v="228.05"/>
    <d v="2025-01-27T00:00:00"/>
    <d v="2025-02-22T00:00:00"/>
    <n v="59.24"/>
    <n v="109692.05"/>
  </r>
  <r>
    <x v="434"/>
    <s v="Bookshelf"/>
    <x v="4"/>
    <s v="S-101"/>
    <s v="Global Tech Corp"/>
    <n v="122"/>
    <n v="450.44"/>
    <d v="2025-01-26T00:00:00"/>
    <d v="2025-02-19T00:00:00"/>
    <n v="70.430000000000007"/>
    <n v="54953.68"/>
  </r>
  <r>
    <x v="435"/>
    <s v="Almonds"/>
    <x v="3"/>
    <s v="S-105"/>
    <s v="Fresh Mart Logistics"/>
    <n v="433"/>
    <n v="489.99"/>
    <d v="2025-05-24T00:00:00"/>
    <d v="2025-05-28T00:00:00"/>
    <n v="69.099999999999994"/>
    <n v="212165.67"/>
  </r>
  <r>
    <x v="436"/>
    <s v="Tablet"/>
    <x v="2"/>
    <s v="S-103"/>
    <s v="Elite Paper Co"/>
    <n v="31"/>
    <n v="204.38"/>
    <d v="2025-03-07T00:00:00"/>
    <d v="2025-03-28T00:00:00"/>
    <n v="52.87"/>
    <n v="6335.78"/>
  </r>
  <r>
    <x v="437"/>
    <s v="Coffee Beans"/>
    <x v="3"/>
    <s v="S-104"/>
    <s v="Modern Home Supplies"/>
    <n v="439"/>
    <n v="390.34"/>
    <d v="2025-01-12T00:00:00"/>
    <d v="2025-02-09T00:00:00"/>
    <n v="92"/>
    <n v="171359.25999999998"/>
  </r>
  <r>
    <x v="438"/>
    <s v="Marker"/>
    <x v="0"/>
    <s v="S-105"/>
    <s v="Fresh Mart Logistics"/>
    <n v="181"/>
    <n v="167.19"/>
    <d v="2025-06-29T00:00:00"/>
    <d v="2025-07-15T00:00:00"/>
    <n v="44.17"/>
    <n v="30261.39"/>
  </r>
  <r>
    <x v="439"/>
    <s v="Headphones"/>
    <x v="2"/>
    <s v="S-101"/>
    <s v="Global Tech Corp"/>
    <n v="76"/>
    <n v="489.79"/>
    <d v="2025-05-18T00:00:00"/>
    <d v="2025-05-28T00:00:00"/>
    <n v="54.86"/>
    <n v="37224.04"/>
  </r>
  <r>
    <x v="440"/>
    <s v="Laptop"/>
    <x v="2"/>
    <s v="S-105"/>
    <s v="Fresh Mart Logistics"/>
    <n v="386"/>
    <n v="65.31"/>
    <d v="2025-05-24T00:00:00"/>
    <d v="2025-06-08T00:00:00"/>
    <n v="14.83"/>
    <n v="25209.66"/>
  </r>
  <r>
    <x v="441"/>
    <s v="Pen Set"/>
    <x v="0"/>
    <s v="S-102"/>
    <s v="Sunrise Industries"/>
    <n v="460"/>
    <n v="408.76"/>
    <d v="2025-01-22T00:00:00"/>
    <d v="2025-02-16T00:00:00"/>
    <n v="62.36"/>
    <n v="188029.6"/>
  </r>
  <r>
    <x v="442"/>
    <s v="Desk Organizer"/>
    <x v="0"/>
    <s v="S-104"/>
    <s v="Modern Home Supplies"/>
    <n v="111"/>
    <n v="277.05"/>
    <d v="2025-06-15T00:00:00"/>
    <d v="2025-07-07T00:00:00"/>
    <n v="68.88"/>
    <n v="30752.550000000003"/>
  </r>
  <r>
    <x v="443"/>
    <s v="Headphones"/>
    <x v="2"/>
    <s v="S-102"/>
    <s v="Sunrise Industries"/>
    <n v="216"/>
    <n v="406.89"/>
    <d v="2025-04-08T00:00:00"/>
    <d v="2025-05-03T00:00:00"/>
    <n v="98.86"/>
    <n v="87888.239999999991"/>
  </r>
  <r>
    <x v="444"/>
    <s v="Socks"/>
    <x v="1"/>
    <s v="S-105"/>
    <s v="Fresh Mart Logistics"/>
    <n v="178"/>
    <n v="193.86"/>
    <d v="2025-03-20T00:00:00"/>
    <d v="2025-04-12T00:00:00"/>
    <n v="49.98"/>
    <n v="34507.08"/>
  </r>
  <r>
    <x v="445"/>
    <s v="Bookshelf"/>
    <x v="4"/>
    <s v="S-104"/>
    <s v="Modern Home Supplies"/>
    <n v="298"/>
    <n v="84.58"/>
    <d v="2025-05-07T00:00:00"/>
    <d v="2025-06-06T00:00:00"/>
    <n v="13.39"/>
    <n v="25204.84"/>
  </r>
  <r>
    <x v="446"/>
    <s v="Bookshelf"/>
    <x v="4"/>
    <s v="S-104"/>
    <s v="Modern Home Supplies"/>
    <n v="462"/>
    <n v="35.46"/>
    <d v="2025-01-17T00:00:00"/>
    <d v="2025-02-05T00:00:00"/>
    <n v="9.11"/>
    <n v="16382.52"/>
  </r>
  <r>
    <x v="447"/>
    <s v="Desk Lamp"/>
    <x v="4"/>
    <s v="S-104"/>
    <s v="Modern Home Supplies"/>
    <n v="356"/>
    <n v="120.28"/>
    <d v="2025-04-06T00:00:00"/>
    <d v="2025-04-18T00:00:00"/>
    <n v="15.44"/>
    <n v="42819.68"/>
  </r>
  <r>
    <x v="448"/>
    <s v="Tablet"/>
    <x v="2"/>
    <s v="S-104"/>
    <s v="Modern Home Supplies"/>
    <n v="38"/>
    <n v="229.51"/>
    <d v="2025-06-24T00:00:00"/>
    <d v="2025-07-19T00:00:00"/>
    <n v="48.24"/>
    <n v="8721.3799999999992"/>
  </r>
  <r>
    <x v="449"/>
    <s v="Stool"/>
    <x v="4"/>
    <s v="S-102"/>
    <s v="Sunrise Industries"/>
    <n v="498"/>
    <n v="471.21"/>
    <d v="2025-04-05T00:00:00"/>
    <d v="2025-04-17T00:00:00"/>
    <n v="133.25"/>
    <n v="234662.58"/>
  </r>
  <r>
    <x v="450"/>
    <s v="Socks"/>
    <x v="1"/>
    <s v="S-105"/>
    <s v="Fresh Mart Logistics"/>
    <n v="455"/>
    <n v="238.89"/>
    <d v="2025-05-28T00:00:00"/>
    <d v="2025-05-29T00:00:00"/>
    <n v="39.24"/>
    <n v="108694.95"/>
  </r>
  <r>
    <x v="451"/>
    <s v="Notebook"/>
    <x v="0"/>
    <s v="S-101"/>
    <s v="Global Tech Corp"/>
    <n v="349"/>
    <n v="485.88"/>
    <d v="2025-03-23T00:00:00"/>
    <d v="2025-04-14T00:00:00"/>
    <n v="69.8"/>
    <n v="169572.12"/>
  </r>
  <r>
    <x v="452"/>
    <s v="Coffee Beans"/>
    <x v="3"/>
    <s v="S-104"/>
    <s v="Modern Home Supplies"/>
    <n v="121"/>
    <n v="46.75"/>
    <d v="2025-02-23T00:00:00"/>
    <d v="2025-03-06T00:00:00"/>
    <n v="11.42"/>
    <n v="5656.75"/>
  </r>
  <r>
    <x v="453"/>
    <s v="Laptop"/>
    <x v="2"/>
    <s v="S-104"/>
    <s v="Modern Home Supplies"/>
    <n v="401"/>
    <n v="171.75"/>
    <d v="2025-06-19T00:00:00"/>
    <d v="2025-07-09T00:00:00"/>
    <n v="47.18"/>
    <n v="68871.75"/>
  </r>
  <r>
    <x v="454"/>
    <s v="Smartphone"/>
    <x v="2"/>
    <s v="S-105"/>
    <s v="Fresh Mart Logistics"/>
    <n v="232"/>
    <n v="362.87"/>
    <d v="2025-06-17T00:00:00"/>
    <d v="2025-07-17T00:00:00"/>
    <n v="101.88"/>
    <n v="84185.84"/>
  </r>
  <r>
    <x v="455"/>
    <s v="Headphones"/>
    <x v="2"/>
    <s v="S-102"/>
    <s v="Sunrise Industries"/>
    <n v="42"/>
    <n v="232.89"/>
    <d v="2025-04-06T00:00:00"/>
    <d v="2025-04-27T00:00:00"/>
    <n v="57.78"/>
    <n v="9781.3799999999992"/>
  </r>
  <r>
    <x v="456"/>
    <s v="Marker"/>
    <x v="0"/>
    <s v="S-102"/>
    <s v="Sunrise Industries"/>
    <n v="389"/>
    <n v="40.07"/>
    <d v="2025-06-16T00:00:00"/>
    <d v="2025-07-07T00:00:00"/>
    <n v="5.49"/>
    <n v="15587.23"/>
  </r>
  <r>
    <x v="457"/>
    <s v="T-Shirt"/>
    <x v="1"/>
    <s v="S-105"/>
    <s v="Fresh Mart Logistics"/>
    <n v="92"/>
    <n v="413.81"/>
    <d v="2025-01-16T00:00:00"/>
    <d v="2025-01-23T00:00:00"/>
    <n v="52.91"/>
    <n v="38070.519999999997"/>
  </r>
  <r>
    <x v="458"/>
    <s v="Laptop"/>
    <x v="2"/>
    <s v="S-102"/>
    <s v="Sunrise Industries"/>
    <n v="465"/>
    <n v="480.01"/>
    <d v="2025-04-06T00:00:00"/>
    <d v="2025-04-27T00:00:00"/>
    <n v="139.31"/>
    <n v="223204.65"/>
  </r>
  <r>
    <x v="459"/>
    <s v="Office Chair"/>
    <x v="4"/>
    <s v="S-103"/>
    <s v="Elite Paper Co"/>
    <n v="429"/>
    <n v="263.36"/>
    <d v="2025-01-08T00:00:00"/>
    <d v="2025-01-28T00:00:00"/>
    <n v="33.119999999999997"/>
    <n v="112981.44"/>
  </r>
  <r>
    <x v="460"/>
    <s v="Hoodie"/>
    <x v="1"/>
    <s v="S-103"/>
    <s v="Elite Paper Co"/>
    <n v="275"/>
    <n v="451.91"/>
    <d v="2025-03-07T00:00:00"/>
    <d v="2025-03-23T00:00:00"/>
    <n v="66.099999999999994"/>
    <n v="124275.25"/>
  </r>
  <r>
    <x v="461"/>
    <s v="Tablet"/>
    <x v="2"/>
    <s v="S-104"/>
    <s v="Modern Home Supplies"/>
    <n v="282"/>
    <n v="129.59"/>
    <d v="2025-04-22T00:00:00"/>
    <d v="2025-05-15T00:00:00"/>
    <n v="30.36"/>
    <n v="36544.379999999997"/>
  </r>
  <r>
    <x v="462"/>
    <s v="Office Chair"/>
    <x v="4"/>
    <s v="S-104"/>
    <s v="Modern Home Supplies"/>
    <n v="434"/>
    <n v="18.79"/>
    <d v="2025-03-29T00:00:00"/>
    <d v="2025-04-02T00:00:00"/>
    <n v="2.93"/>
    <n v="8154.86"/>
  </r>
  <r>
    <x v="463"/>
    <s v="T-Shirt"/>
    <x v="1"/>
    <s v="S-102"/>
    <s v="Sunrise Industries"/>
    <n v="232"/>
    <n v="357.79"/>
    <d v="2025-05-21T00:00:00"/>
    <d v="2025-06-04T00:00:00"/>
    <n v="36"/>
    <n v="83007.28"/>
  </r>
  <r>
    <x v="464"/>
    <s v="T-Shirt"/>
    <x v="1"/>
    <s v="S-104"/>
    <s v="Modern Home Supplies"/>
    <n v="496"/>
    <n v="489.64"/>
    <d v="2025-04-15T00:00:00"/>
    <d v="2025-05-10T00:00:00"/>
    <n v="122.68"/>
    <n v="242861.44"/>
  </r>
  <r>
    <x v="465"/>
    <s v="Notebook"/>
    <x v="0"/>
    <s v="S-101"/>
    <s v="Global Tech Corp"/>
    <n v="456"/>
    <n v="361.18"/>
    <d v="2025-05-16T00:00:00"/>
    <d v="2025-05-17T00:00:00"/>
    <n v="57.42"/>
    <n v="164698.08000000002"/>
  </r>
  <r>
    <x v="466"/>
    <s v="Tablet"/>
    <x v="2"/>
    <s v="S-103"/>
    <s v="Elite Paper Co"/>
    <n v="301"/>
    <n v="12.79"/>
    <d v="2025-05-15T00:00:00"/>
    <d v="2025-05-25T00:00:00"/>
    <n v="2.72"/>
    <n v="3849.79"/>
  </r>
  <r>
    <x v="467"/>
    <s v="Almonds"/>
    <x v="3"/>
    <s v="S-104"/>
    <s v="Modern Home Supplies"/>
    <n v="380"/>
    <n v="201.18"/>
    <d v="2025-03-28T00:00:00"/>
    <d v="2025-04-10T00:00:00"/>
    <n v="53.59"/>
    <n v="76448.400000000009"/>
  </r>
  <r>
    <x v="468"/>
    <s v="Dark Chocolate"/>
    <x v="3"/>
    <s v="S-101"/>
    <s v="Global Tech Corp"/>
    <n v="345"/>
    <n v="11.44"/>
    <d v="2025-02-11T00:00:00"/>
    <d v="2025-02-17T00:00:00"/>
    <n v="3.39"/>
    <n v="3946.7999999999997"/>
  </r>
  <r>
    <x v="469"/>
    <s v="Marker"/>
    <x v="0"/>
    <s v="S-102"/>
    <s v="Sunrise Industries"/>
    <n v="486"/>
    <n v="478.14"/>
    <d v="2025-06-25T00:00:00"/>
    <d v="2025-07-09T00:00:00"/>
    <n v="63.09"/>
    <n v="232376.03999999998"/>
  </r>
  <r>
    <x v="470"/>
    <s v="Marker"/>
    <x v="0"/>
    <s v="S-101"/>
    <s v="Global Tech Corp"/>
    <n v="120"/>
    <n v="68.5"/>
    <d v="2025-03-20T00:00:00"/>
    <d v="2025-04-09T00:00:00"/>
    <n v="19.78"/>
    <n v="8220"/>
  </r>
  <r>
    <x v="471"/>
    <s v="Almonds"/>
    <x v="3"/>
    <s v="S-104"/>
    <s v="Modern Home Supplies"/>
    <n v="467"/>
    <n v="421.02"/>
    <d v="2025-06-04T00:00:00"/>
    <d v="2025-06-19T00:00:00"/>
    <n v="81.849999999999994"/>
    <n v="196616.34"/>
  </r>
  <r>
    <x v="472"/>
    <s v="Office Chair"/>
    <x v="4"/>
    <s v="S-105"/>
    <s v="Fresh Mart Logistics"/>
    <n v="150"/>
    <n v="108.59"/>
    <d v="2025-01-30T00:00:00"/>
    <d v="2025-02-18T00:00:00"/>
    <n v="22.21"/>
    <n v="16288.5"/>
  </r>
  <r>
    <x v="473"/>
    <s v="Cap"/>
    <x v="1"/>
    <s v="S-101"/>
    <s v="Global Tech Corp"/>
    <n v="299"/>
    <n v="370.8"/>
    <d v="2025-06-26T00:00:00"/>
    <d v="2025-06-30T00:00:00"/>
    <n v="103.24"/>
    <n v="110869.2"/>
  </r>
  <r>
    <x v="474"/>
    <s v="Marker"/>
    <x v="0"/>
    <s v="S-105"/>
    <s v="Fresh Mart Logistics"/>
    <n v="401"/>
    <n v="79.41"/>
    <d v="2025-05-05T00:00:00"/>
    <d v="2025-05-06T00:00:00"/>
    <n v="8.89"/>
    <n v="31843.41"/>
  </r>
  <r>
    <x v="475"/>
    <s v="Marker"/>
    <x v="0"/>
    <s v="S-104"/>
    <s v="Modern Home Supplies"/>
    <n v="19"/>
    <n v="180.83"/>
    <d v="2025-01-07T00:00:00"/>
    <d v="2025-01-19T00:00:00"/>
    <n v="50.82"/>
    <n v="3435.7700000000004"/>
  </r>
  <r>
    <x v="476"/>
    <s v="Socks"/>
    <x v="1"/>
    <s v="S-104"/>
    <s v="Modern Home Supplies"/>
    <n v="362"/>
    <n v="474.51"/>
    <d v="2025-03-11T00:00:00"/>
    <d v="2025-04-01T00:00:00"/>
    <n v="66.459999999999994"/>
    <n v="171772.62"/>
  </r>
  <r>
    <x v="477"/>
    <s v="Desk Lamp"/>
    <x v="4"/>
    <s v="S-104"/>
    <s v="Modern Home Supplies"/>
    <n v="247"/>
    <n v="61.03"/>
    <d v="2025-03-07T00:00:00"/>
    <d v="2025-03-12T00:00:00"/>
    <n v="15.78"/>
    <n v="15074.41"/>
  </r>
  <r>
    <x v="478"/>
    <s v="Pen Set"/>
    <x v="0"/>
    <s v="S-102"/>
    <s v="Sunrise Industries"/>
    <n v="264"/>
    <n v="356.55"/>
    <d v="2025-01-20T00:00:00"/>
    <d v="2025-02-13T00:00:00"/>
    <n v="43.21"/>
    <n v="94129.2"/>
  </r>
  <r>
    <x v="479"/>
    <s v="Smartphone"/>
    <x v="2"/>
    <s v="S-104"/>
    <s v="Modern Home Supplies"/>
    <n v="485"/>
    <n v="302.26"/>
    <d v="2025-03-17T00:00:00"/>
    <d v="2025-03-30T00:00:00"/>
    <n v="80"/>
    <n v="146596.1"/>
  </r>
  <r>
    <x v="480"/>
    <s v="Almonds"/>
    <x v="3"/>
    <s v="S-105"/>
    <s v="Fresh Mart Logistics"/>
    <n v="14"/>
    <n v="390.33"/>
    <d v="2025-01-10T00:00:00"/>
    <d v="2025-01-20T00:00:00"/>
    <n v="70.2"/>
    <n v="5464.62"/>
  </r>
  <r>
    <x v="481"/>
    <s v="Bookshelf"/>
    <x v="4"/>
    <s v="S-105"/>
    <s v="Fresh Mart Logistics"/>
    <n v="134"/>
    <n v="495.15"/>
    <d v="2025-05-23T00:00:00"/>
    <d v="2025-06-18T00:00:00"/>
    <n v="76.28"/>
    <n v="66350.099999999991"/>
  </r>
  <r>
    <x v="482"/>
    <s v="Bookshelf"/>
    <x v="4"/>
    <s v="S-102"/>
    <s v="Sunrise Industries"/>
    <n v="363"/>
    <n v="141.28"/>
    <d v="2025-05-19T00:00:00"/>
    <d v="2025-05-27T00:00:00"/>
    <n v="24.69"/>
    <n v="51284.639999999999"/>
  </r>
  <r>
    <x v="483"/>
    <s v="Notebook"/>
    <x v="0"/>
    <s v="S-105"/>
    <s v="Fresh Mart Logistics"/>
    <n v="208"/>
    <n v="134.72999999999999"/>
    <d v="2025-01-17T00:00:00"/>
    <d v="2025-01-24T00:00:00"/>
    <n v="23.47"/>
    <n v="28023.839999999997"/>
  </r>
  <r>
    <x v="484"/>
    <s v="Bookshelf"/>
    <x v="4"/>
    <s v="S-102"/>
    <s v="Sunrise Industries"/>
    <n v="484"/>
    <n v="489.46"/>
    <d v="2025-01-09T00:00:00"/>
    <d v="2025-01-19T00:00:00"/>
    <n v="123.17"/>
    <n v="236898.63999999998"/>
  </r>
  <r>
    <x v="485"/>
    <s v="Pen Set"/>
    <x v="0"/>
    <s v="S-105"/>
    <s v="Fresh Mart Logistics"/>
    <n v="195"/>
    <n v="304.02999999999997"/>
    <d v="2025-02-03T00:00:00"/>
    <d v="2025-02-09T00:00:00"/>
    <n v="72.52"/>
    <n v="59285.849999999991"/>
  </r>
  <r>
    <x v="486"/>
    <s v="Notebook"/>
    <x v="0"/>
    <s v="S-105"/>
    <s v="Fresh Mart Logistics"/>
    <n v="393"/>
    <n v="264.76"/>
    <d v="2025-03-11T00:00:00"/>
    <d v="2025-03-13T00:00:00"/>
    <n v="75.28"/>
    <n v="104050.68"/>
  </r>
  <r>
    <x v="487"/>
    <s v="Cap"/>
    <x v="1"/>
    <s v="S-104"/>
    <s v="Modern Home Supplies"/>
    <n v="416"/>
    <n v="76"/>
    <d v="2025-03-27T00:00:00"/>
    <d v="2025-04-21T00:00:00"/>
    <n v="21.48"/>
    <n v="31616"/>
  </r>
  <r>
    <x v="488"/>
    <s v="Hoodie"/>
    <x v="1"/>
    <s v="S-101"/>
    <s v="Global Tech Corp"/>
    <n v="489"/>
    <n v="191.18"/>
    <d v="2025-02-26T00:00:00"/>
    <d v="2025-03-17T00:00:00"/>
    <n v="27.29"/>
    <n v="93487.02"/>
  </r>
  <r>
    <x v="489"/>
    <s v="Office Chair"/>
    <x v="4"/>
    <s v="S-104"/>
    <s v="Modern Home Supplies"/>
    <n v="407"/>
    <n v="46.47"/>
    <d v="2025-03-04T00:00:00"/>
    <d v="2025-03-24T00:00:00"/>
    <n v="13.45"/>
    <n v="18913.29"/>
  </r>
  <r>
    <x v="490"/>
    <s v="Coffee Beans"/>
    <x v="3"/>
    <s v="S-102"/>
    <s v="Sunrise Industries"/>
    <n v="159"/>
    <n v="96.15"/>
    <d v="2025-04-08T00:00:00"/>
    <d v="2025-05-04T00:00:00"/>
    <n v="17.05"/>
    <n v="15287.85"/>
  </r>
  <r>
    <x v="491"/>
    <s v="Almonds"/>
    <x v="3"/>
    <s v="S-105"/>
    <s v="Fresh Mart Logistics"/>
    <n v="387"/>
    <n v="79.2"/>
    <d v="2025-02-20T00:00:00"/>
    <d v="2025-03-02T00:00:00"/>
    <n v="19.86"/>
    <n v="30650.400000000001"/>
  </r>
  <r>
    <x v="492"/>
    <s v="Coffee Beans"/>
    <x v="3"/>
    <s v="S-105"/>
    <s v="Fresh Mart Logistics"/>
    <n v="148"/>
    <n v="256.61"/>
    <d v="2025-05-27T00:00:00"/>
    <d v="2025-05-31T00:00:00"/>
    <n v="75.95"/>
    <n v="37978.28"/>
  </r>
  <r>
    <x v="493"/>
    <s v="T-Shirt"/>
    <x v="1"/>
    <s v="S-101"/>
    <s v="Global Tech Corp"/>
    <n v="395"/>
    <n v="247.77"/>
    <d v="2025-03-21T00:00:00"/>
    <d v="2025-04-16T00:00:00"/>
    <n v="58.79"/>
    <n v="97869.150000000009"/>
  </r>
  <r>
    <x v="494"/>
    <s v="Notebook"/>
    <x v="0"/>
    <s v="S-103"/>
    <s v="Elite Paper Co"/>
    <n v="147"/>
    <n v="420.31"/>
    <d v="2025-04-18T00:00:00"/>
    <d v="2025-05-15T00:00:00"/>
    <n v="84.44"/>
    <n v="61785.57"/>
  </r>
  <r>
    <x v="495"/>
    <s v="Tablet"/>
    <x v="2"/>
    <s v="S-105"/>
    <s v="Fresh Mart Logistics"/>
    <n v="398"/>
    <n v="366.75"/>
    <d v="2025-06-18T00:00:00"/>
    <d v="2025-06-19T00:00:00"/>
    <n v="56.75"/>
    <n v="145966.5"/>
  </r>
  <r>
    <x v="496"/>
    <s v="Notebook"/>
    <x v="0"/>
    <s v="S-105"/>
    <s v="Fresh Mart Logistics"/>
    <n v="339"/>
    <n v="90.73"/>
    <d v="2025-06-03T00:00:00"/>
    <d v="2025-06-16T00:00:00"/>
    <n v="9.2799999999999994"/>
    <n v="30757.47"/>
  </r>
  <r>
    <x v="497"/>
    <s v="Hoodie"/>
    <x v="1"/>
    <s v="S-101"/>
    <s v="Global Tech Corp"/>
    <n v="466"/>
    <n v="103"/>
    <d v="2025-01-08T00:00:00"/>
    <d v="2025-01-17T00:00:00"/>
    <n v="30.75"/>
    <n v="47998"/>
  </r>
  <r>
    <x v="498"/>
    <s v="Laptop"/>
    <x v="2"/>
    <s v="S-102"/>
    <s v="Sunrise Industries"/>
    <n v="394"/>
    <n v="49.43"/>
    <d v="2025-05-07T00:00:00"/>
    <d v="2025-05-22T00:00:00"/>
    <n v="9.5500000000000007"/>
    <n v="19475.419999999998"/>
  </r>
  <r>
    <x v="499"/>
    <s v="Headphones"/>
    <x v="2"/>
    <s v="S-101"/>
    <s v="Global Tech Corp"/>
    <n v="71"/>
    <n v="264.48"/>
    <d v="2025-03-29T00:00:00"/>
    <d v="2025-04-10T00:00:00"/>
    <n v="33.619999999999997"/>
    <n v="18778.080000000002"/>
  </r>
  <r>
    <x v="500"/>
    <s v="Dark Chocolate"/>
    <x v="3"/>
    <s v="S-102"/>
    <s v="Sunrise Industries"/>
    <n v="494"/>
    <n v="298.39"/>
    <d v="2025-04-20T00:00:00"/>
    <d v="2025-04-25T00:00:00"/>
    <n v="36.200000000000003"/>
    <n v="147404.66"/>
  </r>
  <r>
    <x v="501"/>
    <s v="Tablet"/>
    <x v="2"/>
    <s v="S-104"/>
    <s v="Modern Home Supplies"/>
    <n v="296"/>
    <n v="205.49"/>
    <d v="2025-04-11T00:00:00"/>
    <d v="2025-04-25T00:00:00"/>
    <n v="38.36"/>
    <n v="60825.04"/>
  </r>
  <r>
    <x v="502"/>
    <s v="Socks"/>
    <x v="1"/>
    <s v="S-104"/>
    <s v="Modern Home Supplies"/>
    <n v="214"/>
    <n v="174.47"/>
    <d v="2025-03-02T00:00:00"/>
    <d v="2025-03-19T00:00:00"/>
    <n v="44.3"/>
    <n v="37336.58"/>
  </r>
  <r>
    <x v="503"/>
    <s v="Bookshelf"/>
    <x v="4"/>
    <s v="S-103"/>
    <s v="Elite Paper Co"/>
    <n v="487"/>
    <n v="444.07"/>
    <d v="2025-06-18T00:00:00"/>
    <d v="2025-06-19T00:00:00"/>
    <n v="45.77"/>
    <n v="216262.09"/>
  </r>
  <r>
    <x v="504"/>
    <s v="Headphones"/>
    <x v="2"/>
    <s v="S-103"/>
    <s v="Elite Paper Co"/>
    <n v="111"/>
    <n v="150.99"/>
    <d v="2025-01-27T00:00:00"/>
    <d v="2025-02-17T00:00:00"/>
    <n v="44.76"/>
    <n v="16759.89"/>
  </r>
  <r>
    <x v="505"/>
    <s v="Cap"/>
    <x v="1"/>
    <s v="S-101"/>
    <s v="Global Tech Corp"/>
    <n v="369"/>
    <n v="432.52"/>
    <d v="2025-06-14T00:00:00"/>
    <d v="2025-07-12T00:00:00"/>
    <n v="110.55"/>
    <n v="159599.88"/>
  </r>
  <r>
    <x v="506"/>
    <s v="Smartphone"/>
    <x v="2"/>
    <s v="S-105"/>
    <s v="Fresh Mart Logistics"/>
    <n v="403"/>
    <n v="289.01"/>
    <d v="2025-02-06T00:00:00"/>
    <d v="2025-02-08T00:00:00"/>
    <n v="70.319999999999993"/>
    <n v="116471.03"/>
  </r>
  <r>
    <x v="507"/>
    <s v="Office Chair"/>
    <x v="4"/>
    <s v="S-103"/>
    <s v="Elite Paper Co"/>
    <n v="33"/>
    <n v="341.57"/>
    <d v="2025-02-07T00:00:00"/>
    <d v="2025-03-01T00:00:00"/>
    <n v="45.16"/>
    <n v="11271.81"/>
  </r>
  <r>
    <x v="508"/>
    <s v="Desk Lamp"/>
    <x v="4"/>
    <s v="S-105"/>
    <s v="Fresh Mart Logistics"/>
    <n v="302"/>
    <n v="257.55"/>
    <d v="2025-03-16T00:00:00"/>
    <d v="2025-03-25T00:00:00"/>
    <n v="71.03"/>
    <n v="77780.100000000006"/>
  </r>
  <r>
    <x v="509"/>
    <s v="Pen Set"/>
    <x v="0"/>
    <s v="S-104"/>
    <s v="Modern Home Supplies"/>
    <n v="271"/>
    <n v="285.69"/>
    <d v="2025-03-14T00:00:00"/>
    <d v="2025-04-03T00:00:00"/>
    <n v="30.12"/>
    <n v="77421.990000000005"/>
  </r>
  <r>
    <x v="510"/>
    <s v="Hoodie"/>
    <x v="1"/>
    <s v="S-105"/>
    <s v="Fresh Mart Logistics"/>
    <n v="488"/>
    <n v="122.32"/>
    <d v="2025-05-07T00:00:00"/>
    <d v="2025-05-31T00:00:00"/>
    <n v="18.79"/>
    <n v="59692.159999999996"/>
  </r>
  <r>
    <x v="511"/>
    <s v="Laptop"/>
    <x v="2"/>
    <s v="S-103"/>
    <s v="Elite Paper Co"/>
    <n v="494"/>
    <n v="111.13"/>
    <d v="2025-05-29T00:00:00"/>
    <d v="2025-06-18T00:00:00"/>
    <n v="26.65"/>
    <n v="54898.22"/>
  </r>
  <r>
    <x v="512"/>
    <s v="Desk Lamp"/>
    <x v="4"/>
    <s v="S-103"/>
    <s v="Elite Paper Co"/>
    <n v="224"/>
    <n v="400.73"/>
    <d v="2025-06-20T00:00:00"/>
    <d v="2025-07-17T00:00:00"/>
    <n v="40.840000000000003"/>
    <n v="89763.520000000004"/>
  </r>
  <r>
    <x v="513"/>
    <s v="Pen Set"/>
    <x v="0"/>
    <s v="S-102"/>
    <s v="Sunrise Industries"/>
    <n v="86"/>
    <n v="426.04"/>
    <d v="2025-01-14T00:00:00"/>
    <d v="2025-01-31T00:00:00"/>
    <n v="94.51"/>
    <n v="36639.440000000002"/>
  </r>
  <r>
    <x v="514"/>
    <s v="Cap"/>
    <x v="1"/>
    <s v="S-101"/>
    <s v="Global Tech Corp"/>
    <n v="327"/>
    <n v="484.99"/>
    <d v="2025-05-20T00:00:00"/>
    <d v="2025-06-18T00:00:00"/>
    <n v="70.25"/>
    <n v="158591.73000000001"/>
  </r>
  <r>
    <x v="515"/>
    <s v="Desk Lamp"/>
    <x v="4"/>
    <s v="S-101"/>
    <s v="Global Tech Corp"/>
    <n v="396"/>
    <n v="231.09"/>
    <d v="2025-03-07T00:00:00"/>
    <d v="2025-03-24T00:00:00"/>
    <n v="69.239999999999995"/>
    <n v="91511.64"/>
  </r>
  <r>
    <x v="516"/>
    <s v="Dark Chocolate"/>
    <x v="3"/>
    <s v="S-104"/>
    <s v="Modern Home Supplies"/>
    <n v="171"/>
    <n v="139.97"/>
    <d v="2025-02-05T00:00:00"/>
    <d v="2025-02-24T00:00:00"/>
    <n v="27.41"/>
    <n v="23934.87"/>
  </r>
  <r>
    <x v="517"/>
    <s v="Desk Organizer"/>
    <x v="0"/>
    <s v="S-103"/>
    <s v="Elite Paper Co"/>
    <n v="242"/>
    <n v="480.6"/>
    <d v="2025-04-16T00:00:00"/>
    <d v="2025-04-22T00:00:00"/>
    <n v="59.49"/>
    <n v="116305.20000000001"/>
  </r>
  <r>
    <x v="518"/>
    <s v="Almonds"/>
    <x v="3"/>
    <s v="S-102"/>
    <s v="Sunrise Industries"/>
    <n v="239"/>
    <n v="499.25"/>
    <d v="2025-06-06T00:00:00"/>
    <d v="2025-06-09T00:00:00"/>
    <n v="146.88"/>
    <n v="119320.75"/>
  </r>
  <r>
    <x v="519"/>
    <s v="Organic Tea"/>
    <x v="3"/>
    <s v="S-103"/>
    <s v="Elite Paper Co"/>
    <n v="369"/>
    <n v="28.34"/>
    <d v="2025-05-12T00:00:00"/>
    <d v="2025-06-06T00:00:00"/>
    <n v="3.67"/>
    <n v="10457.459999999999"/>
  </r>
  <r>
    <x v="520"/>
    <s v="Stool"/>
    <x v="4"/>
    <s v="S-102"/>
    <s v="Sunrise Industries"/>
    <n v="56"/>
    <n v="166.1"/>
    <d v="2025-05-22T00:00:00"/>
    <d v="2025-06-19T00:00:00"/>
    <n v="17.37"/>
    <n v="9301.6"/>
  </r>
  <r>
    <x v="521"/>
    <s v="Stool"/>
    <x v="4"/>
    <s v="S-102"/>
    <s v="Sunrise Industries"/>
    <n v="107"/>
    <n v="107.23"/>
    <d v="2025-03-27T00:00:00"/>
    <d v="2025-04-21T00:00:00"/>
    <n v="24.7"/>
    <n v="11473.61"/>
  </r>
  <r>
    <x v="522"/>
    <s v="Almonds"/>
    <x v="3"/>
    <s v="S-104"/>
    <s v="Modern Home Supplies"/>
    <n v="431"/>
    <n v="491.34"/>
    <d v="2025-04-17T00:00:00"/>
    <d v="2025-05-07T00:00:00"/>
    <n v="116.97"/>
    <n v="211767.53999999998"/>
  </r>
  <r>
    <x v="523"/>
    <s v="Dark Chocolate"/>
    <x v="3"/>
    <s v="S-103"/>
    <s v="Elite Paper Co"/>
    <n v="413"/>
    <n v="428.25"/>
    <d v="2025-04-04T00:00:00"/>
    <d v="2025-04-28T00:00:00"/>
    <n v="95.22"/>
    <n v="176867.25"/>
  </r>
  <r>
    <x v="524"/>
    <s v="Desk Lamp"/>
    <x v="4"/>
    <s v="S-105"/>
    <s v="Fresh Mart Logistics"/>
    <n v="279"/>
    <n v="360.32"/>
    <d v="2025-01-03T00:00:00"/>
    <d v="2025-01-23T00:00:00"/>
    <n v="61.74"/>
    <n v="100529.28"/>
  </r>
  <r>
    <x v="525"/>
    <s v="Office Chair"/>
    <x v="4"/>
    <s v="S-104"/>
    <s v="Modern Home Supplies"/>
    <n v="141"/>
    <n v="192.61"/>
    <d v="2025-02-17T00:00:00"/>
    <d v="2025-02-23T00:00:00"/>
    <n v="23.35"/>
    <n v="27158.010000000002"/>
  </r>
  <r>
    <x v="526"/>
    <s v="Notebook"/>
    <x v="0"/>
    <s v="S-102"/>
    <s v="Sunrise Industries"/>
    <n v="299"/>
    <n v="180.82"/>
    <d v="2025-04-27T00:00:00"/>
    <d v="2025-05-14T00:00:00"/>
    <n v="21.01"/>
    <n v="54065.18"/>
  </r>
  <r>
    <x v="527"/>
    <s v="Notebook"/>
    <x v="0"/>
    <s v="S-103"/>
    <s v="Elite Paper Co"/>
    <n v="34"/>
    <n v="25.25"/>
    <d v="2025-02-10T00:00:00"/>
    <d v="2025-02-28T00:00:00"/>
    <n v="4.3499999999999996"/>
    <n v="858.5"/>
  </r>
  <r>
    <x v="528"/>
    <s v="Notebook"/>
    <x v="0"/>
    <s v="S-105"/>
    <s v="Fresh Mart Logistics"/>
    <n v="59"/>
    <n v="300.45"/>
    <d v="2025-02-19T00:00:00"/>
    <d v="2025-02-24T00:00:00"/>
    <n v="47.02"/>
    <n v="17726.55"/>
  </r>
  <r>
    <x v="529"/>
    <s v="Socks"/>
    <x v="1"/>
    <s v="S-102"/>
    <s v="Sunrise Industries"/>
    <n v="433"/>
    <n v="497.73"/>
    <d v="2025-05-04T00:00:00"/>
    <d v="2025-05-05T00:00:00"/>
    <n v="59.6"/>
    <n v="215517.09"/>
  </r>
  <r>
    <x v="530"/>
    <s v="Stool"/>
    <x v="4"/>
    <s v="S-104"/>
    <s v="Modern Home Supplies"/>
    <n v="21"/>
    <n v="109.29"/>
    <d v="2025-06-05T00:00:00"/>
    <d v="2025-06-13T00:00:00"/>
    <n v="22.75"/>
    <n v="2295.09"/>
  </r>
  <r>
    <x v="531"/>
    <s v="Cap"/>
    <x v="1"/>
    <s v="S-102"/>
    <s v="Sunrise Industries"/>
    <n v="279"/>
    <n v="194.62"/>
    <d v="2025-06-14T00:00:00"/>
    <d v="2025-06-17T00:00:00"/>
    <n v="50.41"/>
    <n v="54298.98"/>
  </r>
  <r>
    <x v="532"/>
    <s v="Desk Lamp"/>
    <x v="4"/>
    <s v="S-101"/>
    <s v="Global Tech Corp"/>
    <n v="426"/>
    <n v="337.91"/>
    <d v="2025-05-09T00:00:00"/>
    <d v="2025-05-14T00:00:00"/>
    <n v="87.18"/>
    <n v="143949.66"/>
  </r>
  <r>
    <x v="533"/>
    <s v="Organic Tea"/>
    <x v="3"/>
    <s v="S-104"/>
    <s v="Modern Home Supplies"/>
    <n v="477"/>
    <n v="38.01"/>
    <d v="2025-04-25T00:00:00"/>
    <d v="2025-05-19T00:00:00"/>
    <n v="6.02"/>
    <n v="18130.77"/>
  </r>
  <r>
    <x v="534"/>
    <s v="Notebook"/>
    <x v="0"/>
    <s v="S-103"/>
    <s v="Elite Paper Co"/>
    <n v="357"/>
    <n v="167.5"/>
    <d v="2025-02-08T00:00:00"/>
    <d v="2025-02-12T00:00:00"/>
    <n v="31.49"/>
    <n v="59797.5"/>
  </r>
  <r>
    <x v="535"/>
    <s v="Marker"/>
    <x v="0"/>
    <s v="S-105"/>
    <s v="Fresh Mart Logistics"/>
    <n v="412"/>
    <n v="130.79"/>
    <d v="2025-05-16T00:00:00"/>
    <d v="2025-05-27T00:00:00"/>
    <n v="38.6"/>
    <n v="53885.479999999996"/>
  </r>
  <r>
    <x v="536"/>
    <s v="Socks"/>
    <x v="1"/>
    <s v="S-102"/>
    <s v="Sunrise Industries"/>
    <n v="87"/>
    <n v="358.36"/>
    <d v="2025-02-25T00:00:00"/>
    <d v="2025-03-17T00:00:00"/>
    <n v="103.23"/>
    <n v="31177.32"/>
  </r>
  <r>
    <x v="537"/>
    <s v="Organic Tea"/>
    <x v="3"/>
    <s v="S-102"/>
    <s v="Sunrise Industries"/>
    <n v="452"/>
    <n v="475.1"/>
    <d v="2025-02-05T00:00:00"/>
    <d v="2025-02-19T00:00:00"/>
    <n v="97.51"/>
    <n v="214745.2"/>
  </r>
  <r>
    <x v="538"/>
    <s v="Office Chair"/>
    <x v="4"/>
    <s v="S-102"/>
    <s v="Sunrise Industries"/>
    <n v="358"/>
    <n v="351.43"/>
    <d v="2025-06-02T00:00:00"/>
    <d v="2025-06-12T00:00:00"/>
    <n v="64.72"/>
    <n v="125811.94"/>
  </r>
  <r>
    <x v="539"/>
    <s v="Pen Set"/>
    <x v="0"/>
    <s v="S-104"/>
    <s v="Modern Home Supplies"/>
    <n v="351"/>
    <n v="104.31"/>
    <d v="2025-05-15T00:00:00"/>
    <d v="2025-06-03T00:00:00"/>
    <n v="26.7"/>
    <n v="36612.81"/>
  </r>
  <r>
    <x v="540"/>
    <s v="Smartphone"/>
    <x v="2"/>
    <s v="S-102"/>
    <s v="Sunrise Industries"/>
    <n v="307"/>
    <n v="154.22"/>
    <d v="2025-03-08T00:00:00"/>
    <d v="2025-04-07T00:00:00"/>
    <n v="31.71"/>
    <n v="47345.54"/>
  </r>
  <r>
    <x v="541"/>
    <s v="Almonds"/>
    <x v="3"/>
    <s v="S-102"/>
    <s v="Sunrise Industries"/>
    <n v="141"/>
    <n v="254.32"/>
    <d v="2025-01-25T00:00:00"/>
    <d v="2025-01-29T00:00:00"/>
    <n v="53.77"/>
    <n v="35859.120000000003"/>
  </r>
  <r>
    <x v="542"/>
    <s v="Hoodie"/>
    <x v="1"/>
    <s v="S-103"/>
    <s v="Elite Paper Co"/>
    <n v="255"/>
    <n v="7.9"/>
    <d v="2025-02-04T00:00:00"/>
    <d v="2025-02-21T00:00:00"/>
    <n v="1.52"/>
    <n v="2014.5"/>
  </r>
  <r>
    <x v="543"/>
    <s v="Hoodie"/>
    <x v="1"/>
    <s v="S-103"/>
    <s v="Elite Paper Co"/>
    <n v="249"/>
    <n v="425.62"/>
    <d v="2025-02-23T00:00:00"/>
    <d v="2025-03-16T00:00:00"/>
    <n v="62.79"/>
    <n v="105979.38"/>
  </r>
  <r>
    <x v="544"/>
    <s v="Marker"/>
    <x v="0"/>
    <s v="S-105"/>
    <s v="Fresh Mart Logistics"/>
    <n v="362"/>
    <n v="425.5"/>
    <d v="2025-01-17T00:00:00"/>
    <d v="2025-01-23T00:00:00"/>
    <n v="119.59"/>
    <n v="154031"/>
  </r>
  <r>
    <x v="545"/>
    <s v="Laptop"/>
    <x v="2"/>
    <s v="S-104"/>
    <s v="Modern Home Supplies"/>
    <n v="375"/>
    <n v="182.69"/>
    <d v="2025-05-22T00:00:00"/>
    <d v="2025-06-17T00:00:00"/>
    <n v="21.01"/>
    <n v="68508.75"/>
  </r>
  <r>
    <x v="546"/>
    <s v="Tablet"/>
    <x v="2"/>
    <s v="S-103"/>
    <s v="Elite Paper Co"/>
    <n v="128"/>
    <n v="424.62"/>
    <d v="2025-05-28T00:00:00"/>
    <d v="2025-06-13T00:00:00"/>
    <n v="90.37"/>
    <n v="54351.360000000001"/>
  </r>
  <r>
    <x v="547"/>
    <s v="Headphones"/>
    <x v="2"/>
    <s v="S-104"/>
    <s v="Modern Home Supplies"/>
    <n v="223"/>
    <n v="181.99"/>
    <d v="2025-03-18T00:00:00"/>
    <d v="2025-04-09T00:00:00"/>
    <n v="20.96"/>
    <n v="40583.770000000004"/>
  </r>
  <r>
    <x v="548"/>
    <s v="Coffee Beans"/>
    <x v="3"/>
    <s v="S-105"/>
    <s v="Fresh Mart Logistics"/>
    <n v="85"/>
    <n v="219.85"/>
    <d v="2025-04-03T00:00:00"/>
    <d v="2025-04-28T00:00:00"/>
    <n v="52.16"/>
    <n v="18687.25"/>
  </r>
  <r>
    <x v="549"/>
    <s v="Organic Tea"/>
    <x v="3"/>
    <s v="S-102"/>
    <s v="Sunrise Industries"/>
    <n v="250"/>
    <n v="488.13"/>
    <d v="2025-05-27T00:00:00"/>
    <d v="2025-06-13T00:00:00"/>
    <n v="80.86"/>
    <n v="122032.5"/>
  </r>
  <r>
    <x v="550"/>
    <s v="Marker"/>
    <x v="0"/>
    <s v="S-102"/>
    <s v="Sunrise Industries"/>
    <n v="481"/>
    <n v="372.42"/>
    <d v="2025-01-24T00:00:00"/>
    <d v="2025-02-02T00:00:00"/>
    <n v="42.08"/>
    <n v="179134.02000000002"/>
  </r>
  <r>
    <x v="551"/>
    <s v="Marker"/>
    <x v="0"/>
    <s v="S-105"/>
    <s v="Fresh Mart Logistics"/>
    <n v="304"/>
    <n v="316.06"/>
    <d v="2025-06-09T00:00:00"/>
    <d v="2025-06-30T00:00:00"/>
    <n v="65.319999999999993"/>
    <n v="96082.240000000005"/>
  </r>
  <r>
    <x v="552"/>
    <s v="Cap"/>
    <x v="1"/>
    <s v="S-103"/>
    <s v="Elite Paper Co"/>
    <n v="229"/>
    <n v="357.25"/>
    <d v="2025-06-04T00:00:00"/>
    <d v="2025-06-25T00:00:00"/>
    <n v="85.69"/>
    <n v="81810.25"/>
  </r>
  <r>
    <x v="553"/>
    <s v="Almonds"/>
    <x v="3"/>
    <s v="S-101"/>
    <s v="Global Tech Corp"/>
    <n v="149"/>
    <n v="352.66"/>
    <d v="2025-02-11T00:00:00"/>
    <d v="2025-02-28T00:00:00"/>
    <n v="102.24"/>
    <n v="52546.340000000004"/>
  </r>
  <r>
    <x v="554"/>
    <s v="Laptop"/>
    <x v="2"/>
    <s v="S-104"/>
    <s v="Modern Home Supplies"/>
    <n v="194"/>
    <n v="316.49"/>
    <d v="2025-01-17T00:00:00"/>
    <d v="2025-01-25T00:00:00"/>
    <n v="73.61"/>
    <n v="61399.060000000005"/>
  </r>
  <r>
    <x v="555"/>
    <s v="Dark Chocolate"/>
    <x v="3"/>
    <s v="S-103"/>
    <s v="Elite Paper Co"/>
    <n v="292"/>
    <n v="412.7"/>
    <d v="2025-02-23T00:00:00"/>
    <d v="2025-03-12T00:00:00"/>
    <n v="59.82"/>
    <n v="120508.4"/>
  </r>
  <r>
    <x v="556"/>
    <s v="Notebook"/>
    <x v="0"/>
    <s v="S-101"/>
    <s v="Global Tech Corp"/>
    <n v="451"/>
    <n v="6.1"/>
    <d v="2025-03-14T00:00:00"/>
    <d v="2025-04-03T00:00:00"/>
    <n v="0.88"/>
    <n v="2751.1"/>
  </r>
  <r>
    <x v="557"/>
    <s v="Notebook"/>
    <x v="0"/>
    <s v="S-103"/>
    <s v="Elite Paper Co"/>
    <n v="346"/>
    <n v="406.48"/>
    <d v="2025-02-23T00:00:00"/>
    <d v="2025-03-11T00:00:00"/>
    <n v="48.57"/>
    <n v="140642.08000000002"/>
  </r>
  <r>
    <x v="558"/>
    <s v="Almonds"/>
    <x v="3"/>
    <s v="S-105"/>
    <s v="Fresh Mart Logistics"/>
    <n v="120"/>
    <n v="229.36"/>
    <d v="2025-06-21T00:00:00"/>
    <d v="2025-06-22T00:00:00"/>
    <n v="46.8"/>
    <n v="27523.200000000001"/>
  </r>
  <r>
    <x v="559"/>
    <s v="Cap"/>
    <x v="1"/>
    <s v="S-102"/>
    <s v="Sunrise Industries"/>
    <n v="98"/>
    <n v="483.95"/>
    <d v="2025-04-08T00:00:00"/>
    <d v="2025-04-30T00:00:00"/>
    <n v="59.28"/>
    <n v="47427.1"/>
  </r>
  <r>
    <x v="560"/>
    <s v="Desk Lamp"/>
    <x v="4"/>
    <s v="S-102"/>
    <s v="Sunrise Industries"/>
    <n v="30"/>
    <n v="282.06"/>
    <d v="2025-01-19T00:00:00"/>
    <d v="2025-02-06T00:00:00"/>
    <n v="82.67"/>
    <n v="8461.7999999999993"/>
  </r>
  <r>
    <x v="561"/>
    <s v="Organic Tea"/>
    <x v="3"/>
    <s v="S-104"/>
    <s v="Modern Home Supplies"/>
    <n v="426"/>
    <n v="40.159999999999997"/>
    <d v="2025-02-03T00:00:00"/>
    <d v="2025-02-15T00:00:00"/>
    <n v="9.18"/>
    <n v="17108.16"/>
  </r>
  <r>
    <x v="562"/>
    <s v="Desk Organizer"/>
    <x v="0"/>
    <s v="S-102"/>
    <s v="Sunrise Industries"/>
    <n v="390"/>
    <n v="314.87"/>
    <d v="2025-02-09T00:00:00"/>
    <d v="2025-03-05T00:00:00"/>
    <n v="77.489999999999995"/>
    <n v="122799.3"/>
  </r>
  <r>
    <x v="563"/>
    <s v="Desk Organizer"/>
    <x v="0"/>
    <s v="S-103"/>
    <s v="Elite Paper Co"/>
    <n v="182"/>
    <n v="351.87"/>
    <d v="2025-04-13T00:00:00"/>
    <d v="2025-04-23T00:00:00"/>
    <n v="102.03"/>
    <n v="64040.340000000004"/>
  </r>
  <r>
    <x v="564"/>
    <s v="Bookshelf"/>
    <x v="4"/>
    <s v="S-102"/>
    <s v="Sunrise Industries"/>
    <n v="49"/>
    <n v="440.41"/>
    <d v="2025-03-03T00:00:00"/>
    <d v="2025-03-19T00:00:00"/>
    <n v="109.11"/>
    <n v="21580.09"/>
  </r>
  <r>
    <x v="565"/>
    <s v="Hoodie"/>
    <x v="1"/>
    <s v="S-105"/>
    <s v="Fresh Mart Logistics"/>
    <n v="252"/>
    <n v="438.37"/>
    <d v="2025-04-06T00:00:00"/>
    <d v="2025-04-11T00:00:00"/>
    <n v="58.02"/>
    <n v="110469.24"/>
  </r>
  <r>
    <x v="566"/>
    <s v="Coffee Beans"/>
    <x v="3"/>
    <s v="S-102"/>
    <s v="Sunrise Industries"/>
    <n v="169"/>
    <n v="199.09"/>
    <d v="2025-02-23T00:00:00"/>
    <d v="2025-02-25T00:00:00"/>
    <n v="36.78"/>
    <n v="33646.21"/>
  </r>
  <r>
    <x v="567"/>
    <s v="Office Chair"/>
    <x v="4"/>
    <s v="S-104"/>
    <s v="Modern Home Supplies"/>
    <n v="65"/>
    <n v="387.69"/>
    <d v="2025-05-24T00:00:00"/>
    <d v="2025-05-26T00:00:00"/>
    <n v="55.19"/>
    <n v="25199.85"/>
  </r>
  <r>
    <x v="568"/>
    <s v="Cap"/>
    <x v="1"/>
    <s v="S-105"/>
    <s v="Fresh Mart Logistics"/>
    <n v="343"/>
    <n v="484.89"/>
    <d v="2025-05-26T00:00:00"/>
    <d v="2025-06-17T00:00:00"/>
    <n v="102.37"/>
    <n v="166317.26999999999"/>
  </r>
  <r>
    <x v="569"/>
    <s v="Socks"/>
    <x v="1"/>
    <s v="S-103"/>
    <s v="Elite Paper Co"/>
    <n v="410"/>
    <n v="262.77"/>
    <d v="2025-03-21T00:00:00"/>
    <d v="2025-03-23T00:00:00"/>
    <n v="45.19"/>
    <n v="107735.7"/>
  </r>
  <r>
    <x v="570"/>
    <s v="Office Chair"/>
    <x v="4"/>
    <s v="S-104"/>
    <s v="Modern Home Supplies"/>
    <n v="387"/>
    <n v="497.46"/>
    <d v="2025-03-25T00:00:00"/>
    <d v="2025-04-13T00:00:00"/>
    <n v="132.94"/>
    <n v="192517.02"/>
  </r>
  <r>
    <x v="571"/>
    <s v="Bookshelf"/>
    <x v="4"/>
    <s v="S-105"/>
    <s v="Fresh Mart Logistics"/>
    <n v="377"/>
    <n v="268.48"/>
    <d v="2025-06-28T00:00:00"/>
    <d v="2025-06-30T00:00:00"/>
    <n v="70.150000000000006"/>
    <n v="101216.96000000001"/>
  </r>
  <r>
    <x v="572"/>
    <s v="Laptop"/>
    <x v="2"/>
    <s v="S-103"/>
    <s v="Elite Paper Co"/>
    <n v="453"/>
    <n v="121.21"/>
    <d v="2025-06-22T00:00:00"/>
    <d v="2025-07-12T00:00:00"/>
    <n v="28.84"/>
    <n v="54908.13"/>
  </r>
  <r>
    <x v="573"/>
    <s v="Headphones"/>
    <x v="2"/>
    <s v="S-104"/>
    <s v="Modern Home Supplies"/>
    <n v="432"/>
    <n v="70.5"/>
    <d v="2025-01-04T00:00:00"/>
    <d v="2025-01-27T00:00:00"/>
    <n v="10.37"/>
    <n v="30456"/>
  </r>
  <r>
    <x v="574"/>
    <s v="Bookshelf"/>
    <x v="4"/>
    <s v="S-103"/>
    <s v="Elite Paper Co"/>
    <n v="205"/>
    <n v="152.08000000000001"/>
    <d v="2025-03-25T00:00:00"/>
    <d v="2025-04-22T00:00:00"/>
    <n v="26.39"/>
    <n v="31176.400000000001"/>
  </r>
  <r>
    <x v="575"/>
    <s v="Pen Set"/>
    <x v="0"/>
    <s v="S-105"/>
    <s v="Fresh Mart Logistics"/>
    <n v="150"/>
    <n v="461.73"/>
    <d v="2025-05-30T00:00:00"/>
    <d v="2025-06-16T00:00:00"/>
    <n v="67.5"/>
    <n v="69259.5"/>
  </r>
  <r>
    <x v="576"/>
    <s v="Almonds"/>
    <x v="3"/>
    <s v="S-101"/>
    <s v="Global Tech Corp"/>
    <n v="266"/>
    <n v="9.74"/>
    <d v="2025-01-31T00:00:00"/>
    <d v="2025-02-07T00:00:00"/>
    <n v="1.8"/>
    <n v="2590.84"/>
  </r>
  <r>
    <x v="577"/>
    <s v="Stool"/>
    <x v="4"/>
    <s v="S-101"/>
    <s v="Global Tech Corp"/>
    <n v="136"/>
    <n v="184.4"/>
    <d v="2025-03-05T00:00:00"/>
    <d v="2025-03-25T00:00:00"/>
    <n v="32.729999999999997"/>
    <n v="25078.400000000001"/>
  </r>
  <r>
    <x v="578"/>
    <s v="Office Chair"/>
    <x v="4"/>
    <s v="S-102"/>
    <s v="Sunrise Industries"/>
    <n v="103"/>
    <n v="84.97"/>
    <d v="2025-01-10T00:00:00"/>
    <d v="2025-01-30T00:00:00"/>
    <n v="13.24"/>
    <n v="8751.91"/>
  </r>
  <r>
    <x v="579"/>
    <s v="Bookshelf"/>
    <x v="4"/>
    <s v="S-105"/>
    <s v="Fresh Mart Logistics"/>
    <n v="199"/>
    <n v="33.32"/>
    <d v="2025-01-02T00:00:00"/>
    <d v="2025-01-24T00:00:00"/>
    <n v="8.92"/>
    <n v="6630.68"/>
  </r>
  <r>
    <x v="580"/>
    <s v="Laptop"/>
    <x v="2"/>
    <s v="S-105"/>
    <s v="Fresh Mart Logistics"/>
    <n v="43"/>
    <n v="106.93"/>
    <d v="2025-04-17T00:00:00"/>
    <d v="2025-04-27T00:00:00"/>
    <n v="15.08"/>
    <n v="4597.9900000000007"/>
  </r>
  <r>
    <x v="581"/>
    <s v="Desk Organizer"/>
    <x v="0"/>
    <s v="S-104"/>
    <s v="Modern Home Supplies"/>
    <n v="272"/>
    <n v="263.61"/>
    <d v="2025-05-19T00:00:00"/>
    <d v="2025-06-01T00:00:00"/>
    <n v="77.61"/>
    <n v="71701.919999999998"/>
  </r>
  <r>
    <x v="582"/>
    <s v="Desk Lamp"/>
    <x v="4"/>
    <s v="S-104"/>
    <s v="Modern Home Supplies"/>
    <n v="57"/>
    <n v="425.48"/>
    <d v="2025-06-27T00:00:00"/>
    <d v="2025-07-17T00:00:00"/>
    <n v="65.25"/>
    <n v="24252.36"/>
  </r>
  <r>
    <x v="583"/>
    <s v="Headphones"/>
    <x v="2"/>
    <s v="S-104"/>
    <s v="Modern Home Supplies"/>
    <n v="443"/>
    <n v="7.99"/>
    <d v="2025-01-11T00:00:00"/>
    <d v="2025-01-20T00:00:00"/>
    <n v="2.02"/>
    <n v="3539.57"/>
  </r>
  <r>
    <x v="584"/>
    <s v="Cap"/>
    <x v="1"/>
    <s v="S-102"/>
    <s v="Sunrise Industries"/>
    <n v="60"/>
    <n v="348.74"/>
    <d v="2025-04-14T00:00:00"/>
    <d v="2025-04-21T00:00:00"/>
    <n v="79.290000000000006"/>
    <n v="20924.400000000001"/>
  </r>
  <r>
    <x v="585"/>
    <s v="Cap"/>
    <x v="1"/>
    <s v="S-104"/>
    <s v="Modern Home Supplies"/>
    <n v="300"/>
    <n v="371.43"/>
    <d v="2025-05-10T00:00:00"/>
    <d v="2025-06-03T00:00:00"/>
    <n v="78.09"/>
    <n v="111429"/>
  </r>
  <r>
    <x v="586"/>
    <s v="Bookshelf"/>
    <x v="4"/>
    <s v="S-105"/>
    <s v="Fresh Mart Logistics"/>
    <n v="432"/>
    <n v="407.65"/>
    <d v="2025-04-27T00:00:00"/>
    <d v="2025-05-25T00:00:00"/>
    <n v="93.19"/>
    <n v="176104.8"/>
  </r>
  <r>
    <x v="587"/>
    <s v="Hoodie"/>
    <x v="1"/>
    <s v="S-104"/>
    <s v="Modern Home Supplies"/>
    <n v="368"/>
    <n v="418.08"/>
    <d v="2025-01-04T00:00:00"/>
    <d v="2025-01-25T00:00:00"/>
    <n v="105.44"/>
    <n v="153853.44"/>
  </r>
  <r>
    <x v="588"/>
    <s v="T-Shirt"/>
    <x v="1"/>
    <s v="S-104"/>
    <s v="Modern Home Supplies"/>
    <n v="220"/>
    <n v="369.57"/>
    <d v="2025-01-06T00:00:00"/>
    <d v="2025-01-15T00:00:00"/>
    <n v="77.040000000000006"/>
    <n v="81305.399999999994"/>
  </r>
  <r>
    <x v="589"/>
    <s v="Headphones"/>
    <x v="2"/>
    <s v="S-102"/>
    <s v="Sunrise Industries"/>
    <n v="404"/>
    <n v="413.13"/>
    <d v="2025-02-26T00:00:00"/>
    <d v="2025-03-18T00:00:00"/>
    <n v="56.11"/>
    <n v="166904.51999999999"/>
  </r>
  <r>
    <x v="590"/>
    <s v="Marker"/>
    <x v="0"/>
    <s v="S-101"/>
    <s v="Global Tech Corp"/>
    <n v="198"/>
    <n v="135.91999999999999"/>
    <d v="2025-02-12T00:00:00"/>
    <d v="2025-03-02T00:00:00"/>
    <n v="37"/>
    <n v="26912.159999999996"/>
  </r>
  <r>
    <x v="591"/>
    <s v="Hoodie"/>
    <x v="1"/>
    <s v="S-102"/>
    <s v="Sunrise Industries"/>
    <n v="195"/>
    <n v="484.31"/>
    <d v="2025-01-14T00:00:00"/>
    <d v="2025-02-04T00:00:00"/>
    <n v="126.13"/>
    <n v="94440.45"/>
  </r>
  <r>
    <x v="592"/>
    <s v="Dark Chocolate"/>
    <x v="3"/>
    <s v="S-103"/>
    <s v="Elite Paper Co"/>
    <n v="344"/>
    <n v="9.32"/>
    <d v="2025-02-14T00:00:00"/>
    <d v="2025-03-03T00:00:00"/>
    <n v="1.97"/>
    <n v="3206.08"/>
  </r>
  <r>
    <x v="593"/>
    <s v="Marker"/>
    <x v="0"/>
    <s v="S-104"/>
    <s v="Modern Home Supplies"/>
    <n v="68"/>
    <n v="419.01"/>
    <d v="2025-06-08T00:00:00"/>
    <d v="2025-06-27T00:00:00"/>
    <n v="55.56"/>
    <n v="28492.68"/>
  </r>
  <r>
    <x v="594"/>
    <s v="Almonds"/>
    <x v="3"/>
    <s v="S-103"/>
    <s v="Elite Paper Co"/>
    <n v="388"/>
    <n v="197.07"/>
    <d v="2025-06-12T00:00:00"/>
    <d v="2025-06-29T00:00:00"/>
    <n v="19.88"/>
    <n v="76463.16"/>
  </r>
  <r>
    <x v="595"/>
    <s v="Laptop"/>
    <x v="2"/>
    <s v="S-102"/>
    <s v="Sunrise Industries"/>
    <n v="45"/>
    <n v="25.83"/>
    <d v="2025-06-13T00:00:00"/>
    <d v="2025-07-10T00:00:00"/>
    <n v="6.94"/>
    <n v="1162.3499999999999"/>
  </r>
  <r>
    <x v="596"/>
    <s v="Coffee Beans"/>
    <x v="3"/>
    <s v="S-102"/>
    <s v="Sunrise Industries"/>
    <n v="335"/>
    <n v="11"/>
    <d v="2025-03-10T00:00:00"/>
    <d v="2025-04-06T00:00:00"/>
    <n v="2.19"/>
    <n v="3685"/>
  </r>
  <r>
    <x v="597"/>
    <s v="Notebook"/>
    <x v="0"/>
    <s v="S-101"/>
    <s v="Global Tech Corp"/>
    <n v="81"/>
    <n v="280.47000000000003"/>
    <d v="2025-05-08T00:00:00"/>
    <d v="2025-05-25T00:00:00"/>
    <n v="57.08"/>
    <n v="22718.070000000003"/>
  </r>
  <r>
    <x v="598"/>
    <s v="Stool"/>
    <x v="4"/>
    <s v="S-105"/>
    <s v="Fresh Mart Logistics"/>
    <n v="357"/>
    <n v="168.62"/>
    <d v="2025-05-12T00:00:00"/>
    <d v="2025-06-06T00:00:00"/>
    <n v="37.590000000000003"/>
    <n v="60197.340000000004"/>
  </r>
  <r>
    <x v="599"/>
    <s v="Laptop"/>
    <x v="2"/>
    <s v="S-105"/>
    <s v="Fresh Mart Logistics"/>
    <n v="105"/>
    <n v="50.79"/>
    <d v="2025-02-06T00:00:00"/>
    <d v="2025-03-01T00:00:00"/>
    <n v="15.23"/>
    <n v="5332.95"/>
  </r>
  <r>
    <x v="600"/>
    <s v="Tablet"/>
    <x v="2"/>
    <s v="S-105"/>
    <s v="Fresh Mart Logistics"/>
    <n v="159"/>
    <n v="345.7"/>
    <d v="2025-01-30T00:00:00"/>
    <d v="2025-02-23T00:00:00"/>
    <n v="53.55"/>
    <n v="54966.299999999996"/>
  </r>
  <r>
    <x v="601"/>
    <s v="Laptop"/>
    <x v="2"/>
    <s v="S-104"/>
    <s v="Modern Home Supplies"/>
    <n v="346"/>
    <n v="154.27000000000001"/>
    <d v="2025-04-05T00:00:00"/>
    <d v="2025-04-22T00:00:00"/>
    <n v="41.89"/>
    <n v="53377.420000000006"/>
  </r>
  <r>
    <x v="602"/>
    <s v="Desk Lamp"/>
    <x v="4"/>
    <s v="S-102"/>
    <s v="Sunrise Industries"/>
    <n v="115"/>
    <n v="466.95"/>
    <d v="2025-05-06T00:00:00"/>
    <d v="2025-05-19T00:00:00"/>
    <n v="53"/>
    <n v="53699.25"/>
  </r>
  <r>
    <x v="603"/>
    <s v="Marker"/>
    <x v="0"/>
    <s v="S-104"/>
    <s v="Modern Home Supplies"/>
    <n v="68"/>
    <n v="261.70999999999998"/>
    <d v="2025-06-19T00:00:00"/>
    <d v="2025-06-20T00:00:00"/>
    <n v="51.06"/>
    <n v="17796.28"/>
  </r>
  <r>
    <x v="604"/>
    <s v="Cap"/>
    <x v="1"/>
    <s v="S-105"/>
    <s v="Fresh Mart Logistics"/>
    <n v="358"/>
    <n v="208.98"/>
    <d v="2025-01-27T00:00:00"/>
    <d v="2025-02-23T00:00:00"/>
    <n v="60.4"/>
    <n v="74814.84"/>
  </r>
  <r>
    <x v="605"/>
    <s v="Pen Set"/>
    <x v="0"/>
    <s v="S-101"/>
    <s v="Global Tech Corp"/>
    <n v="357"/>
    <n v="227.65"/>
    <d v="2025-04-30T00:00:00"/>
    <d v="2025-05-06T00:00:00"/>
    <n v="52.36"/>
    <n v="81271.05"/>
  </r>
  <r>
    <x v="606"/>
    <s v="Office Chair"/>
    <x v="4"/>
    <s v="S-102"/>
    <s v="Sunrise Industries"/>
    <n v="276"/>
    <n v="10.76"/>
    <d v="2025-05-31T00:00:00"/>
    <d v="2025-06-16T00:00:00"/>
    <n v="2.38"/>
    <n v="2969.7599999999998"/>
  </r>
  <r>
    <x v="607"/>
    <s v="Organic Tea"/>
    <x v="3"/>
    <s v="S-104"/>
    <s v="Modern Home Supplies"/>
    <n v="281"/>
    <n v="26.21"/>
    <d v="2025-02-08T00:00:00"/>
    <d v="2025-02-11T00:00:00"/>
    <n v="6.63"/>
    <n v="7365.01"/>
  </r>
  <r>
    <x v="608"/>
    <s v="T-Shirt"/>
    <x v="1"/>
    <s v="S-103"/>
    <s v="Elite Paper Co"/>
    <n v="398"/>
    <n v="336.98"/>
    <d v="2025-06-27T00:00:00"/>
    <d v="2025-07-11T00:00:00"/>
    <n v="40.26"/>
    <n v="134118.04"/>
  </r>
  <r>
    <x v="609"/>
    <s v="Almonds"/>
    <x v="3"/>
    <s v="S-105"/>
    <s v="Fresh Mart Logistics"/>
    <n v="90"/>
    <n v="213.15"/>
    <d v="2025-03-11T00:00:00"/>
    <d v="2025-03-17T00:00:00"/>
    <n v="50.79"/>
    <n v="19183.5"/>
  </r>
  <r>
    <x v="610"/>
    <s v="Almonds"/>
    <x v="3"/>
    <s v="S-103"/>
    <s v="Elite Paper Co"/>
    <n v="391"/>
    <n v="328.98"/>
    <d v="2025-05-29T00:00:00"/>
    <d v="2025-06-24T00:00:00"/>
    <n v="81.150000000000006"/>
    <n v="128631.18000000001"/>
  </r>
  <r>
    <x v="611"/>
    <s v="Socks"/>
    <x v="1"/>
    <s v="S-105"/>
    <s v="Fresh Mart Logistics"/>
    <n v="382"/>
    <n v="211.29"/>
    <d v="2025-06-26T00:00:00"/>
    <d v="2025-07-22T00:00:00"/>
    <n v="58.47"/>
    <n v="80712.78"/>
  </r>
  <r>
    <x v="612"/>
    <s v="Almonds"/>
    <x v="3"/>
    <s v="S-103"/>
    <s v="Elite Paper Co"/>
    <n v="240"/>
    <n v="346.55"/>
    <d v="2025-06-25T00:00:00"/>
    <d v="2025-07-07T00:00:00"/>
    <n v="54.57"/>
    <n v="83172"/>
  </r>
  <r>
    <x v="613"/>
    <s v="Coffee Beans"/>
    <x v="3"/>
    <s v="S-101"/>
    <s v="Global Tech Corp"/>
    <n v="232"/>
    <n v="355.71"/>
    <d v="2025-04-30T00:00:00"/>
    <d v="2025-05-27T00:00:00"/>
    <n v="43.72"/>
    <n v="82524.72"/>
  </r>
  <r>
    <x v="614"/>
    <s v="Almonds"/>
    <x v="3"/>
    <s v="S-103"/>
    <s v="Elite Paper Co"/>
    <n v="104"/>
    <n v="14.7"/>
    <d v="2025-01-28T00:00:00"/>
    <d v="2025-02-20T00:00:00"/>
    <n v="2.19"/>
    <n v="1528.8"/>
  </r>
  <r>
    <x v="615"/>
    <s v="Dark Chocolate"/>
    <x v="3"/>
    <s v="S-103"/>
    <s v="Elite Paper Co"/>
    <n v="321"/>
    <n v="499.72"/>
    <d v="2025-04-06T00:00:00"/>
    <d v="2025-05-05T00:00:00"/>
    <n v="91.14"/>
    <n v="160410.12"/>
  </r>
  <r>
    <x v="616"/>
    <s v="Pen Set"/>
    <x v="0"/>
    <s v="S-102"/>
    <s v="Sunrise Industries"/>
    <n v="317"/>
    <n v="453.56"/>
    <d v="2025-03-29T00:00:00"/>
    <d v="2025-04-10T00:00:00"/>
    <n v="110.21"/>
    <n v="143778.51999999999"/>
  </r>
  <r>
    <x v="617"/>
    <s v="Laptop"/>
    <x v="2"/>
    <s v="S-103"/>
    <s v="Elite Paper Co"/>
    <n v="102"/>
    <n v="363.98"/>
    <d v="2025-04-26T00:00:00"/>
    <d v="2025-05-14T00:00:00"/>
    <n v="58.49"/>
    <n v="37125.96"/>
  </r>
  <r>
    <x v="618"/>
    <s v="Laptop"/>
    <x v="2"/>
    <s v="S-101"/>
    <s v="Global Tech Corp"/>
    <n v="101"/>
    <n v="315.62"/>
    <d v="2025-03-23T00:00:00"/>
    <d v="2025-03-30T00:00:00"/>
    <n v="70.22"/>
    <n v="31877.62"/>
  </r>
  <r>
    <x v="619"/>
    <s v="Office Chair"/>
    <x v="4"/>
    <s v="S-101"/>
    <s v="Global Tech Corp"/>
    <n v="80"/>
    <n v="26.32"/>
    <d v="2025-01-15T00:00:00"/>
    <d v="2025-01-22T00:00:00"/>
    <n v="4.04"/>
    <n v="2105.6"/>
  </r>
  <r>
    <x v="620"/>
    <s v="Almonds"/>
    <x v="3"/>
    <s v="S-104"/>
    <s v="Modern Home Supplies"/>
    <n v="122"/>
    <n v="454.24"/>
    <d v="2025-04-01T00:00:00"/>
    <d v="2025-04-12T00:00:00"/>
    <n v="135.19999999999999"/>
    <n v="55417.279999999999"/>
  </r>
  <r>
    <x v="621"/>
    <s v="Headphones"/>
    <x v="2"/>
    <s v="S-103"/>
    <s v="Elite Paper Co"/>
    <n v="11"/>
    <n v="332.67"/>
    <d v="2025-06-03T00:00:00"/>
    <d v="2025-06-22T00:00:00"/>
    <n v="41.15"/>
    <n v="3659.3700000000003"/>
  </r>
  <r>
    <x v="622"/>
    <s v="Socks"/>
    <x v="1"/>
    <s v="S-104"/>
    <s v="Modern Home Supplies"/>
    <n v="346"/>
    <n v="226.13"/>
    <d v="2025-02-13T00:00:00"/>
    <d v="2025-03-14T00:00:00"/>
    <n v="25.81"/>
    <n v="78240.98"/>
  </r>
  <r>
    <x v="623"/>
    <s v="Office Chair"/>
    <x v="4"/>
    <s v="S-103"/>
    <s v="Elite Paper Co"/>
    <n v="372"/>
    <n v="231.33"/>
    <d v="2025-05-07T00:00:00"/>
    <d v="2025-06-03T00:00:00"/>
    <n v="24.05"/>
    <n v="86054.760000000009"/>
  </r>
  <r>
    <x v="624"/>
    <s v="Stool"/>
    <x v="4"/>
    <s v="S-103"/>
    <s v="Elite Paper Co"/>
    <n v="421"/>
    <n v="144.24"/>
    <d v="2025-04-06T00:00:00"/>
    <d v="2025-04-24T00:00:00"/>
    <n v="40.75"/>
    <n v="60725.04"/>
  </r>
  <r>
    <x v="625"/>
    <s v="T-Shirt"/>
    <x v="1"/>
    <s v="S-105"/>
    <s v="Fresh Mart Logistics"/>
    <n v="202"/>
    <n v="289.63"/>
    <d v="2025-02-16T00:00:00"/>
    <d v="2025-02-28T00:00:00"/>
    <n v="43.72"/>
    <n v="58505.26"/>
  </r>
  <r>
    <x v="626"/>
    <s v="Desk Organizer"/>
    <x v="0"/>
    <s v="S-102"/>
    <s v="Sunrise Industries"/>
    <n v="378"/>
    <n v="154"/>
    <d v="2025-03-17T00:00:00"/>
    <d v="2025-04-12T00:00:00"/>
    <n v="37.96"/>
    <n v="58212"/>
  </r>
  <r>
    <x v="627"/>
    <s v="Marker"/>
    <x v="0"/>
    <s v="S-101"/>
    <s v="Global Tech Corp"/>
    <n v="490"/>
    <n v="269.92"/>
    <d v="2025-01-14T00:00:00"/>
    <d v="2025-02-04T00:00:00"/>
    <n v="69.2"/>
    <n v="132260.80000000002"/>
  </r>
  <r>
    <x v="628"/>
    <s v="Marker"/>
    <x v="0"/>
    <s v="S-105"/>
    <s v="Fresh Mart Logistics"/>
    <n v="458"/>
    <n v="468.4"/>
    <d v="2025-05-29T00:00:00"/>
    <d v="2025-06-13T00:00:00"/>
    <n v="122.4"/>
    <n v="214527.19999999998"/>
  </r>
  <r>
    <x v="629"/>
    <s v="Smartphone"/>
    <x v="2"/>
    <s v="S-104"/>
    <s v="Modern Home Supplies"/>
    <n v="242"/>
    <n v="239.53"/>
    <d v="2025-06-16T00:00:00"/>
    <d v="2025-07-03T00:00:00"/>
    <n v="61.1"/>
    <n v="57966.26"/>
  </r>
  <r>
    <x v="630"/>
    <s v="Notebook"/>
    <x v="0"/>
    <s v="S-105"/>
    <s v="Fresh Mart Logistics"/>
    <n v="116"/>
    <n v="380.08"/>
    <d v="2025-05-27T00:00:00"/>
    <d v="2025-06-14T00:00:00"/>
    <n v="75.400000000000006"/>
    <n v="44089.279999999999"/>
  </r>
  <r>
    <x v="631"/>
    <s v="Coffee Beans"/>
    <x v="3"/>
    <s v="S-104"/>
    <s v="Modern Home Supplies"/>
    <n v="463"/>
    <n v="199.72"/>
    <d v="2025-02-12T00:00:00"/>
    <d v="2025-03-02T00:00:00"/>
    <n v="34.020000000000003"/>
    <n v="92470.36"/>
  </r>
  <r>
    <x v="632"/>
    <s v="Organic Tea"/>
    <x v="3"/>
    <s v="S-102"/>
    <s v="Sunrise Industries"/>
    <n v="151"/>
    <n v="394.17"/>
    <d v="2025-04-13T00:00:00"/>
    <d v="2025-05-01T00:00:00"/>
    <n v="69.63"/>
    <n v="59519.670000000006"/>
  </r>
  <r>
    <x v="633"/>
    <s v="Office Chair"/>
    <x v="4"/>
    <s v="S-104"/>
    <s v="Modern Home Supplies"/>
    <n v="370"/>
    <n v="274.79000000000002"/>
    <d v="2025-02-13T00:00:00"/>
    <d v="2025-02-28T00:00:00"/>
    <n v="61.65"/>
    <n v="101672.3"/>
  </r>
  <r>
    <x v="634"/>
    <s v="Desk Lamp"/>
    <x v="4"/>
    <s v="S-102"/>
    <s v="Sunrise Industries"/>
    <n v="104"/>
    <n v="207.62"/>
    <d v="2025-02-07T00:00:00"/>
    <d v="2025-02-22T00:00:00"/>
    <n v="42.03"/>
    <n v="21592.48"/>
  </r>
  <r>
    <x v="635"/>
    <s v="Desk Lamp"/>
    <x v="4"/>
    <s v="S-105"/>
    <s v="Fresh Mart Logistics"/>
    <n v="93"/>
    <n v="355.82"/>
    <d v="2025-06-24T00:00:00"/>
    <d v="2025-07-21T00:00:00"/>
    <n v="75.59"/>
    <n v="33091.26"/>
  </r>
  <r>
    <x v="636"/>
    <s v="Dark Chocolate"/>
    <x v="3"/>
    <s v="S-105"/>
    <s v="Fresh Mart Logistics"/>
    <n v="268"/>
    <n v="46.62"/>
    <d v="2025-04-24T00:00:00"/>
    <d v="2025-05-09T00:00:00"/>
    <n v="5.71"/>
    <n v="12494.16"/>
  </r>
  <r>
    <x v="637"/>
    <s v="Laptop"/>
    <x v="2"/>
    <s v="S-101"/>
    <s v="Global Tech Corp"/>
    <n v="311"/>
    <n v="84.77"/>
    <d v="2025-03-05T00:00:00"/>
    <d v="2025-03-17T00:00:00"/>
    <n v="8.9600000000000009"/>
    <n v="26363.469999999998"/>
  </r>
  <r>
    <x v="638"/>
    <s v="Desk Lamp"/>
    <x v="4"/>
    <s v="S-101"/>
    <s v="Global Tech Corp"/>
    <n v="55"/>
    <n v="491.88"/>
    <d v="2025-06-10T00:00:00"/>
    <d v="2025-06-14T00:00:00"/>
    <n v="100.85"/>
    <n v="27053.4"/>
  </r>
  <r>
    <x v="639"/>
    <s v="Desk Lamp"/>
    <x v="4"/>
    <s v="S-101"/>
    <s v="Global Tech Corp"/>
    <n v="343"/>
    <n v="424.17"/>
    <d v="2025-05-07T00:00:00"/>
    <d v="2025-05-30T00:00:00"/>
    <n v="110.64"/>
    <n v="145490.31"/>
  </r>
  <r>
    <x v="640"/>
    <s v="T-Shirt"/>
    <x v="1"/>
    <s v="S-104"/>
    <s v="Modern Home Supplies"/>
    <n v="326"/>
    <n v="30.38"/>
    <d v="2025-05-20T00:00:00"/>
    <d v="2025-05-26T00:00:00"/>
    <n v="7.41"/>
    <n v="9903.8799999999992"/>
  </r>
  <r>
    <x v="641"/>
    <s v="Socks"/>
    <x v="1"/>
    <s v="S-105"/>
    <s v="Fresh Mart Logistics"/>
    <n v="354"/>
    <n v="137.19"/>
    <d v="2025-02-15T00:00:00"/>
    <d v="2025-02-21T00:00:00"/>
    <n v="36.14"/>
    <n v="48565.26"/>
  </r>
  <r>
    <x v="642"/>
    <s v="Almonds"/>
    <x v="3"/>
    <s v="S-103"/>
    <s v="Elite Paper Co"/>
    <n v="478"/>
    <n v="169.57"/>
    <d v="2025-06-03T00:00:00"/>
    <d v="2025-06-10T00:00:00"/>
    <n v="22.61"/>
    <n v="81054.459999999992"/>
  </r>
  <r>
    <x v="643"/>
    <s v="Desk Lamp"/>
    <x v="4"/>
    <s v="S-105"/>
    <s v="Fresh Mart Logistics"/>
    <n v="429"/>
    <n v="380.39"/>
    <d v="2025-01-04T00:00:00"/>
    <d v="2025-01-06T00:00:00"/>
    <n v="113.77"/>
    <n v="163187.31"/>
  </r>
  <r>
    <x v="644"/>
    <s v="Organic Tea"/>
    <x v="3"/>
    <s v="S-101"/>
    <s v="Global Tech Corp"/>
    <n v="213"/>
    <n v="121.45"/>
    <d v="2025-04-09T00:00:00"/>
    <d v="2025-04-17T00:00:00"/>
    <n v="23.08"/>
    <n v="25868.850000000002"/>
  </r>
  <r>
    <x v="645"/>
    <s v="Desk Organizer"/>
    <x v="0"/>
    <s v="S-105"/>
    <s v="Fresh Mart Logistics"/>
    <n v="322"/>
    <n v="320.86"/>
    <d v="2025-05-23T00:00:00"/>
    <d v="2025-05-31T00:00:00"/>
    <n v="63.32"/>
    <n v="103316.92"/>
  </r>
  <r>
    <x v="646"/>
    <s v="Almonds"/>
    <x v="3"/>
    <s v="S-103"/>
    <s v="Elite Paper Co"/>
    <n v="99"/>
    <n v="394.89"/>
    <d v="2025-03-12T00:00:00"/>
    <d v="2025-03-23T00:00:00"/>
    <n v="101.62"/>
    <n v="39094.11"/>
  </r>
  <r>
    <x v="647"/>
    <s v="Pen Set"/>
    <x v="0"/>
    <s v="S-103"/>
    <s v="Elite Paper Co"/>
    <n v="189"/>
    <n v="374.99"/>
    <d v="2025-03-12T00:00:00"/>
    <d v="2025-03-23T00:00:00"/>
    <n v="44.93"/>
    <n v="70873.11"/>
  </r>
  <r>
    <x v="648"/>
    <s v="Socks"/>
    <x v="1"/>
    <s v="S-101"/>
    <s v="Global Tech Corp"/>
    <n v="189"/>
    <n v="461.91"/>
    <d v="2025-06-13T00:00:00"/>
    <d v="2025-06-21T00:00:00"/>
    <n v="76.98"/>
    <n v="87300.99"/>
  </r>
  <r>
    <x v="649"/>
    <s v="Stool"/>
    <x v="4"/>
    <s v="S-102"/>
    <s v="Sunrise Industries"/>
    <n v="237"/>
    <n v="404.1"/>
    <d v="2025-04-27T00:00:00"/>
    <d v="2025-04-29T00:00:00"/>
    <n v="89.63"/>
    <n v="95771.700000000012"/>
  </r>
  <r>
    <x v="650"/>
    <s v="Tablet"/>
    <x v="2"/>
    <s v="S-105"/>
    <s v="Fresh Mart Logistics"/>
    <n v="178"/>
    <n v="129.06"/>
    <d v="2025-05-22T00:00:00"/>
    <d v="2025-06-19T00:00:00"/>
    <n v="25.65"/>
    <n v="22972.68"/>
  </r>
  <r>
    <x v="651"/>
    <s v="Laptop"/>
    <x v="2"/>
    <s v="S-101"/>
    <s v="Global Tech Corp"/>
    <n v="81"/>
    <n v="410.45"/>
    <d v="2025-04-19T00:00:00"/>
    <d v="2025-05-01T00:00:00"/>
    <n v="96.66"/>
    <n v="33246.449999999997"/>
  </r>
  <r>
    <x v="652"/>
    <s v="Tablet"/>
    <x v="2"/>
    <s v="S-102"/>
    <s v="Sunrise Industries"/>
    <n v="356"/>
    <n v="132.37"/>
    <d v="2025-04-15T00:00:00"/>
    <d v="2025-04-23T00:00:00"/>
    <n v="38.4"/>
    <n v="47123.72"/>
  </r>
  <r>
    <x v="653"/>
    <s v="Cap"/>
    <x v="1"/>
    <s v="S-104"/>
    <s v="Modern Home Supplies"/>
    <n v="153"/>
    <n v="347.02"/>
    <d v="2025-02-23T00:00:00"/>
    <d v="2025-03-07T00:00:00"/>
    <n v="83.56"/>
    <n v="53094.06"/>
  </r>
  <r>
    <x v="654"/>
    <s v="Laptop"/>
    <x v="2"/>
    <s v="S-102"/>
    <s v="Sunrise Industries"/>
    <n v="223"/>
    <n v="314.98"/>
    <d v="2025-02-13T00:00:00"/>
    <d v="2025-02-25T00:00:00"/>
    <n v="69.489999999999995"/>
    <n v="70240.540000000008"/>
  </r>
  <r>
    <x v="655"/>
    <s v="Headphones"/>
    <x v="2"/>
    <s v="S-105"/>
    <s v="Fresh Mart Logistics"/>
    <n v="143"/>
    <n v="256.25"/>
    <d v="2025-05-27T00:00:00"/>
    <d v="2025-06-18T00:00:00"/>
    <n v="63.56"/>
    <n v="36643.75"/>
  </r>
  <r>
    <x v="656"/>
    <s v="Marker"/>
    <x v="0"/>
    <s v="S-105"/>
    <s v="Fresh Mart Logistics"/>
    <n v="259"/>
    <n v="35.06"/>
    <d v="2025-02-14T00:00:00"/>
    <d v="2025-02-26T00:00:00"/>
    <n v="7.41"/>
    <n v="9080.5400000000009"/>
  </r>
  <r>
    <x v="657"/>
    <s v="Desk Lamp"/>
    <x v="4"/>
    <s v="S-102"/>
    <s v="Sunrise Industries"/>
    <n v="52"/>
    <n v="85.56"/>
    <d v="2025-01-16T00:00:00"/>
    <d v="2025-01-31T00:00:00"/>
    <n v="15.46"/>
    <n v="4449.12"/>
  </r>
  <r>
    <x v="658"/>
    <s v="Desk Lamp"/>
    <x v="4"/>
    <s v="S-104"/>
    <s v="Modern Home Supplies"/>
    <n v="153"/>
    <n v="112.4"/>
    <d v="2025-03-16T00:00:00"/>
    <d v="2025-03-19T00:00:00"/>
    <n v="15.35"/>
    <n v="17197.2"/>
  </r>
  <r>
    <x v="659"/>
    <s v="Pen Set"/>
    <x v="0"/>
    <s v="S-102"/>
    <s v="Sunrise Industries"/>
    <n v="426"/>
    <n v="322.38"/>
    <d v="2025-02-19T00:00:00"/>
    <d v="2025-03-07T00:00:00"/>
    <n v="48.66"/>
    <n v="137333.88"/>
  </r>
  <r>
    <x v="660"/>
    <s v="Desk Organizer"/>
    <x v="0"/>
    <s v="S-104"/>
    <s v="Modern Home Supplies"/>
    <n v="37"/>
    <n v="413.14"/>
    <d v="2025-05-22T00:00:00"/>
    <d v="2025-05-31T00:00:00"/>
    <n v="109.15"/>
    <n v="15286.18"/>
  </r>
  <r>
    <x v="661"/>
    <s v="Tablet"/>
    <x v="2"/>
    <s v="S-105"/>
    <s v="Fresh Mart Logistics"/>
    <n v="347"/>
    <n v="43.57"/>
    <d v="2025-02-11T00:00:00"/>
    <d v="2025-02-14T00:00:00"/>
    <n v="4.91"/>
    <n v="15118.79"/>
  </r>
  <r>
    <x v="662"/>
    <s v="Desk Lamp"/>
    <x v="4"/>
    <s v="S-103"/>
    <s v="Elite Paper Co"/>
    <n v="228"/>
    <n v="339.45"/>
    <d v="2025-06-13T00:00:00"/>
    <d v="2025-07-05T00:00:00"/>
    <n v="57.58"/>
    <n v="77394.599999999991"/>
  </r>
  <r>
    <x v="663"/>
    <s v="Bookshelf"/>
    <x v="4"/>
    <s v="S-102"/>
    <s v="Sunrise Industries"/>
    <n v="264"/>
    <n v="452.35"/>
    <d v="2025-01-08T00:00:00"/>
    <d v="2025-01-13T00:00:00"/>
    <n v="53"/>
    <n v="119420.40000000001"/>
  </r>
  <r>
    <x v="664"/>
    <s v="Headphones"/>
    <x v="2"/>
    <s v="S-102"/>
    <s v="Sunrise Industries"/>
    <n v="238"/>
    <n v="458"/>
    <d v="2025-01-11T00:00:00"/>
    <d v="2025-02-09T00:00:00"/>
    <n v="135.02000000000001"/>
    <n v="109004"/>
  </r>
  <r>
    <x v="665"/>
    <s v="Notebook"/>
    <x v="0"/>
    <s v="S-102"/>
    <s v="Sunrise Industries"/>
    <n v="315"/>
    <n v="166.61"/>
    <d v="2025-03-08T00:00:00"/>
    <d v="2025-04-06T00:00:00"/>
    <n v="48.49"/>
    <n v="52482.15"/>
  </r>
  <r>
    <x v="666"/>
    <s v="Organic Tea"/>
    <x v="3"/>
    <s v="S-101"/>
    <s v="Global Tech Corp"/>
    <n v="429"/>
    <n v="472.89"/>
    <d v="2025-05-17T00:00:00"/>
    <d v="2025-05-26T00:00:00"/>
    <n v="93.45"/>
    <n v="202869.81"/>
  </r>
  <r>
    <x v="667"/>
    <s v="Desk Organizer"/>
    <x v="0"/>
    <s v="S-101"/>
    <s v="Global Tech Corp"/>
    <n v="69"/>
    <n v="372.62"/>
    <d v="2025-01-18T00:00:00"/>
    <d v="2025-02-02T00:00:00"/>
    <n v="46.92"/>
    <n v="25710.78"/>
  </r>
  <r>
    <x v="668"/>
    <s v="Organic Tea"/>
    <x v="3"/>
    <s v="S-101"/>
    <s v="Global Tech Corp"/>
    <n v="137"/>
    <n v="407.6"/>
    <d v="2025-03-06T00:00:00"/>
    <d v="2025-03-27T00:00:00"/>
    <n v="90.89"/>
    <n v="55841.200000000004"/>
  </r>
  <r>
    <x v="669"/>
    <s v="Office Chair"/>
    <x v="4"/>
    <s v="S-105"/>
    <s v="Fresh Mart Logistics"/>
    <n v="375"/>
    <n v="437.33"/>
    <d v="2025-05-06T00:00:00"/>
    <d v="2025-05-20T00:00:00"/>
    <n v="87.91"/>
    <n v="163998.75"/>
  </r>
  <r>
    <x v="670"/>
    <s v="Organic Tea"/>
    <x v="3"/>
    <s v="S-102"/>
    <s v="Sunrise Industries"/>
    <n v="372"/>
    <n v="224.08"/>
    <d v="2025-05-19T00:00:00"/>
    <d v="2025-05-29T00:00:00"/>
    <n v="44.5"/>
    <n v="83357.760000000009"/>
  </r>
  <r>
    <x v="671"/>
    <s v="Office Chair"/>
    <x v="4"/>
    <s v="S-102"/>
    <s v="Sunrise Industries"/>
    <n v="453"/>
    <n v="194.76"/>
    <d v="2025-02-24T00:00:00"/>
    <d v="2025-02-25T00:00:00"/>
    <n v="42.96"/>
    <n v="88226.28"/>
  </r>
  <r>
    <x v="672"/>
    <s v="Coffee Beans"/>
    <x v="3"/>
    <s v="S-103"/>
    <s v="Elite Paper Co"/>
    <n v="440"/>
    <n v="257.33999999999997"/>
    <d v="2025-01-13T00:00:00"/>
    <d v="2025-01-17T00:00:00"/>
    <n v="45.03"/>
    <n v="113229.59999999999"/>
  </r>
  <r>
    <x v="673"/>
    <s v="Socks"/>
    <x v="1"/>
    <s v="S-101"/>
    <s v="Global Tech Corp"/>
    <n v="394"/>
    <n v="60.27"/>
    <d v="2025-01-07T00:00:00"/>
    <d v="2025-01-17T00:00:00"/>
    <n v="16.059999999999999"/>
    <n v="23746.38"/>
  </r>
  <r>
    <x v="674"/>
    <s v="Almonds"/>
    <x v="3"/>
    <s v="S-105"/>
    <s v="Fresh Mart Logistics"/>
    <n v="476"/>
    <n v="157.54"/>
    <d v="2025-02-22T00:00:00"/>
    <d v="2025-03-05T00:00:00"/>
    <n v="43.46"/>
    <n v="74989.039999999994"/>
  </r>
  <r>
    <x v="675"/>
    <s v="Stool"/>
    <x v="4"/>
    <s v="S-105"/>
    <s v="Fresh Mart Logistics"/>
    <n v="163"/>
    <n v="399.32"/>
    <d v="2025-01-25T00:00:00"/>
    <d v="2025-02-13T00:00:00"/>
    <n v="71.58"/>
    <n v="65089.159999999996"/>
  </r>
  <r>
    <x v="676"/>
    <s v="Desk Organizer"/>
    <x v="0"/>
    <s v="S-103"/>
    <s v="Elite Paper Co"/>
    <n v="135"/>
    <n v="352.4"/>
    <d v="2025-03-03T00:00:00"/>
    <d v="2025-03-12T00:00:00"/>
    <n v="101.8"/>
    <n v="47574"/>
  </r>
  <r>
    <x v="677"/>
    <s v="Socks"/>
    <x v="1"/>
    <s v="S-103"/>
    <s v="Elite Paper Co"/>
    <n v="481"/>
    <n v="191.05"/>
    <d v="2025-03-14T00:00:00"/>
    <d v="2025-03-15T00:00:00"/>
    <n v="28.5"/>
    <n v="91895.05"/>
  </r>
  <r>
    <x v="678"/>
    <s v="Office Chair"/>
    <x v="4"/>
    <s v="S-102"/>
    <s v="Sunrise Industries"/>
    <n v="257"/>
    <n v="449.13"/>
    <d v="2025-06-07T00:00:00"/>
    <d v="2025-06-30T00:00:00"/>
    <n v="122.02"/>
    <n v="115426.41"/>
  </r>
  <r>
    <x v="679"/>
    <s v="Stool"/>
    <x v="4"/>
    <s v="S-105"/>
    <s v="Fresh Mart Logistics"/>
    <n v="338"/>
    <n v="432.1"/>
    <d v="2025-05-03T00:00:00"/>
    <d v="2025-05-20T00:00:00"/>
    <n v="82.14"/>
    <n v="146049.80000000002"/>
  </r>
  <r>
    <x v="680"/>
    <s v="T-Shirt"/>
    <x v="1"/>
    <s v="S-101"/>
    <s v="Global Tech Corp"/>
    <n v="245"/>
    <n v="218.03"/>
    <d v="2025-06-25T00:00:00"/>
    <d v="2025-07-08T00:00:00"/>
    <n v="64.55"/>
    <n v="53417.35"/>
  </r>
  <r>
    <x v="681"/>
    <s v="Organic Tea"/>
    <x v="3"/>
    <s v="S-105"/>
    <s v="Fresh Mart Logistics"/>
    <n v="92"/>
    <n v="398.9"/>
    <d v="2025-02-12T00:00:00"/>
    <d v="2025-03-11T00:00:00"/>
    <n v="112.73"/>
    <n v="36698.799999999996"/>
  </r>
  <r>
    <x v="682"/>
    <s v="Desk Lamp"/>
    <x v="4"/>
    <s v="S-105"/>
    <s v="Fresh Mart Logistics"/>
    <n v="307"/>
    <n v="290.3"/>
    <d v="2025-06-30T00:00:00"/>
    <d v="2025-07-30T00:00:00"/>
    <n v="30.73"/>
    <n v="89122.1"/>
  </r>
  <r>
    <x v="683"/>
    <s v="Coffee Beans"/>
    <x v="3"/>
    <s v="S-103"/>
    <s v="Elite Paper Co"/>
    <n v="12"/>
    <n v="420.08"/>
    <d v="2025-01-25T00:00:00"/>
    <d v="2025-02-11T00:00:00"/>
    <n v="48.66"/>
    <n v="5040.96"/>
  </r>
  <r>
    <x v="684"/>
    <s v="Almonds"/>
    <x v="3"/>
    <s v="S-102"/>
    <s v="Sunrise Industries"/>
    <n v="389"/>
    <n v="5.63"/>
    <d v="2025-02-17T00:00:00"/>
    <d v="2025-02-20T00:00:00"/>
    <n v="1.58"/>
    <n v="2190.0700000000002"/>
  </r>
  <r>
    <x v="685"/>
    <s v="Cap"/>
    <x v="1"/>
    <s v="S-103"/>
    <s v="Elite Paper Co"/>
    <n v="185"/>
    <n v="161.61000000000001"/>
    <d v="2025-03-07T00:00:00"/>
    <d v="2025-03-26T00:00:00"/>
    <n v="18.97"/>
    <n v="29897.850000000002"/>
  </r>
  <r>
    <x v="686"/>
    <s v="Desk Lamp"/>
    <x v="4"/>
    <s v="S-105"/>
    <s v="Fresh Mart Logistics"/>
    <n v="162"/>
    <n v="493.55"/>
    <d v="2025-04-28T00:00:00"/>
    <d v="2025-05-04T00:00:00"/>
    <n v="82.83"/>
    <n v="79955.100000000006"/>
  </r>
  <r>
    <x v="687"/>
    <s v="Desk Lamp"/>
    <x v="4"/>
    <s v="S-105"/>
    <s v="Fresh Mart Logistics"/>
    <n v="236"/>
    <n v="104.77"/>
    <d v="2025-03-27T00:00:00"/>
    <d v="2025-04-05T00:00:00"/>
    <n v="15.7"/>
    <n v="24725.719999999998"/>
  </r>
  <r>
    <x v="688"/>
    <s v="Desk Lamp"/>
    <x v="4"/>
    <s v="S-101"/>
    <s v="Global Tech Corp"/>
    <n v="128"/>
    <n v="121.61"/>
    <d v="2025-05-07T00:00:00"/>
    <d v="2025-05-10T00:00:00"/>
    <n v="26.49"/>
    <n v="15566.08"/>
  </r>
  <r>
    <x v="689"/>
    <s v="Desk Lamp"/>
    <x v="4"/>
    <s v="S-105"/>
    <s v="Fresh Mart Logistics"/>
    <n v="264"/>
    <n v="209.61"/>
    <d v="2025-05-17T00:00:00"/>
    <d v="2025-06-13T00:00:00"/>
    <n v="55.1"/>
    <n v="55337.04"/>
  </r>
  <r>
    <x v="690"/>
    <s v="Office Chair"/>
    <x v="4"/>
    <s v="S-103"/>
    <s v="Elite Paper Co"/>
    <n v="30"/>
    <n v="125.93"/>
    <d v="2025-02-05T00:00:00"/>
    <d v="2025-02-11T00:00:00"/>
    <n v="18.23"/>
    <n v="3777.9"/>
  </r>
  <r>
    <x v="691"/>
    <s v="Cap"/>
    <x v="1"/>
    <s v="S-104"/>
    <s v="Modern Home Supplies"/>
    <n v="133"/>
    <n v="112.95"/>
    <d v="2025-03-04T00:00:00"/>
    <d v="2025-03-05T00:00:00"/>
    <n v="23.66"/>
    <n v="15022.35"/>
  </r>
  <r>
    <x v="692"/>
    <s v="Desk Lamp"/>
    <x v="4"/>
    <s v="S-102"/>
    <s v="Sunrise Industries"/>
    <n v="336"/>
    <n v="407.73"/>
    <d v="2025-03-30T00:00:00"/>
    <d v="2025-04-08T00:00:00"/>
    <n v="90.24"/>
    <n v="136997.28"/>
  </r>
  <r>
    <x v="693"/>
    <s v="Cap"/>
    <x v="1"/>
    <s v="S-102"/>
    <s v="Sunrise Industries"/>
    <n v="226"/>
    <n v="157.85"/>
    <d v="2025-01-21T00:00:00"/>
    <d v="2025-02-18T00:00:00"/>
    <n v="26.62"/>
    <n v="35674.1"/>
  </r>
  <r>
    <x v="694"/>
    <s v="Coffee Beans"/>
    <x v="3"/>
    <s v="S-105"/>
    <s v="Fresh Mart Logistics"/>
    <n v="251"/>
    <n v="436.77"/>
    <d v="2025-01-24T00:00:00"/>
    <d v="2025-02-01T00:00:00"/>
    <n v="69.12"/>
    <n v="109629.26999999999"/>
  </r>
  <r>
    <x v="695"/>
    <s v="Pen Set"/>
    <x v="0"/>
    <s v="S-101"/>
    <s v="Global Tech Corp"/>
    <n v="287"/>
    <n v="236.16"/>
    <d v="2025-01-12T00:00:00"/>
    <d v="2025-01-16T00:00:00"/>
    <n v="52.57"/>
    <n v="67777.919999999998"/>
  </r>
  <r>
    <x v="696"/>
    <s v="Smartphone"/>
    <x v="2"/>
    <s v="S-104"/>
    <s v="Modern Home Supplies"/>
    <n v="412"/>
    <n v="280.67"/>
    <d v="2025-05-14T00:00:00"/>
    <d v="2025-06-06T00:00:00"/>
    <n v="50.5"/>
    <n v="115636.04000000001"/>
  </r>
  <r>
    <x v="697"/>
    <s v="Desk Lamp"/>
    <x v="4"/>
    <s v="S-105"/>
    <s v="Fresh Mart Logistics"/>
    <n v="386"/>
    <n v="438.99"/>
    <d v="2025-06-15T00:00:00"/>
    <d v="2025-07-04T00:00:00"/>
    <n v="113.54"/>
    <n v="169450.14"/>
  </r>
  <r>
    <x v="698"/>
    <s v="Pen Set"/>
    <x v="0"/>
    <s v="S-103"/>
    <s v="Elite Paper Co"/>
    <n v="297"/>
    <n v="448.78"/>
    <d v="2025-03-16T00:00:00"/>
    <d v="2025-03-22T00:00:00"/>
    <n v="115.38"/>
    <n v="133287.66"/>
  </r>
  <r>
    <x v="699"/>
    <s v="Smartphone"/>
    <x v="2"/>
    <s v="S-102"/>
    <s v="Sunrise Industries"/>
    <n v="166"/>
    <n v="446.91"/>
    <d v="2025-05-01T00:00:00"/>
    <d v="2025-05-04T00:00:00"/>
    <n v="48.83"/>
    <n v="74187.06"/>
  </r>
  <r>
    <x v="700"/>
    <s v="T-Shirt"/>
    <x v="1"/>
    <s v="S-105"/>
    <s v="Fresh Mart Logistics"/>
    <n v="83"/>
    <n v="365.95"/>
    <d v="2025-01-26T00:00:00"/>
    <d v="2025-02-09T00:00:00"/>
    <n v="46"/>
    <n v="30373.85"/>
  </r>
  <r>
    <x v="701"/>
    <s v="Hoodie"/>
    <x v="1"/>
    <s v="S-101"/>
    <s v="Global Tech Corp"/>
    <n v="478"/>
    <n v="207.93"/>
    <d v="2025-05-01T00:00:00"/>
    <d v="2025-05-16T00:00:00"/>
    <n v="31.32"/>
    <n v="99390.540000000008"/>
  </r>
  <r>
    <x v="702"/>
    <s v="Almonds"/>
    <x v="3"/>
    <s v="S-102"/>
    <s v="Sunrise Industries"/>
    <n v="185"/>
    <n v="60.32"/>
    <d v="2025-06-17T00:00:00"/>
    <d v="2025-06-25T00:00:00"/>
    <n v="15.74"/>
    <n v="11159.2"/>
  </r>
  <r>
    <x v="703"/>
    <s v="T-Shirt"/>
    <x v="1"/>
    <s v="S-104"/>
    <s v="Modern Home Supplies"/>
    <n v="284"/>
    <n v="416.67"/>
    <d v="2025-05-12T00:00:00"/>
    <d v="2025-05-22T00:00:00"/>
    <n v="46.96"/>
    <n v="118334.28"/>
  </r>
  <r>
    <x v="704"/>
    <s v="Marker"/>
    <x v="0"/>
    <s v="S-104"/>
    <s v="Modern Home Supplies"/>
    <n v="116"/>
    <n v="105.37"/>
    <d v="2025-06-29T00:00:00"/>
    <d v="2025-07-12T00:00:00"/>
    <n v="29.24"/>
    <n v="12222.92"/>
  </r>
  <r>
    <x v="705"/>
    <s v="Bookshelf"/>
    <x v="4"/>
    <s v="S-101"/>
    <s v="Global Tech Corp"/>
    <n v="323"/>
    <n v="64.45"/>
    <d v="2025-02-05T00:00:00"/>
    <d v="2025-03-01T00:00:00"/>
    <n v="12.23"/>
    <n v="20817.350000000002"/>
  </r>
  <r>
    <x v="706"/>
    <s v="Pen Set"/>
    <x v="0"/>
    <s v="S-101"/>
    <s v="Global Tech Corp"/>
    <n v="236"/>
    <n v="225.1"/>
    <d v="2025-03-15T00:00:00"/>
    <d v="2025-03-25T00:00:00"/>
    <n v="29.54"/>
    <n v="53123.6"/>
  </r>
  <r>
    <x v="707"/>
    <s v="Stool"/>
    <x v="4"/>
    <s v="S-102"/>
    <s v="Sunrise Industries"/>
    <n v="60"/>
    <n v="91.38"/>
    <d v="2025-03-11T00:00:00"/>
    <d v="2025-04-03T00:00:00"/>
    <n v="12.16"/>
    <n v="5482.7999999999993"/>
  </r>
  <r>
    <x v="708"/>
    <s v="Organic Tea"/>
    <x v="3"/>
    <s v="S-102"/>
    <s v="Sunrise Industries"/>
    <n v="240"/>
    <n v="413.2"/>
    <d v="2025-01-22T00:00:00"/>
    <d v="2025-01-29T00:00:00"/>
    <n v="104.17"/>
    <n v="99168"/>
  </r>
  <r>
    <x v="709"/>
    <s v="Office Chair"/>
    <x v="4"/>
    <s v="S-101"/>
    <s v="Global Tech Corp"/>
    <n v="375"/>
    <n v="318.57"/>
    <d v="2025-01-29T00:00:00"/>
    <d v="2025-02-05T00:00:00"/>
    <n v="62.99"/>
    <n v="119463.75"/>
  </r>
  <r>
    <x v="710"/>
    <s v="Marker"/>
    <x v="0"/>
    <s v="S-102"/>
    <s v="Sunrise Industries"/>
    <n v="434"/>
    <n v="351.72"/>
    <d v="2025-02-23T00:00:00"/>
    <d v="2025-03-10T00:00:00"/>
    <n v="67.25"/>
    <n v="152646.48000000001"/>
  </r>
  <r>
    <x v="711"/>
    <s v="Pen Set"/>
    <x v="0"/>
    <s v="S-101"/>
    <s v="Global Tech Corp"/>
    <n v="401"/>
    <n v="458.36"/>
    <d v="2025-02-03T00:00:00"/>
    <d v="2025-02-14T00:00:00"/>
    <n v="90.66"/>
    <n v="183802.36000000002"/>
  </r>
  <r>
    <x v="712"/>
    <s v="Dark Chocolate"/>
    <x v="3"/>
    <s v="S-104"/>
    <s v="Modern Home Supplies"/>
    <n v="132"/>
    <n v="314.86"/>
    <d v="2025-01-04T00:00:00"/>
    <d v="2025-01-11T00:00:00"/>
    <n v="59.95"/>
    <n v="41561.520000000004"/>
  </r>
  <r>
    <x v="713"/>
    <s v="Socks"/>
    <x v="1"/>
    <s v="S-101"/>
    <s v="Global Tech Corp"/>
    <n v="380"/>
    <n v="442.21"/>
    <d v="2025-06-22T00:00:00"/>
    <d v="2025-07-19T00:00:00"/>
    <n v="115.66"/>
    <n v="168039.8"/>
  </r>
  <r>
    <x v="714"/>
    <s v="Notebook"/>
    <x v="0"/>
    <s v="S-105"/>
    <s v="Fresh Mart Logistics"/>
    <n v="347"/>
    <n v="186.59"/>
    <d v="2025-02-19T00:00:00"/>
    <d v="2025-03-08T00:00:00"/>
    <n v="44.96"/>
    <n v="64746.73"/>
  </r>
  <r>
    <x v="715"/>
    <s v="Socks"/>
    <x v="1"/>
    <s v="S-103"/>
    <s v="Elite Paper Co"/>
    <n v="199"/>
    <n v="297.14"/>
    <d v="2025-02-18T00:00:00"/>
    <d v="2025-02-25T00:00:00"/>
    <n v="54.87"/>
    <n v="59130.86"/>
  </r>
  <r>
    <x v="716"/>
    <s v="Desk Organizer"/>
    <x v="0"/>
    <s v="S-104"/>
    <s v="Modern Home Supplies"/>
    <n v="428"/>
    <n v="240.15"/>
    <d v="2025-06-18T00:00:00"/>
    <d v="2025-07-17T00:00:00"/>
    <n v="53.44"/>
    <n v="102784.2"/>
  </r>
  <r>
    <x v="717"/>
    <s v="Tablet"/>
    <x v="2"/>
    <s v="S-104"/>
    <s v="Modern Home Supplies"/>
    <n v="294"/>
    <n v="269.91000000000003"/>
    <d v="2025-06-06T00:00:00"/>
    <d v="2025-06-17T00:00:00"/>
    <n v="29.21"/>
    <n v="79353.540000000008"/>
  </r>
  <r>
    <x v="718"/>
    <s v="Hoodie"/>
    <x v="1"/>
    <s v="S-101"/>
    <s v="Global Tech Corp"/>
    <n v="299"/>
    <n v="72.39"/>
    <d v="2025-06-16T00:00:00"/>
    <d v="2025-07-07T00:00:00"/>
    <n v="17"/>
    <n v="21644.61"/>
  </r>
  <r>
    <x v="719"/>
    <s v="Marker"/>
    <x v="0"/>
    <s v="S-105"/>
    <s v="Fresh Mart Logistics"/>
    <n v="149"/>
    <n v="182.18"/>
    <d v="2025-04-17T00:00:00"/>
    <d v="2025-05-09T00:00:00"/>
    <n v="45.55"/>
    <n v="27144.82"/>
  </r>
  <r>
    <x v="720"/>
    <s v="Stool"/>
    <x v="4"/>
    <s v="S-102"/>
    <s v="Sunrise Industries"/>
    <n v="204"/>
    <n v="228.39"/>
    <d v="2025-01-18T00:00:00"/>
    <d v="2025-01-31T00:00:00"/>
    <n v="29.82"/>
    <n v="46591.56"/>
  </r>
  <r>
    <x v="721"/>
    <s v="Desk Organizer"/>
    <x v="0"/>
    <s v="S-103"/>
    <s v="Elite Paper Co"/>
    <n v="104"/>
    <n v="241.89"/>
    <d v="2025-03-03T00:00:00"/>
    <d v="2025-03-27T00:00:00"/>
    <n v="64.77"/>
    <n v="25156.559999999998"/>
  </r>
  <r>
    <x v="722"/>
    <s v="Marker"/>
    <x v="0"/>
    <s v="S-101"/>
    <s v="Global Tech Corp"/>
    <n v="311"/>
    <n v="125.86"/>
    <d v="2025-01-17T00:00:00"/>
    <d v="2025-02-16T00:00:00"/>
    <n v="27.27"/>
    <n v="39142.46"/>
  </r>
  <r>
    <x v="723"/>
    <s v="Cap"/>
    <x v="1"/>
    <s v="S-101"/>
    <s v="Global Tech Corp"/>
    <n v="497"/>
    <n v="265.02"/>
    <d v="2025-02-01T00:00:00"/>
    <d v="2025-02-14T00:00:00"/>
    <n v="69.7"/>
    <n v="131714.94"/>
  </r>
  <r>
    <x v="724"/>
    <s v="Smartphone"/>
    <x v="2"/>
    <s v="S-101"/>
    <s v="Global Tech Corp"/>
    <n v="429"/>
    <n v="109.36"/>
    <d v="2025-06-02T00:00:00"/>
    <d v="2025-06-05T00:00:00"/>
    <n v="13.47"/>
    <n v="46915.44"/>
  </r>
  <r>
    <x v="725"/>
    <s v="Marker"/>
    <x v="0"/>
    <s v="S-104"/>
    <s v="Modern Home Supplies"/>
    <n v="330"/>
    <n v="143.36000000000001"/>
    <d v="2025-05-22T00:00:00"/>
    <d v="2025-05-25T00:00:00"/>
    <n v="38.31"/>
    <n v="47308.800000000003"/>
  </r>
  <r>
    <x v="726"/>
    <s v="Headphones"/>
    <x v="2"/>
    <s v="S-105"/>
    <s v="Fresh Mart Logistics"/>
    <n v="214"/>
    <n v="315.26"/>
    <d v="2025-06-26T00:00:00"/>
    <d v="2025-07-14T00:00:00"/>
    <n v="44.99"/>
    <n v="67465.64"/>
  </r>
  <r>
    <x v="727"/>
    <s v="Marker"/>
    <x v="0"/>
    <s v="S-101"/>
    <s v="Global Tech Corp"/>
    <n v="330"/>
    <n v="118.2"/>
    <d v="2025-03-20T00:00:00"/>
    <d v="2025-04-13T00:00:00"/>
    <n v="25.28"/>
    <n v="39006"/>
  </r>
  <r>
    <x v="728"/>
    <s v="Smartphone"/>
    <x v="2"/>
    <s v="S-102"/>
    <s v="Sunrise Industries"/>
    <n v="371"/>
    <n v="204.88"/>
    <d v="2025-06-11T00:00:00"/>
    <d v="2025-06-30T00:00:00"/>
    <n v="24.98"/>
    <n v="76010.48"/>
  </r>
  <r>
    <x v="729"/>
    <s v="Stool"/>
    <x v="4"/>
    <s v="S-102"/>
    <s v="Sunrise Industries"/>
    <n v="345"/>
    <n v="491.76"/>
    <d v="2025-01-09T00:00:00"/>
    <d v="2025-02-03T00:00:00"/>
    <n v="116.32"/>
    <n v="169657.19999999998"/>
  </r>
  <r>
    <x v="730"/>
    <s v="Smartphone"/>
    <x v="2"/>
    <s v="S-103"/>
    <s v="Elite Paper Co"/>
    <n v="67"/>
    <n v="35.96"/>
    <d v="2025-02-04T00:00:00"/>
    <d v="2025-02-24T00:00:00"/>
    <n v="3.69"/>
    <n v="2409.3200000000002"/>
  </r>
  <r>
    <x v="731"/>
    <s v="Almonds"/>
    <x v="3"/>
    <s v="S-102"/>
    <s v="Sunrise Industries"/>
    <n v="444"/>
    <n v="112.7"/>
    <d v="2025-02-12T00:00:00"/>
    <d v="2025-03-10T00:00:00"/>
    <n v="18.57"/>
    <n v="50038.8"/>
  </r>
  <r>
    <x v="732"/>
    <s v="Coffee Beans"/>
    <x v="3"/>
    <s v="S-101"/>
    <s v="Global Tech Corp"/>
    <n v="166"/>
    <n v="153.68"/>
    <d v="2025-02-19T00:00:00"/>
    <d v="2025-02-23T00:00:00"/>
    <n v="41.66"/>
    <n v="25510.880000000001"/>
  </r>
  <r>
    <x v="733"/>
    <s v="Organic Tea"/>
    <x v="3"/>
    <s v="S-104"/>
    <s v="Modern Home Supplies"/>
    <n v="463"/>
    <n v="102.02"/>
    <d v="2025-05-29T00:00:00"/>
    <d v="2025-06-08T00:00:00"/>
    <n v="24.07"/>
    <n v="47235.259999999995"/>
  </r>
  <r>
    <x v="734"/>
    <s v="Notebook"/>
    <x v="0"/>
    <s v="S-104"/>
    <s v="Modern Home Supplies"/>
    <n v="354"/>
    <n v="54.14"/>
    <d v="2025-05-17T00:00:00"/>
    <d v="2025-06-10T00:00:00"/>
    <n v="5.44"/>
    <n v="19165.560000000001"/>
  </r>
  <r>
    <x v="735"/>
    <s v="Laptop"/>
    <x v="2"/>
    <s v="S-105"/>
    <s v="Fresh Mart Logistics"/>
    <n v="371"/>
    <n v="402.44"/>
    <d v="2025-02-20T00:00:00"/>
    <d v="2025-03-16T00:00:00"/>
    <n v="104.68"/>
    <n v="149305.24"/>
  </r>
  <r>
    <x v="736"/>
    <s v="Laptop"/>
    <x v="2"/>
    <s v="S-105"/>
    <s v="Fresh Mart Logistics"/>
    <n v="300"/>
    <n v="221.06"/>
    <d v="2025-04-30T00:00:00"/>
    <d v="2025-05-01T00:00:00"/>
    <n v="43.36"/>
    <n v="66318"/>
  </r>
  <r>
    <x v="737"/>
    <s v="Coffee Beans"/>
    <x v="3"/>
    <s v="S-102"/>
    <s v="Sunrise Industries"/>
    <n v="441"/>
    <n v="25.14"/>
    <d v="2025-06-29T00:00:00"/>
    <d v="2025-07-09T00:00:00"/>
    <n v="5.14"/>
    <n v="11086.74"/>
  </r>
  <r>
    <x v="738"/>
    <s v="Desk Lamp"/>
    <x v="4"/>
    <s v="S-105"/>
    <s v="Fresh Mart Logistics"/>
    <n v="77"/>
    <n v="73.92"/>
    <d v="2025-02-06T00:00:00"/>
    <d v="2025-02-24T00:00:00"/>
    <n v="20.87"/>
    <n v="5691.84"/>
  </r>
  <r>
    <x v="739"/>
    <s v="Almonds"/>
    <x v="3"/>
    <s v="S-101"/>
    <s v="Global Tech Corp"/>
    <n v="19"/>
    <n v="295.26"/>
    <d v="2025-06-26T00:00:00"/>
    <d v="2025-07-20T00:00:00"/>
    <n v="57.98"/>
    <n v="5609.94"/>
  </r>
  <r>
    <x v="740"/>
    <s v="Headphones"/>
    <x v="2"/>
    <s v="S-101"/>
    <s v="Global Tech Corp"/>
    <n v="380"/>
    <n v="254.47"/>
    <d v="2025-01-28T00:00:00"/>
    <d v="2025-02-12T00:00:00"/>
    <n v="72.87"/>
    <n v="96698.6"/>
  </r>
  <r>
    <x v="741"/>
    <s v="Desk Organizer"/>
    <x v="0"/>
    <s v="S-102"/>
    <s v="Sunrise Industries"/>
    <n v="437"/>
    <n v="81.03"/>
    <d v="2025-01-28T00:00:00"/>
    <d v="2025-01-30T00:00:00"/>
    <n v="14.12"/>
    <n v="35410.11"/>
  </r>
  <r>
    <x v="742"/>
    <s v="Office Chair"/>
    <x v="4"/>
    <s v="S-102"/>
    <s v="Sunrise Industries"/>
    <n v="140"/>
    <n v="286.58"/>
    <d v="2025-02-08T00:00:00"/>
    <d v="2025-02-23T00:00:00"/>
    <n v="71.45"/>
    <n v="40121.199999999997"/>
  </r>
  <r>
    <x v="743"/>
    <s v="Cap"/>
    <x v="1"/>
    <s v="S-105"/>
    <s v="Fresh Mart Logistics"/>
    <n v="148"/>
    <n v="413.06"/>
    <d v="2025-04-25T00:00:00"/>
    <d v="2025-05-06T00:00:00"/>
    <n v="120.36"/>
    <n v="61132.88"/>
  </r>
  <r>
    <x v="744"/>
    <s v="Organic Tea"/>
    <x v="3"/>
    <s v="S-103"/>
    <s v="Elite Paper Co"/>
    <n v="314"/>
    <n v="467.9"/>
    <d v="2025-01-21T00:00:00"/>
    <d v="2025-02-14T00:00:00"/>
    <n v="105.69"/>
    <n v="146920.6"/>
  </r>
  <r>
    <x v="745"/>
    <s v="Laptop"/>
    <x v="2"/>
    <s v="S-101"/>
    <s v="Global Tech Corp"/>
    <n v="294"/>
    <n v="52.8"/>
    <d v="2025-06-23T00:00:00"/>
    <d v="2025-06-27T00:00:00"/>
    <n v="14.62"/>
    <n v="15523.199999999999"/>
  </r>
  <r>
    <x v="746"/>
    <s v="Organic Tea"/>
    <x v="3"/>
    <s v="S-103"/>
    <s v="Elite Paper Co"/>
    <n v="298"/>
    <n v="53.61"/>
    <d v="2025-04-14T00:00:00"/>
    <d v="2025-04-27T00:00:00"/>
    <n v="9.35"/>
    <n v="15975.78"/>
  </r>
  <r>
    <x v="747"/>
    <s v="Laptop"/>
    <x v="2"/>
    <s v="S-102"/>
    <s v="Sunrise Industries"/>
    <n v="218"/>
    <n v="405.35"/>
    <d v="2025-02-05T00:00:00"/>
    <d v="2025-02-18T00:00:00"/>
    <n v="118.62"/>
    <n v="88366.3"/>
  </r>
  <r>
    <x v="748"/>
    <s v="Cap"/>
    <x v="1"/>
    <s v="S-103"/>
    <s v="Elite Paper Co"/>
    <n v="232"/>
    <n v="165.9"/>
    <d v="2025-03-12T00:00:00"/>
    <d v="2025-03-20T00:00:00"/>
    <n v="30.3"/>
    <n v="38488.800000000003"/>
  </r>
  <r>
    <x v="749"/>
    <s v="Socks"/>
    <x v="1"/>
    <s v="S-102"/>
    <s v="Sunrise Industries"/>
    <n v="178"/>
    <n v="367.46"/>
    <d v="2025-05-27T00:00:00"/>
    <d v="2025-06-07T00:00:00"/>
    <n v="48.92"/>
    <n v="65407.88"/>
  </r>
  <r>
    <x v="750"/>
    <s v="Bookshelf"/>
    <x v="4"/>
    <s v="S-104"/>
    <s v="Modern Home Supplies"/>
    <n v="375"/>
    <n v="82.93"/>
    <d v="2025-05-09T00:00:00"/>
    <d v="2025-05-18T00:00:00"/>
    <n v="12.35"/>
    <n v="31098.750000000004"/>
  </r>
  <r>
    <x v="751"/>
    <s v="Tablet"/>
    <x v="2"/>
    <s v="S-104"/>
    <s v="Modern Home Supplies"/>
    <n v="382"/>
    <n v="185.11"/>
    <d v="2025-04-25T00:00:00"/>
    <d v="2025-05-04T00:00:00"/>
    <n v="47.67"/>
    <n v="70712.02"/>
  </r>
  <r>
    <x v="752"/>
    <s v="Coffee Beans"/>
    <x v="3"/>
    <s v="S-104"/>
    <s v="Modern Home Supplies"/>
    <n v="126"/>
    <n v="152.96"/>
    <d v="2025-06-25T00:00:00"/>
    <d v="2025-07-06T00:00:00"/>
    <n v="41.88"/>
    <n v="19272.960000000003"/>
  </r>
  <r>
    <x v="753"/>
    <s v="Desk Lamp"/>
    <x v="4"/>
    <s v="S-105"/>
    <s v="Fresh Mart Logistics"/>
    <n v="34"/>
    <n v="342.6"/>
    <d v="2025-06-15T00:00:00"/>
    <d v="2025-06-26T00:00:00"/>
    <n v="54.09"/>
    <n v="11648.400000000001"/>
  </r>
  <r>
    <x v="754"/>
    <s v="Dark Chocolate"/>
    <x v="3"/>
    <s v="S-102"/>
    <s v="Sunrise Industries"/>
    <n v="230"/>
    <n v="383.7"/>
    <d v="2025-05-03T00:00:00"/>
    <d v="2025-05-27T00:00:00"/>
    <n v="47.56"/>
    <n v="88251"/>
  </r>
  <r>
    <x v="755"/>
    <s v="Desk Lamp"/>
    <x v="4"/>
    <s v="S-104"/>
    <s v="Modern Home Supplies"/>
    <n v="39"/>
    <n v="185.49"/>
    <d v="2025-01-03T00:00:00"/>
    <d v="2025-01-12T00:00:00"/>
    <n v="27.4"/>
    <n v="7234.1100000000006"/>
  </r>
  <r>
    <x v="756"/>
    <s v="T-Shirt"/>
    <x v="1"/>
    <s v="S-101"/>
    <s v="Global Tech Corp"/>
    <n v="352"/>
    <n v="217.85"/>
    <d v="2025-02-22T00:00:00"/>
    <d v="2025-03-15T00:00:00"/>
    <n v="22.37"/>
    <n v="76683.199999999997"/>
  </r>
  <r>
    <x v="757"/>
    <s v="Cap"/>
    <x v="1"/>
    <s v="S-104"/>
    <s v="Modern Home Supplies"/>
    <n v="301"/>
    <n v="122.58"/>
    <d v="2025-03-16T00:00:00"/>
    <d v="2025-04-14T00:00:00"/>
    <n v="21.88"/>
    <n v="36896.58"/>
  </r>
  <r>
    <x v="758"/>
    <s v="Hoodie"/>
    <x v="1"/>
    <s v="S-105"/>
    <s v="Fresh Mart Logistics"/>
    <n v="381"/>
    <n v="134.32"/>
    <d v="2025-02-14T00:00:00"/>
    <d v="2025-02-27T00:00:00"/>
    <n v="29.08"/>
    <n v="51175.92"/>
  </r>
  <r>
    <x v="759"/>
    <s v="Hoodie"/>
    <x v="1"/>
    <s v="S-103"/>
    <s v="Elite Paper Co"/>
    <n v="68"/>
    <n v="141.53"/>
    <d v="2025-05-29T00:00:00"/>
    <d v="2025-06-07T00:00:00"/>
    <n v="27.7"/>
    <n v="9624.0400000000009"/>
  </r>
  <r>
    <x v="760"/>
    <s v="Coffee Beans"/>
    <x v="3"/>
    <s v="S-101"/>
    <s v="Global Tech Corp"/>
    <n v="469"/>
    <n v="422.55"/>
    <d v="2025-01-31T00:00:00"/>
    <d v="2025-02-28T00:00:00"/>
    <n v="93.39"/>
    <n v="198175.95"/>
  </r>
  <r>
    <x v="761"/>
    <s v="Notebook"/>
    <x v="0"/>
    <s v="S-101"/>
    <s v="Global Tech Corp"/>
    <n v="101"/>
    <n v="130.31"/>
    <d v="2025-06-07T00:00:00"/>
    <d v="2025-06-20T00:00:00"/>
    <n v="14.06"/>
    <n v="13161.31"/>
  </r>
  <r>
    <x v="762"/>
    <s v="Laptop"/>
    <x v="2"/>
    <s v="S-105"/>
    <s v="Fresh Mart Logistics"/>
    <n v="409"/>
    <n v="86.87"/>
    <d v="2025-04-03T00:00:00"/>
    <d v="2025-04-05T00:00:00"/>
    <n v="14.12"/>
    <n v="35529.83"/>
  </r>
  <r>
    <x v="763"/>
    <s v="Tablet"/>
    <x v="2"/>
    <s v="S-101"/>
    <s v="Global Tech Corp"/>
    <n v="479"/>
    <n v="56.48"/>
    <d v="2025-05-03T00:00:00"/>
    <d v="2025-05-18T00:00:00"/>
    <n v="13.53"/>
    <n v="27053.919999999998"/>
  </r>
  <r>
    <x v="764"/>
    <s v="T-Shirt"/>
    <x v="1"/>
    <s v="S-101"/>
    <s v="Global Tech Corp"/>
    <n v="236"/>
    <n v="122.69"/>
    <d v="2025-03-12T00:00:00"/>
    <d v="2025-04-09T00:00:00"/>
    <n v="34.9"/>
    <n v="28954.84"/>
  </r>
  <r>
    <x v="765"/>
    <s v="Notebook"/>
    <x v="0"/>
    <s v="S-105"/>
    <s v="Fresh Mart Logistics"/>
    <n v="402"/>
    <n v="60.41"/>
    <d v="2025-06-23T00:00:00"/>
    <d v="2025-07-11T00:00:00"/>
    <n v="10.53"/>
    <n v="24284.82"/>
  </r>
  <r>
    <x v="766"/>
    <s v="Smartphone"/>
    <x v="2"/>
    <s v="S-104"/>
    <s v="Modern Home Supplies"/>
    <n v="186"/>
    <n v="459.37"/>
    <d v="2025-03-06T00:00:00"/>
    <d v="2025-03-26T00:00:00"/>
    <n v="64.66"/>
    <n v="85442.82"/>
  </r>
  <r>
    <x v="767"/>
    <s v="Almonds"/>
    <x v="3"/>
    <s v="S-101"/>
    <s v="Global Tech Corp"/>
    <n v="105"/>
    <n v="343.51"/>
    <d v="2025-03-30T00:00:00"/>
    <d v="2025-04-12T00:00:00"/>
    <n v="56.25"/>
    <n v="36068.549999999996"/>
  </r>
  <r>
    <x v="768"/>
    <s v="Dark Chocolate"/>
    <x v="3"/>
    <s v="S-101"/>
    <s v="Global Tech Corp"/>
    <n v="446"/>
    <n v="254.26"/>
    <d v="2025-05-24T00:00:00"/>
    <d v="2025-05-29T00:00:00"/>
    <n v="30"/>
    <n v="113399.95999999999"/>
  </r>
  <r>
    <x v="769"/>
    <s v="Almonds"/>
    <x v="3"/>
    <s v="S-102"/>
    <s v="Sunrise Industries"/>
    <n v="164"/>
    <n v="207.58"/>
    <d v="2025-04-30T00:00:00"/>
    <d v="2025-05-11T00:00:00"/>
    <n v="47.4"/>
    <n v="34043.120000000003"/>
  </r>
  <r>
    <x v="770"/>
    <s v="Bookshelf"/>
    <x v="4"/>
    <s v="S-105"/>
    <s v="Fresh Mart Logistics"/>
    <n v="229"/>
    <n v="363.21"/>
    <d v="2025-06-07T00:00:00"/>
    <d v="2025-06-14T00:00:00"/>
    <n v="61.75"/>
    <n v="83175.09"/>
  </r>
  <r>
    <x v="771"/>
    <s v="Coffee Beans"/>
    <x v="3"/>
    <s v="S-103"/>
    <s v="Elite Paper Co"/>
    <n v="194"/>
    <n v="169.11"/>
    <d v="2025-01-20T00:00:00"/>
    <d v="2025-02-10T00:00:00"/>
    <n v="44.72"/>
    <n v="32807.340000000004"/>
  </r>
  <r>
    <x v="772"/>
    <s v="Pen Set"/>
    <x v="0"/>
    <s v="S-101"/>
    <s v="Global Tech Corp"/>
    <n v="72"/>
    <n v="389.17"/>
    <d v="2025-03-08T00:00:00"/>
    <d v="2025-03-28T00:00:00"/>
    <n v="80.83"/>
    <n v="28020.240000000002"/>
  </r>
  <r>
    <x v="773"/>
    <s v="Stool"/>
    <x v="4"/>
    <s v="S-104"/>
    <s v="Modern Home Supplies"/>
    <n v="482"/>
    <n v="452.38"/>
    <d v="2025-02-14T00:00:00"/>
    <d v="2025-03-11T00:00:00"/>
    <n v="88.44"/>
    <n v="218047.16"/>
  </r>
  <r>
    <x v="774"/>
    <s v="T-Shirt"/>
    <x v="1"/>
    <s v="S-102"/>
    <s v="Sunrise Industries"/>
    <n v="278"/>
    <n v="132.97999999999999"/>
    <d v="2025-03-23T00:00:00"/>
    <d v="2025-04-12T00:00:00"/>
    <n v="24.05"/>
    <n v="36968.439999999995"/>
  </r>
  <r>
    <x v="775"/>
    <s v="Almonds"/>
    <x v="3"/>
    <s v="S-104"/>
    <s v="Modern Home Supplies"/>
    <n v="439"/>
    <n v="334.19"/>
    <d v="2025-03-04T00:00:00"/>
    <d v="2025-03-17T00:00:00"/>
    <n v="58.42"/>
    <n v="146709.41"/>
  </r>
  <r>
    <x v="776"/>
    <s v="Marker"/>
    <x v="0"/>
    <s v="S-104"/>
    <s v="Modern Home Supplies"/>
    <n v="189"/>
    <n v="365.97"/>
    <d v="2025-01-02T00:00:00"/>
    <d v="2025-01-16T00:00:00"/>
    <n v="40.47"/>
    <n v="69168.33"/>
  </r>
  <r>
    <x v="777"/>
    <s v="Pen Set"/>
    <x v="0"/>
    <s v="S-104"/>
    <s v="Modern Home Supplies"/>
    <n v="35"/>
    <n v="313.08"/>
    <d v="2025-03-17T00:00:00"/>
    <d v="2025-04-06T00:00:00"/>
    <n v="89.11"/>
    <n v="10957.8"/>
  </r>
  <r>
    <x v="778"/>
    <s v="Socks"/>
    <x v="1"/>
    <s v="S-103"/>
    <s v="Elite Paper Co"/>
    <n v="165"/>
    <n v="155.34"/>
    <d v="2025-01-30T00:00:00"/>
    <d v="2025-02-09T00:00:00"/>
    <n v="30.32"/>
    <n v="25631.100000000002"/>
  </r>
  <r>
    <x v="779"/>
    <s v="Stool"/>
    <x v="4"/>
    <s v="S-101"/>
    <s v="Global Tech Corp"/>
    <n v="88"/>
    <n v="340.55"/>
    <d v="2025-01-14T00:00:00"/>
    <d v="2025-02-09T00:00:00"/>
    <n v="56.39"/>
    <n v="29968.400000000001"/>
  </r>
  <r>
    <x v="780"/>
    <s v="Desk Organizer"/>
    <x v="0"/>
    <s v="S-105"/>
    <s v="Fresh Mart Logistics"/>
    <n v="291"/>
    <n v="498.18"/>
    <d v="2025-05-09T00:00:00"/>
    <d v="2025-06-08T00:00:00"/>
    <n v="68.8"/>
    <n v="144970.38"/>
  </r>
  <r>
    <x v="781"/>
    <s v="Notebook"/>
    <x v="0"/>
    <s v="S-101"/>
    <s v="Global Tech Corp"/>
    <n v="368"/>
    <n v="75.540000000000006"/>
    <d v="2025-05-13T00:00:00"/>
    <d v="2025-05-27T00:00:00"/>
    <n v="17.809999999999999"/>
    <n v="27798.720000000001"/>
  </r>
  <r>
    <x v="782"/>
    <s v="Headphones"/>
    <x v="2"/>
    <s v="S-102"/>
    <s v="Sunrise Industries"/>
    <n v="122"/>
    <n v="171.7"/>
    <d v="2025-04-02T00:00:00"/>
    <d v="2025-04-23T00:00:00"/>
    <n v="24.15"/>
    <n v="20947.399999999998"/>
  </r>
  <r>
    <x v="783"/>
    <s v="Cap"/>
    <x v="1"/>
    <s v="S-101"/>
    <s v="Global Tech Corp"/>
    <n v="280"/>
    <n v="139.47999999999999"/>
    <d v="2025-06-12T00:00:00"/>
    <d v="2025-06-27T00:00:00"/>
    <n v="27.73"/>
    <n v="39054.399999999994"/>
  </r>
  <r>
    <x v="784"/>
    <s v="Cap"/>
    <x v="1"/>
    <s v="S-105"/>
    <s v="Fresh Mart Logistics"/>
    <n v="400"/>
    <n v="54.35"/>
    <d v="2025-05-05T00:00:00"/>
    <d v="2025-05-26T00:00:00"/>
    <n v="13.78"/>
    <n v="21740"/>
  </r>
  <r>
    <x v="785"/>
    <s v="Laptop"/>
    <x v="2"/>
    <s v="S-102"/>
    <s v="Sunrise Industries"/>
    <n v="331"/>
    <n v="281.11"/>
    <d v="2025-01-03T00:00:00"/>
    <d v="2025-01-20T00:00:00"/>
    <n v="70.59"/>
    <n v="93047.41"/>
  </r>
  <r>
    <x v="786"/>
    <s v="Socks"/>
    <x v="1"/>
    <s v="S-103"/>
    <s v="Elite Paper Co"/>
    <n v="110"/>
    <n v="49.6"/>
    <d v="2025-04-19T00:00:00"/>
    <d v="2025-05-09T00:00:00"/>
    <n v="5.57"/>
    <n v="5456"/>
  </r>
  <r>
    <x v="787"/>
    <s v="Desk Lamp"/>
    <x v="4"/>
    <s v="S-104"/>
    <s v="Modern Home Supplies"/>
    <n v="295"/>
    <n v="260.07"/>
    <d v="2025-04-08T00:00:00"/>
    <d v="2025-04-24T00:00:00"/>
    <n v="41.38"/>
    <n v="76720.649999999994"/>
  </r>
  <r>
    <x v="788"/>
    <s v="Hoodie"/>
    <x v="1"/>
    <s v="S-102"/>
    <s v="Sunrise Industries"/>
    <n v="159"/>
    <n v="82.67"/>
    <d v="2025-02-01T00:00:00"/>
    <d v="2025-02-27T00:00:00"/>
    <n v="12.36"/>
    <n v="13144.53"/>
  </r>
  <r>
    <x v="789"/>
    <s v="Smartphone"/>
    <x v="2"/>
    <s v="S-101"/>
    <s v="Global Tech Corp"/>
    <n v="286"/>
    <n v="379.26"/>
    <d v="2025-04-30T00:00:00"/>
    <d v="2025-05-10T00:00:00"/>
    <n v="66.78"/>
    <n v="108468.36"/>
  </r>
  <r>
    <x v="790"/>
    <s v="Marker"/>
    <x v="0"/>
    <s v="S-101"/>
    <s v="Global Tech Corp"/>
    <n v="229"/>
    <n v="15.8"/>
    <d v="2025-05-21T00:00:00"/>
    <d v="2025-06-11T00:00:00"/>
    <n v="3.79"/>
    <n v="3618.2000000000003"/>
  </r>
  <r>
    <x v="791"/>
    <s v="Marker"/>
    <x v="0"/>
    <s v="S-102"/>
    <s v="Sunrise Industries"/>
    <n v="449"/>
    <n v="26.25"/>
    <d v="2025-04-27T00:00:00"/>
    <d v="2025-05-14T00:00:00"/>
    <n v="4.1500000000000004"/>
    <n v="11786.25"/>
  </r>
  <r>
    <x v="792"/>
    <s v="Bookshelf"/>
    <x v="4"/>
    <s v="S-103"/>
    <s v="Elite Paper Co"/>
    <n v="197"/>
    <n v="284.88"/>
    <d v="2025-06-04T00:00:00"/>
    <d v="2025-06-27T00:00:00"/>
    <n v="55.59"/>
    <n v="56121.36"/>
  </r>
  <r>
    <x v="793"/>
    <s v="Laptop"/>
    <x v="2"/>
    <s v="S-105"/>
    <s v="Fresh Mart Logistics"/>
    <n v="308"/>
    <n v="220.6"/>
    <d v="2025-04-13T00:00:00"/>
    <d v="2025-04-25T00:00:00"/>
    <n v="53.97"/>
    <n v="67944.800000000003"/>
  </r>
  <r>
    <x v="794"/>
    <s v="Cap"/>
    <x v="1"/>
    <s v="S-102"/>
    <s v="Sunrise Industries"/>
    <n v="284"/>
    <n v="84.5"/>
    <d v="2025-06-08T00:00:00"/>
    <d v="2025-06-13T00:00:00"/>
    <n v="11.94"/>
    <n v="23998"/>
  </r>
  <r>
    <x v="795"/>
    <s v="Tablet"/>
    <x v="2"/>
    <s v="S-105"/>
    <s v="Fresh Mart Logistics"/>
    <n v="495"/>
    <n v="54.62"/>
    <d v="2025-04-23T00:00:00"/>
    <d v="2025-05-07T00:00:00"/>
    <n v="11.41"/>
    <n v="27036.899999999998"/>
  </r>
  <r>
    <x v="796"/>
    <s v="Desk Lamp"/>
    <x v="4"/>
    <s v="S-103"/>
    <s v="Elite Paper Co"/>
    <n v="100"/>
    <n v="453.84"/>
    <d v="2025-04-30T00:00:00"/>
    <d v="2025-05-18T00:00:00"/>
    <n v="53.49"/>
    <n v="45384"/>
  </r>
  <r>
    <x v="797"/>
    <s v="Bookshelf"/>
    <x v="4"/>
    <s v="S-102"/>
    <s v="Sunrise Industries"/>
    <n v="43"/>
    <n v="33.69"/>
    <d v="2025-06-25T00:00:00"/>
    <d v="2025-06-29T00:00:00"/>
    <n v="7.35"/>
    <n v="1448.6699999999998"/>
  </r>
  <r>
    <x v="798"/>
    <s v="Notebook"/>
    <x v="0"/>
    <s v="S-104"/>
    <s v="Modern Home Supplies"/>
    <n v="481"/>
    <n v="175.06"/>
    <d v="2025-01-31T00:00:00"/>
    <d v="2025-02-03T00:00:00"/>
    <n v="30.37"/>
    <n v="84203.86"/>
  </r>
  <r>
    <x v="799"/>
    <s v="Socks"/>
    <x v="1"/>
    <s v="S-105"/>
    <s v="Fresh Mart Logistics"/>
    <n v="495"/>
    <n v="347.41"/>
    <d v="2025-03-10T00:00:00"/>
    <d v="2025-03-28T00:00:00"/>
    <n v="63.68"/>
    <n v="171967.95"/>
  </r>
  <r>
    <x v="800"/>
    <s v="Pen Set"/>
    <x v="0"/>
    <s v="S-104"/>
    <s v="Modern Home Supplies"/>
    <n v="435"/>
    <n v="111.87"/>
    <d v="2025-01-21T00:00:00"/>
    <d v="2025-01-27T00:00:00"/>
    <n v="31.7"/>
    <n v="48663.450000000004"/>
  </r>
  <r>
    <x v="801"/>
    <s v="Tablet"/>
    <x v="2"/>
    <s v="S-104"/>
    <s v="Modern Home Supplies"/>
    <n v="172"/>
    <n v="330.47"/>
    <d v="2025-02-06T00:00:00"/>
    <d v="2025-02-23T00:00:00"/>
    <n v="93.42"/>
    <n v="56840.840000000004"/>
  </r>
  <r>
    <x v="802"/>
    <s v="Dark Chocolate"/>
    <x v="3"/>
    <s v="S-105"/>
    <s v="Fresh Mart Logistics"/>
    <n v="13"/>
    <n v="202.41"/>
    <d v="2025-04-12T00:00:00"/>
    <d v="2025-04-28T00:00:00"/>
    <n v="44.55"/>
    <n v="2631.33"/>
  </r>
  <r>
    <x v="803"/>
    <s v="Organic Tea"/>
    <x v="3"/>
    <s v="S-103"/>
    <s v="Elite Paper Co"/>
    <n v="129"/>
    <n v="221.61"/>
    <d v="2025-04-01T00:00:00"/>
    <d v="2025-04-03T00:00:00"/>
    <n v="60.79"/>
    <n v="28587.690000000002"/>
  </r>
  <r>
    <x v="804"/>
    <s v="Laptop"/>
    <x v="2"/>
    <s v="S-102"/>
    <s v="Sunrise Industries"/>
    <n v="401"/>
    <n v="120.82"/>
    <d v="2025-03-17T00:00:00"/>
    <d v="2025-03-31T00:00:00"/>
    <n v="34.89"/>
    <n v="48448.82"/>
  </r>
  <r>
    <x v="805"/>
    <s v="Stool"/>
    <x v="4"/>
    <s v="S-104"/>
    <s v="Modern Home Supplies"/>
    <n v="218"/>
    <n v="243.63"/>
    <d v="2025-04-09T00:00:00"/>
    <d v="2025-04-11T00:00:00"/>
    <n v="50.78"/>
    <n v="53111.34"/>
  </r>
  <r>
    <x v="806"/>
    <s v="Desk Lamp"/>
    <x v="4"/>
    <s v="S-103"/>
    <s v="Elite Paper Co"/>
    <n v="487"/>
    <n v="428.25"/>
    <d v="2025-01-31T00:00:00"/>
    <d v="2025-02-14T00:00:00"/>
    <n v="127.3"/>
    <n v="208557.75"/>
  </r>
  <r>
    <x v="807"/>
    <s v="Pen Set"/>
    <x v="0"/>
    <s v="S-104"/>
    <s v="Modern Home Supplies"/>
    <n v="460"/>
    <n v="498.64"/>
    <d v="2025-04-21T00:00:00"/>
    <d v="2025-05-19T00:00:00"/>
    <n v="135.38999999999999"/>
    <n v="229374.4"/>
  </r>
  <r>
    <x v="808"/>
    <s v="Coffee Beans"/>
    <x v="3"/>
    <s v="S-103"/>
    <s v="Elite Paper Co"/>
    <n v="151"/>
    <n v="55.39"/>
    <d v="2025-05-15T00:00:00"/>
    <d v="2025-05-18T00:00:00"/>
    <n v="6.87"/>
    <n v="8363.89"/>
  </r>
  <r>
    <x v="809"/>
    <s v="Cap"/>
    <x v="1"/>
    <s v="S-102"/>
    <s v="Sunrise Industries"/>
    <n v="294"/>
    <n v="491.92"/>
    <d v="2025-04-15T00:00:00"/>
    <d v="2025-04-18T00:00:00"/>
    <n v="83.65"/>
    <n v="144624.48000000001"/>
  </r>
  <r>
    <x v="810"/>
    <s v="Headphones"/>
    <x v="2"/>
    <s v="S-102"/>
    <s v="Sunrise Industries"/>
    <n v="283"/>
    <n v="318.39999999999998"/>
    <d v="2025-01-31T00:00:00"/>
    <d v="2025-03-02T00:00:00"/>
    <n v="40.020000000000003"/>
    <n v="90107.199999999997"/>
  </r>
  <r>
    <x v="811"/>
    <s v="Office Chair"/>
    <x v="4"/>
    <s v="S-105"/>
    <s v="Fresh Mart Logistics"/>
    <n v="355"/>
    <n v="443.93"/>
    <d v="2025-03-04T00:00:00"/>
    <d v="2025-03-11T00:00:00"/>
    <n v="111.65"/>
    <n v="157595.15"/>
  </r>
  <r>
    <x v="812"/>
    <s v="Coffee Beans"/>
    <x v="3"/>
    <s v="S-102"/>
    <s v="Sunrise Industries"/>
    <n v="409"/>
    <n v="218.21"/>
    <d v="2025-05-31T00:00:00"/>
    <d v="2025-06-08T00:00:00"/>
    <n v="60.42"/>
    <n v="89247.89"/>
  </r>
  <r>
    <x v="813"/>
    <s v="Desk Organizer"/>
    <x v="0"/>
    <s v="S-103"/>
    <s v="Elite Paper Co"/>
    <n v="353"/>
    <n v="396.81"/>
    <d v="2025-02-27T00:00:00"/>
    <d v="2025-03-07T00:00:00"/>
    <n v="67.16"/>
    <n v="140073.93"/>
  </r>
  <r>
    <x v="814"/>
    <s v="Desk Lamp"/>
    <x v="4"/>
    <s v="S-103"/>
    <s v="Elite Paper Co"/>
    <n v="177"/>
    <n v="175.46"/>
    <d v="2025-05-02T00:00:00"/>
    <d v="2025-05-22T00:00:00"/>
    <n v="45.04"/>
    <n v="31056.420000000002"/>
  </r>
  <r>
    <x v="815"/>
    <s v="Notebook"/>
    <x v="0"/>
    <s v="S-103"/>
    <s v="Elite Paper Co"/>
    <n v="128"/>
    <n v="439.76"/>
    <d v="2025-05-12T00:00:00"/>
    <d v="2025-05-31T00:00:00"/>
    <n v="95.77"/>
    <n v="56289.279999999999"/>
  </r>
  <r>
    <x v="816"/>
    <s v="Organic Tea"/>
    <x v="3"/>
    <s v="S-105"/>
    <s v="Fresh Mart Logistics"/>
    <n v="481"/>
    <n v="445.28"/>
    <d v="2025-01-29T00:00:00"/>
    <d v="2025-02-24T00:00:00"/>
    <n v="108.83"/>
    <n v="214179.68"/>
  </r>
  <r>
    <x v="817"/>
    <s v="Desk Organizer"/>
    <x v="0"/>
    <s v="S-101"/>
    <s v="Global Tech Corp"/>
    <n v="275"/>
    <n v="353.6"/>
    <d v="2025-06-09T00:00:00"/>
    <d v="2025-06-22T00:00:00"/>
    <n v="59.81"/>
    <n v="97240"/>
  </r>
  <r>
    <x v="818"/>
    <s v="Headphones"/>
    <x v="2"/>
    <s v="S-103"/>
    <s v="Elite Paper Co"/>
    <n v="61"/>
    <n v="280.08999999999997"/>
    <d v="2025-03-14T00:00:00"/>
    <d v="2025-04-02T00:00:00"/>
    <n v="73.61"/>
    <n v="17085.489999999998"/>
  </r>
  <r>
    <x v="819"/>
    <s v="Cap"/>
    <x v="1"/>
    <s v="S-103"/>
    <s v="Elite Paper Co"/>
    <n v="238"/>
    <n v="471.42"/>
    <d v="2025-06-25T00:00:00"/>
    <d v="2025-07-16T00:00:00"/>
    <n v="125.05"/>
    <n v="112197.96"/>
  </r>
  <r>
    <x v="820"/>
    <s v="Pen Set"/>
    <x v="0"/>
    <s v="S-101"/>
    <s v="Global Tech Corp"/>
    <n v="142"/>
    <n v="116.63"/>
    <d v="2025-02-11T00:00:00"/>
    <d v="2025-03-13T00:00:00"/>
    <n v="26.15"/>
    <n v="16561.46"/>
  </r>
  <r>
    <x v="821"/>
    <s v="Stool"/>
    <x v="4"/>
    <s v="S-101"/>
    <s v="Global Tech Corp"/>
    <n v="457"/>
    <n v="158.49"/>
    <d v="2025-01-28T00:00:00"/>
    <d v="2025-02-27T00:00:00"/>
    <n v="19.23"/>
    <n v="72429.930000000008"/>
  </r>
  <r>
    <x v="822"/>
    <s v="Almonds"/>
    <x v="3"/>
    <s v="S-105"/>
    <s v="Fresh Mart Logistics"/>
    <n v="78"/>
    <n v="321.02"/>
    <d v="2025-01-26T00:00:00"/>
    <d v="2025-01-31T00:00:00"/>
    <n v="76.010000000000005"/>
    <n v="25039.559999999998"/>
  </r>
  <r>
    <x v="823"/>
    <s v="Stool"/>
    <x v="4"/>
    <s v="S-103"/>
    <s v="Elite Paper Co"/>
    <n v="324"/>
    <n v="401.36"/>
    <d v="2025-03-26T00:00:00"/>
    <d v="2025-03-28T00:00:00"/>
    <n v="46.71"/>
    <n v="130040.64"/>
  </r>
  <r>
    <x v="824"/>
    <s v="Cap"/>
    <x v="1"/>
    <s v="S-101"/>
    <s v="Global Tech Corp"/>
    <n v="486"/>
    <n v="189.03"/>
    <d v="2025-04-08T00:00:00"/>
    <d v="2025-05-06T00:00:00"/>
    <n v="38.72"/>
    <n v="91868.58"/>
  </r>
  <r>
    <x v="825"/>
    <s v="Dark Chocolate"/>
    <x v="3"/>
    <s v="S-103"/>
    <s v="Elite Paper Co"/>
    <n v="324"/>
    <n v="475.8"/>
    <d v="2025-04-13T00:00:00"/>
    <d v="2025-04-19T00:00:00"/>
    <n v="83.76"/>
    <n v="154159.20000000001"/>
  </r>
  <r>
    <x v="826"/>
    <s v="Socks"/>
    <x v="1"/>
    <s v="S-101"/>
    <s v="Global Tech Corp"/>
    <n v="316"/>
    <n v="459.61"/>
    <d v="2025-04-18T00:00:00"/>
    <d v="2025-04-20T00:00:00"/>
    <n v="118.08"/>
    <n v="145236.76"/>
  </r>
  <r>
    <x v="827"/>
    <s v="Socks"/>
    <x v="1"/>
    <s v="S-102"/>
    <s v="Sunrise Industries"/>
    <n v="107"/>
    <n v="497.86"/>
    <d v="2025-04-30T00:00:00"/>
    <d v="2025-05-08T00:00:00"/>
    <n v="140.06"/>
    <n v="53271.020000000004"/>
  </r>
  <r>
    <x v="828"/>
    <s v="Cap"/>
    <x v="1"/>
    <s v="S-102"/>
    <s v="Sunrise Industries"/>
    <n v="208"/>
    <n v="394.5"/>
    <d v="2025-02-20T00:00:00"/>
    <d v="2025-03-05T00:00:00"/>
    <n v="74.03"/>
    <n v="82056"/>
  </r>
  <r>
    <x v="829"/>
    <s v="Socks"/>
    <x v="1"/>
    <s v="S-103"/>
    <s v="Elite Paper Co"/>
    <n v="91"/>
    <n v="342.99"/>
    <d v="2025-05-12T00:00:00"/>
    <d v="2025-05-26T00:00:00"/>
    <n v="71.08"/>
    <n v="31212.09"/>
  </r>
  <r>
    <x v="830"/>
    <s v="Hoodie"/>
    <x v="1"/>
    <s v="S-105"/>
    <s v="Fresh Mart Logistics"/>
    <n v="280"/>
    <n v="33.770000000000003"/>
    <d v="2025-02-19T00:00:00"/>
    <d v="2025-03-14T00:00:00"/>
    <n v="5.63"/>
    <n v="9455.6"/>
  </r>
  <r>
    <x v="831"/>
    <s v="Office Chair"/>
    <x v="4"/>
    <s v="S-102"/>
    <s v="Sunrise Industries"/>
    <n v="390"/>
    <n v="212.4"/>
    <d v="2025-01-11T00:00:00"/>
    <d v="2025-01-29T00:00:00"/>
    <n v="47.14"/>
    <n v="82836"/>
  </r>
  <r>
    <x v="832"/>
    <s v="Tablet"/>
    <x v="2"/>
    <s v="S-104"/>
    <s v="Modern Home Supplies"/>
    <n v="189"/>
    <n v="183.01"/>
    <d v="2025-02-03T00:00:00"/>
    <d v="2025-02-05T00:00:00"/>
    <n v="31.67"/>
    <n v="34588.89"/>
  </r>
  <r>
    <x v="833"/>
    <s v="Socks"/>
    <x v="1"/>
    <s v="S-105"/>
    <s v="Fresh Mart Logistics"/>
    <n v="80"/>
    <n v="151.22999999999999"/>
    <d v="2025-01-08T00:00:00"/>
    <d v="2025-01-16T00:00:00"/>
    <n v="31.42"/>
    <n v="12098.4"/>
  </r>
  <r>
    <x v="834"/>
    <s v="Laptop"/>
    <x v="2"/>
    <s v="S-105"/>
    <s v="Fresh Mart Logistics"/>
    <n v="233"/>
    <n v="425.33"/>
    <d v="2025-06-24T00:00:00"/>
    <d v="2025-07-19T00:00:00"/>
    <n v="61.43"/>
    <n v="99101.89"/>
  </r>
  <r>
    <x v="835"/>
    <s v="Desk Organizer"/>
    <x v="0"/>
    <s v="S-105"/>
    <s v="Fresh Mart Logistics"/>
    <n v="393"/>
    <n v="71.63"/>
    <d v="2025-02-04T00:00:00"/>
    <d v="2025-02-28T00:00:00"/>
    <n v="13.84"/>
    <n v="28150.589999999997"/>
  </r>
  <r>
    <x v="836"/>
    <s v="Almonds"/>
    <x v="3"/>
    <s v="S-102"/>
    <s v="Sunrise Industries"/>
    <n v="358"/>
    <n v="117.39"/>
    <d v="2025-05-28T00:00:00"/>
    <d v="2025-06-15T00:00:00"/>
    <n v="13.83"/>
    <n v="42025.62"/>
  </r>
  <r>
    <x v="837"/>
    <s v="Dark Chocolate"/>
    <x v="3"/>
    <s v="S-103"/>
    <s v="Elite Paper Co"/>
    <n v="74"/>
    <n v="362.3"/>
    <d v="2025-05-02T00:00:00"/>
    <d v="2025-05-09T00:00:00"/>
    <n v="52.49"/>
    <n v="26810.2"/>
  </r>
  <r>
    <x v="838"/>
    <s v="Organic Tea"/>
    <x v="3"/>
    <s v="S-104"/>
    <s v="Modern Home Supplies"/>
    <n v="99"/>
    <n v="187.97"/>
    <d v="2025-06-05T00:00:00"/>
    <d v="2025-07-03T00:00:00"/>
    <n v="27.15"/>
    <n v="18609.03"/>
  </r>
  <r>
    <x v="839"/>
    <s v="Coffee Beans"/>
    <x v="3"/>
    <s v="S-101"/>
    <s v="Global Tech Corp"/>
    <n v="411"/>
    <n v="488.53"/>
    <d v="2025-03-04T00:00:00"/>
    <d v="2025-03-07T00:00:00"/>
    <n v="134.77000000000001"/>
    <n v="200785.83"/>
  </r>
  <r>
    <x v="840"/>
    <s v="Smartphone"/>
    <x v="2"/>
    <s v="S-103"/>
    <s v="Elite Paper Co"/>
    <n v="270"/>
    <n v="79.3"/>
    <d v="2025-02-27T00:00:00"/>
    <d v="2025-03-01T00:00:00"/>
    <n v="21.26"/>
    <n v="21411"/>
  </r>
  <r>
    <x v="841"/>
    <s v="Tablet"/>
    <x v="2"/>
    <s v="S-104"/>
    <s v="Modern Home Supplies"/>
    <n v="348"/>
    <n v="435.88"/>
    <d v="2025-06-30T00:00:00"/>
    <d v="2025-07-01T00:00:00"/>
    <n v="66.650000000000006"/>
    <n v="151686.24"/>
  </r>
  <r>
    <x v="842"/>
    <s v="Headphones"/>
    <x v="2"/>
    <s v="S-103"/>
    <s v="Elite Paper Co"/>
    <n v="112"/>
    <n v="454"/>
    <d v="2025-04-16T00:00:00"/>
    <d v="2025-05-10T00:00:00"/>
    <n v="57.11"/>
    <n v="50848"/>
  </r>
  <r>
    <x v="843"/>
    <s v="Laptop"/>
    <x v="2"/>
    <s v="S-104"/>
    <s v="Modern Home Supplies"/>
    <n v="94"/>
    <n v="232.8"/>
    <d v="2025-06-11T00:00:00"/>
    <d v="2025-07-09T00:00:00"/>
    <n v="42.54"/>
    <n v="21883.200000000001"/>
  </r>
  <r>
    <x v="844"/>
    <s v="Tablet"/>
    <x v="2"/>
    <s v="S-105"/>
    <s v="Fresh Mart Logistics"/>
    <n v="442"/>
    <n v="416.18"/>
    <d v="2025-05-01T00:00:00"/>
    <d v="2025-05-14T00:00:00"/>
    <n v="67.73"/>
    <n v="183951.56"/>
  </r>
  <r>
    <x v="845"/>
    <s v="Socks"/>
    <x v="1"/>
    <s v="S-103"/>
    <s v="Elite Paper Co"/>
    <n v="434"/>
    <n v="238.88"/>
    <d v="2025-05-14T00:00:00"/>
    <d v="2025-06-02T00:00:00"/>
    <n v="61.58"/>
    <n v="103673.92"/>
  </r>
  <r>
    <x v="846"/>
    <s v="Bookshelf"/>
    <x v="4"/>
    <s v="S-104"/>
    <s v="Modern Home Supplies"/>
    <n v="274"/>
    <n v="301.04000000000002"/>
    <d v="2025-05-26T00:00:00"/>
    <d v="2025-06-09T00:00:00"/>
    <n v="75.63"/>
    <n v="82484.960000000006"/>
  </r>
  <r>
    <x v="847"/>
    <s v="Desk Lamp"/>
    <x v="4"/>
    <s v="S-104"/>
    <s v="Modern Home Supplies"/>
    <n v="382"/>
    <n v="11.91"/>
    <d v="2025-03-17T00:00:00"/>
    <d v="2025-04-16T00:00:00"/>
    <n v="1.67"/>
    <n v="4549.62"/>
  </r>
  <r>
    <x v="848"/>
    <s v="Dark Chocolate"/>
    <x v="3"/>
    <s v="S-103"/>
    <s v="Elite Paper Co"/>
    <n v="164"/>
    <n v="494.71"/>
    <d v="2025-05-31T00:00:00"/>
    <d v="2025-06-26T00:00:00"/>
    <n v="57.05"/>
    <n v="81132.44"/>
  </r>
  <r>
    <x v="849"/>
    <s v="Coffee Beans"/>
    <x v="3"/>
    <s v="S-105"/>
    <s v="Fresh Mart Logistics"/>
    <n v="170"/>
    <n v="315.07"/>
    <d v="2025-04-12T00:00:00"/>
    <d v="2025-04-17T00:00:00"/>
    <n v="82.34"/>
    <n v="53561.9"/>
  </r>
  <r>
    <x v="850"/>
    <s v="Hoodie"/>
    <x v="1"/>
    <s v="S-103"/>
    <s v="Elite Paper Co"/>
    <n v="437"/>
    <n v="187.61"/>
    <d v="2025-02-07T00:00:00"/>
    <d v="2025-03-09T00:00:00"/>
    <n v="49.08"/>
    <n v="81985.570000000007"/>
  </r>
  <r>
    <x v="851"/>
    <s v="Desk Organizer"/>
    <x v="0"/>
    <s v="S-105"/>
    <s v="Fresh Mart Logistics"/>
    <n v="152"/>
    <n v="460.62"/>
    <d v="2025-01-24T00:00:00"/>
    <d v="2025-02-03T00:00:00"/>
    <n v="56.45"/>
    <n v="70014.240000000005"/>
  </r>
  <r>
    <x v="852"/>
    <s v="Desk Lamp"/>
    <x v="4"/>
    <s v="S-101"/>
    <s v="Global Tech Corp"/>
    <n v="47"/>
    <n v="58.87"/>
    <d v="2025-01-03T00:00:00"/>
    <d v="2025-01-23T00:00:00"/>
    <n v="10.67"/>
    <n v="2766.89"/>
  </r>
  <r>
    <x v="853"/>
    <s v="Marker"/>
    <x v="0"/>
    <s v="S-102"/>
    <s v="Sunrise Industries"/>
    <n v="395"/>
    <n v="93"/>
    <d v="2025-04-24T00:00:00"/>
    <d v="2025-05-22T00:00:00"/>
    <n v="12.9"/>
    <n v="36735"/>
  </r>
  <r>
    <x v="854"/>
    <s v="Coffee Beans"/>
    <x v="3"/>
    <s v="S-105"/>
    <s v="Fresh Mart Logistics"/>
    <n v="226"/>
    <n v="150.96"/>
    <d v="2025-02-01T00:00:00"/>
    <d v="2025-02-26T00:00:00"/>
    <n v="33.549999999999997"/>
    <n v="34116.959999999999"/>
  </r>
  <r>
    <x v="855"/>
    <s v="Notebook"/>
    <x v="0"/>
    <s v="S-105"/>
    <s v="Fresh Mart Logistics"/>
    <n v="36"/>
    <n v="497.42"/>
    <d v="2025-02-05T00:00:00"/>
    <d v="2025-03-06T00:00:00"/>
    <n v="85.13"/>
    <n v="17907.12"/>
  </r>
  <r>
    <x v="856"/>
    <s v="Smartphone"/>
    <x v="2"/>
    <s v="S-102"/>
    <s v="Sunrise Industries"/>
    <n v="372"/>
    <n v="462.6"/>
    <d v="2025-05-24T00:00:00"/>
    <d v="2025-05-29T00:00:00"/>
    <n v="65.56"/>
    <n v="172087.2"/>
  </r>
  <r>
    <x v="857"/>
    <s v="Office Chair"/>
    <x v="4"/>
    <s v="S-105"/>
    <s v="Fresh Mart Logistics"/>
    <n v="460"/>
    <n v="495.03"/>
    <d v="2025-04-09T00:00:00"/>
    <d v="2025-04-10T00:00:00"/>
    <n v="68.52"/>
    <n v="227713.8"/>
  </r>
  <r>
    <x v="858"/>
    <s v="T-Shirt"/>
    <x v="1"/>
    <s v="S-101"/>
    <s v="Global Tech Corp"/>
    <n v="449"/>
    <n v="165.44"/>
    <d v="2025-01-24T00:00:00"/>
    <d v="2025-01-31T00:00:00"/>
    <n v="16.600000000000001"/>
    <n v="74282.559999999998"/>
  </r>
  <r>
    <x v="859"/>
    <s v="Cap"/>
    <x v="1"/>
    <s v="S-104"/>
    <s v="Modern Home Supplies"/>
    <n v="460"/>
    <n v="198.18"/>
    <d v="2025-04-28T00:00:00"/>
    <d v="2025-05-01T00:00:00"/>
    <n v="43.26"/>
    <n v="91162.8"/>
  </r>
  <r>
    <x v="860"/>
    <s v="Coffee Beans"/>
    <x v="3"/>
    <s v="S-102"/>
    <s v="Sunrise Industries"/>
    <n v="371"/>
    <n v="428.42"/>
    <d v="2025-01-13T00:00:00"/>
    <d v="2025-02-06T00:00:00"/>
    <n v="127.63"/>
    <n v="158943.82"/>
  </r>
  <r>
    <x v="861"/>
    <s v="Tablet"/>
    <x v="2"/>
    <s v="S-103"/>
    <s v="Elite Paper Co"/>
    <n v="461"/>
    <n v="35.9"/>
    <d v="2025-03-05T00:00:00"/>
    <d v="2025-03-24T00:00:00"/>
    <n v="10.55"/>
    <n v="16549.899999999998"/>
  </r>
  <r>
    <x v="862"/>
    <s v="Cap"/>
    <x v="1"/>
    <s v="S-103"/>
    <s v="Elite Paper Co"/>
    <n v="203"/>
    <n v="294.37"/>
    <d v="2025-03-11T00:00:00"/>
    <d v="2025-04-04T00:00:00"/>
    <n v="81.430000000000007"/>
    <n v="59757.11"/>
  </r>
  <r>
    <x v="863"/>
    <s v="T-Shirt"/>
    <x v="1"/>
    <s v="S-104"/>
    <s v="Modern Home Supplies"/>
    <n v="275"/>
    <n v="121.04"/>
    <d v="2025-05-14T00:00:00"/>
    <d v="2025-05-26T00:00:00"/>
    <n v="31.58"/>
    <n v="33286"/>
  </r>
  <r>
    <x v="864"/>
    <s v="Cap"/>
    <x v="1"/>
    <s v="S-104"/>
    <s v="Modern Home Supplies"/>
    <n v="130"/>
    <n v="432.09"/>
    <d v="2025-04-09T00:00:00"/>
    <d v="2025-05-06T00:00:00"/>
    <n v="73.83"/>
    <n v="56171.7"/>
  </r>
  <r>
    <x v="865"/>
    <s v="Smartphone"/>
    <x v="2"/>
    <s v="S-102"/>
    <s v="Sunrise Industries"/>
    <n v="305"/>
    <n v="217.96"/>
    <d v="2025-03-22T00:00:00"/>
    <d v="2025-04-15T00:00:00"/>
    <n v="43.96"/>
    <n v="66477.8"/>
  </r>
  <r>
    <x v="866"/>
    <s v="Coffee Beans"/>
    <x v="3"/>
    <s v="S-105"/>
    <s v="Fresh Mart Logistics"/>
    <n v="169"/>
    <n v="231.12"/>
    <d v="2025-01-15T00:00:00"/>
    <d v="2025-01-17T00:00:00"/>
    <n v="25.21"/>
    <n v="39059.279999999999"/>
  </r>
  <r>
    <x v="867"/>
    <s v="Coffee Beans"/>
    <x v="3"/>
    <s v="S-104"/>
    <s v="Modern Home Supplies"/>
    <n v="318"/>
    <n v="389.35"/>
    <d v="2025-01-20T00:00:00"/>
    <d v="2025-02-07T00:00:00"/>
    <n v="111.62"/>
    <n v="123813.3"/>
  </r>
  <r>
    <x v="868"/>
    <s v="Organic Tea"/>
    <x v="3"/>
    <s v="S-105"/>
    <s v="Fresh Mart Logistics"/>
    <n v="417"/>
    <n v="10.130000000000001"/>
    <d v="2025-04-20T00:00:00"/>
    <d v="2025-04-22T00:00:00"/>
    <n v="1.5"/>
    <n v="4224.21"/>
  </r>
  <r>
    <x v="869"/>
    <s v="Almonds"/>
    <x v="3"/>
    <s v="S-105"/>
    <s v="Fresh Mart Logistics"/>
    <n v="419"/>
    <n v="233.78"/>
    <d v="2025-03-19T00:00:00"/>
    <d v="2025-03-28T00:00:00"/>
    <n v="51.27"/>
    <n v="97953.82"/>
  </r>
  <r>
    <x v="870"/>
    <s v="Headphones"/>
    <x v="2"/>
    <s v="S-101"/>
    <s v="Global Tech Corp"/>
    <n v="219"/>
    <n v="442.91"/>
    <d v="2025-03-25T00:00:00"/>
    <d v="2025-04-21T00:00:00"/>
    <n v="56.43"/>
    <n v="96997.290000000008"/>
  </r>
  <r>
    <x v="871"/>
    <s v="Coffee Beans"/>
    <x v="3"/>
    <s v="S-104"/>
    <s v="Modern Home Supplies"/>
    <n v="114"/>
    <n v="464.14"/>
    <d v="2025-01-15T00:00:00"/>
    <d v="2025-02-06T00:00:00"/>
    <n v="108.98"/>
    <n v="52911.96"/>
  </r>
  <r>
    <x v="872"/>
    <s v="Desk Organizer"/>
    <x v="0"/>
    <s v="S-105"/>
    <s v="Fresh Mart Logistics"/>
    <n v="486"/>
    <n v="494.91"/>
    <d v="2025-04-20T00:00:00"/>
    <d v="2025-04-28T00:00:00"/>
    <n v="71.44"/>
    <n v="240526.26"/>
  </r>
  <r>
    <x v="873"/>
    <s v="Coffee Beans"/>
    <x v="3"/>
    <s v="S-103"/>
    <s v="Elite Paper Co"/>
    <n v="445"/>
    <n v="291.02999999999997"/>
    <d v="2025-02-21T00:00:00"/>
    <d v="2025-03-08T00:00:00"/>
    <n v="48.71"/>
    <n v="129508.34999999999"/>
  </r>
  <r>
    <x v="874"/>
    <s v="Headphones"/>
    <x v="2"/>
    <s v="S-105"/>
    <s v="Fresh Mart Logistics"/>
    <n v="292"/>
    <n v="466.34"/>
    <d v="2025-03-30T00:00:00"/>
    <d v="2025-04-21T00:00:00"/>
    <n v="75.599999999999994"/>
    <n v="136171.28"/>
  </r>
  <r>
    <x v="875"/>
    <s v="Desk Organizer"/>
    <x v="0"/>
    <s v="S-101"/>
    <s v="Global Tech Corp"/>
    <n v="228"/>
    <n v="216.34"/>
    <d v="2025-03-09T00:00:00"/>
    <d v="2025-03-26T00:00:00"/>
    <n v="53.07"/>
    <n v="49325.520000000004"/>
  </r>
  <r>
    <x v="876"/>
    <s v="Stool"/>
    <x v="4"/>
    <s v="S-104"/>
    <s v="Modern Home Supplies"/>
    <n v="89"/>
    <n v="16.829999999999998"/>
    <d v="2025-04-15T00:00:00"/>
    <d v="2025-04-21T00:00:00"/>
    <n v="4.24"/>
    <n v="1497.87"/>
  </r>
  <r>
    <x v="877"/>
    <s v="Socks"/>
    <x v="1"/>
    <s v="S-104"/>
    <s v="Modern Home Supplies"/>
    <n v="155"/>
    <n v="336.42"/>
    <d v="2025-01-20T00:00:00"/>
    <d v="2025-01-25T00:00:00"/>
    <n v="57.32"/>
    <n v="52145.100000000006"/>
  </r>
  <r>
    <x v="878"/>
    <s v="Dark Chocolate"/>
    <x v="3"/>
    <s v="S-101"/>
    <s v="Global Tech Corp"/>
    <n v="116"/>
    <n v="283.99"/>
    <d v="2025-04-17T00:00:00"/>
    <d v="2025-04-29T00:00:00"/>
    <n v="47.32"/>
    <n v="32942.840000000004"/>
  </r>
  <r>
    <x v="879"/>
    <s v="Coffee Beans"/>
    <x v="3"/>
    <s v="S-104"/>
    <s v="Modern Home Supplies"/>
    <n v="419"/>
    <n v="285.55"/>
    <d v="2025-04-08T00:00:00"/>
    <d v="2025-05-06T00:00:00"/>
    <n v="36.340000000000003"/>
    <n v="119645.45000000001"/>
  </r>
  <r>
    <x v="880"/>
    <s v="Almonds"/>
    <x v="3"/>
    <s v="S-104"/>
    <s v="Modern Home Supplies"/>
    <n v="370"/>
    <n v="489.49"/>
    <d v="2025-01-25T00:00:00"/>
    <d v="2025-02-08T00:00:00"/>
    <n v="64.099999999999994"/>
    <n v="181111.30000000002"/>
  </r>
  <r>
    <x v="881"/>
    <s v="Office Chair"/>
    <x v="4"/>
    <s v="S-101"/>
    <s v="Global Tech Corp"/>
    <n v="422"/>
    <n v="88.77"/>
    <d v="2025-02-14T00:00:00"/>
    <d v="2025-02-17T00:00:00"/>
    <n v="11.55"/>
    <n v="37460.939999999995"/>
  </r>
  <r>
    <x v="882"/>
    <s v="Headphones"/>
    <x v="2"/>
    <s v="S-105"/>
    <s v="Fresh Mart Logistics"/>
    <n v="434"/>
    <n v="398.26"/>
    <d v="2025-03-17T00:00:00"/>
    <d v="2025-04-10T00:00:00"/>
    <n v="82.63"/>
    <n v="172844.84"/>
  </r>
  <r>
    <x v="883"/>
    <s v="Office Chair"/>
    <x v="4"/>
    <s v="S-103"/>
    <s v="Elite Paper Co"/>
    <n v="378"/>
    <n v="295.2"/>
    <d v="2025-02-08T00:00:00"/>
    <d v="2025-02-10T00:00:00"/>
    <n v="43.1"/>
    <n v="111585.59999999999"/>
  </r>
  <r>
    <x v="884"/>
    <s v="Hoodie"/>
    <x v="1"/>
    <s v="S-101"/>
    <s v="Global Tech Corp"/>
    <n v="136"/>
    <n v="215.58"/>
    <d v="2025-04-10T00:00:00"/>
    <d v="2025-04-29T00:00:00"/>
    <n v="54.45"/>
    <n v="29318.880000000001"/>
  </r>
  <r>
    <x v="885"/>
    <s v="Stool"/>
    <x v="4"/>
    <s v="S-103"/>
    <s v="Elite Paper Co"/>
    <n v="242"/>
    <n v="109.11"/>
    <d v="2025-01-05T00:00:00"/>
    <d v="2025-01-28T00:00:00"/>
    <n v="13.95"/>
    <n v="26404.62"/>
  </r>
  <r>
    <x v="886"/>
    <s v="Desk Organizer"/>
    <x v="0"/>
    <s v="S-102"/>
    <s v="Sunrise Industries"/>
    <n v="350"/>
    <n v="419.1"/>
    <d v="2025-01-13T00:00:00"/>
    <d v="2025-02-03T00:00:00"/>
    <n v="86.74"/>
    <n v="146685"/>
  </r>
  <r>
    <x v="887"/>
    <s v="Dark Chocolate"/>
    <x v="3"/>
    <s v="S-103"/>
    <s v="Elite Paper Co"/>
    <n v="305"/>
    <n v="220.04"/>
    <d v="2025-05-17T00:00:00"/>
    <d v="2025-05-20T00:00:00"/>
    <n v="63.37"/>
    <n v="67112.2"/>
  </r>
  <r>
    <x v="888"/>
    <s v="Hoodie"/>
    <x v="1"/>
    <s v="S-103"/>
    <s v="Elite Paper Co"/>
    <n v="308"/>
    <n v="406.73"/>
    <d v="2025-01-26T00:00:00"/>
    <d v="2025-02-19T00:00:00"/>
    <n v="48.16"/>
    <n v="125272.84000000001"/>
  </r>
  <r>
    <x v="889"/>
    <s v="Stool"/>
    <x v="4"/>
    <s v="S-102"/>
    <s v="Sunrise Industries"/>
    <n v="278"/>
    <n v="447.69"/>
    <d v="2025-05-31T00:00:00"/>
    <d v="2025-06-16T00:00:00"/>
    <n v="124.15"/>
    <n v="124457.81999999999"/>
  </r>
  <r>
    <x v="890"/>
    <s v="T-Shirt"/>
    <x v="1"/>
    <s v="S-105"/>
    <s v="Fresh Mart Logistics"/>
    <n v="463"/>
    <n v="389.06"/>
    <d v="2025-06-07T00:00:00"/>
    <d v="2025-07-01T00:00:00"/>
    <n v="88.29"/>
    <n v="180134.78"/>
  </r>
  <r>
    <x v="891"/>
    <s v="Tablet"/>
    <x v="2"/>
    <s v="S-105"/>
    <s v="Fresh Mart Logistics"/>
    <n v="175"/>
    <n v="425.71"/>
    <d v="2025-04-17T00:00:00"/>
    <d v="2025-05-08T00:00:00"/>
    <n v="78.39"/>
    <n v="74499.25"/>
  </r>
  <r>
    <x v="892"/>
    <s v="Dark Chocolate"/>
    <x v="3"/>
    <s v="S-101"/>
    <s v="Global Tech Corp"/>
    <n v="420"/>
    <n v="27.54"/>
    <d v="2025-03-11T00:00:00"/>
    <d v="2025-03-30T00:00:00"/>
    <n v="7.09"/>
    <n v="11566.8"/>
  </r>
  <r>
    <x v="893"/>
    <s v="Notebook"/>
    <x v="0"/>
    <s v="S-102"/>
    <s v="Sunrise Industries"/>
    <n v="227"/>
    <n v="331.15"/>
    <d v="2025-01-20T00:00:00"/>
    <d v="2025-02-14T00:00:00"/>
    <n v="84.71"/>
    <n v="75171.049999999988"/>
  </r>
  <r>
    <x v="894"/>
    <s v="Notebook"/>
    <x v="0"/>
    <s v="S-103"/>
    <s v="Elite Paper Co"/>
    <n v="113"/>
    <n v="332.46"/>
    <d v="2025-01-12T00:00:00"/>
    <d v="2025-02-04T00:00:00"/>
    <n v="82.62"/>
    <n v="37567.979999999996"/>
  </r>
  <r>
    <x v="895"/>
    <s v="Marker"/>
    <x v="0"/>
    <s v="S-101"/>
    <s v="Global Tech Corp"/>
    <n v="282"/>
    <n v="203.04"/>
    <d v="2025-02-21T00:00:00"/>
    <d v="2025-02-25T00:00:00"/>
    <n v="32.26"/>
    <n v="57257.279999999999"/>
  </r>
  <r>
    <x v="896"/>
    <s v="Headphones"/>
    <x v="2"/>
    <s v="S-104"/>
    <s v="Modern Home Supplies"/>
    <n v="192"/>
    <n v="291.26"/>
    <d v="2025-01-18T00:00:00"/>
    <d v="2025-01-26T00:00:00"/>
    <n v="86.55"/>
    <n v="55921.919999999998"/>
  </r>
  <r>
    <x v="897"/>
    <s v="Headphones"/>
    <x v="2"/>
    <s v="S-101"/>
    <s v="Global Tech Corp"/>
    <n v="291"/>
    <n v="165.8"/>
    <d v="2025-04-24T00:00:00"/>
    <d v="2025-04-29T00:00:00"/>
    <n v="28.61"/>
    <n v="48247.8"/>
  </r>
  <r>
    <x v="898"/>
    <s v="Notebook"/>
    <x v="0"/>
    <s v="S-105"/>
    <s v="Fresh Mart Logistics"/>
    <n v="432"/>
    <n v="270.08"/>
    <d v="2025-05-23T00:00:00"/>
    <d v="2025-05-27T00:00:00"/>
    <n v="41.61"/>
    <n v="116674.56"/>
  </r>
  <r>
    <x v="899"/>
    <s v="Dark Chocolate"/>
    <x v="3"/>
    <s v="S-102"/>
    <s v="Sunrise Industries"/>
    <n v="118"/>
    <n v="478.85"/>
    <d v="2025-03-16T00:00:00"/>
    <d v="2025-04-15T00:00:00"/>
    <n v="129.4"/>
    <n v="56504.3"/>
  </r>
  <r>
    <x v="900"/>
    <s v="Laptop"/>
    <x v="2"/>
    <s v="S-102"/>
    <s v="Sunrise Industries"/>
    <n v="84"/>
    <n v="289.31"/>
    <d v="2025-02-08T00:00:00"/>
    <d v="2025-03-10T00:00:00"/>
    <n v="52.82"/>
    <n v="24302.04"/>
  </r>
  <r>
    <x v="901"/>
    <s v="Laptop"/>
    <x v="2"/>
    <s v="S-105"/>
    <s v="Fresh Mart Logistics"/>
    <n v="309"/>
    <n v="435.49"/>
    <d v="2025-02-20T00:00:00"/>
    <d v="2025-03-20T00:00:00"/>
    <n v="127.06"/>
    <n v="134566.41"/>
  </r>
  <r>
    <x v="902"/>
    <s v="Coffee Beans"/>
    <x v="3"/>
    <s v="S-102"/>
    <s v="Sunrise Industries"/>
    <n v="169"/>
    <n v="125.79"/>
    <d v="2025-05-10T00:00:00"/>
    <d v="2025-05-23T00:00:00"/>
    <n v="36.659999999999997"/>
    <n v="21258.510000000002"/>
  </r>
  <r>
    <x v="903"/>
    <s v="Tablet"/>
    <x v="2"/>
    <s v="S-104"/>
    <s v="Modern Home Supplies"/>
    <n v="278"/>
    <n v="236.88"/>
    <d v="2025-05-01T00:00:00"/>
    <d v="2025-05-02T00:00:00"/>
    <n v="26.92"/>
    <n v="65852.639999999999"/>
  </r>
  <r>
    <x v="904"/>
    <s v="Laptop"/>
    <x v="2"/>
    <s v="S-101"/>
    <s v="Global Tech Corp"/>
    <n v="106"/>
    <n v="128.15"/>
    <d v="2025-06-09T00:00:00"/>
    <d v="2025-06-24T00:00:00"/>
    <n v="36.130000000000003"/>
    <n v="13583.900000000001"/>
  </r>
  <r>
    <x v="905"/>
    <s v="Headphones"/>
    <x v="2"/>
    <s v="S-103"/>
    <s v="Elite Paper Co"/>
    <n v="469"/>
    <n v="139.38999999999999"/>
    <d v="2025-04-08T00:00:00"/>
    <d v="2025-04-13T00:00:00"/>
    <n v="41.32"/>
    <n v="65373.909999999996"/>
  </r>
  <r>
    <x v="906"/>
    <s v="Coffee Beans"/>
    <x v="3"/>
    <s v="S-103"/>
    <s v="Elite Paper Co"/>
    <n v="494"/>
    <n v="18.260000000000002"/>
    <d v="2025-03-16T00:00:00"/>
    <d v="2025-03-23T00:00:00"/>
    <n v="5.09"/>
    <n v="9020.44"/>
  </r>
  <r>
    <x v="907"/>
    <s v="Pen Set"/>
    <x v="0"/>
    <s v="S-105"/>
    <s v="Fresh Mart Logistics"/>
    <n v="33"/>
    <n v="235.72"/>
    <d v="2025-02-26T00:00:00"/>
    <d v="2025-03-17T00:00:00"/>
    <n v="31.98"/>
    <n v="7778.76"/>
  </r>
  <r>
    <x v="908"/>
    <s v="Coffee Beans"/>
    <x v="3"/>
    <s v="S-102"/>
    <s v="Sunrise Industries"/>
    <n v="316"/>
    <n v="212.59"/>
    <d v="2025-01-21T00:00:00"/>
    <d v="2025-01-28T00:00:00"/>
    <n v="35.61"/>
    <n v="67178.44"/>
  </r>
  <r>
    <x v="909"/>
    <s v="Notebook"/>
    <x v="0"/>
    <s v="S-105"/>
    <s v="Fresh Mart Logistics"/>
    <n v="478"/>
    <n v="221.73"/>
    <d v="2025-02-01T00:00:00"/>
    <d v="2025-02-13T00:00:00"/>
    <n v="54.39"/>
    <n v="105986.94"/>
  </r>
  <r>
    <x v="910"/>
    <s v="Desk Lamp"/>
    <x v="4"/>
    <s v="S-104"/>
    <s v="Modern Home Supplies"/>
    <n v="407"/>
    <n v="300.16000000000003"/>
    <d v="2025-04-23T00:00:00"/>
    <d v="2025-05-23T00:00:00"/>
    <n v="30.71"/>
    <n v="122165.12000000001"/>
  </r>
  <r>
    <x v="911"/>
    <s v="Stool"/>
    <x v="4"/>
    <s v="S-102"/>
    <s v="Sunrise Industries"/>
    <n v="317"/>
    <n v="431.74"/>
    <d v="2025-05-07T00:00:00"/>
    <d v="2025-05-13T00:00:00"/>
    <n v="57.92"/>
    <n v="136861.58000000002"/>
  </r>
  <r>
    <x v="912"/>
    <s v="Hoodie"/>
    <x v="1"/>
    <s v="S-103"/>
    <s v="Elite Paper Co"/>
    <n v="490"/>
    <n v="153.51"/>
    <d v="2025-01-30T00:00:00"/>
    <d v="2025-02-19T00:00:00"/>
    <n v="41.52"/>
    <n v="75219.899999999994"/>
  </r>
  <r>
    <x v="913"/>
    <s v="Office Chair"/>
    <x v="4"/>
    <s v="S-104"/>
    <s v="Modern Home Supplies"/>
    <n v="18"/>
    <n v="411.53"/>
    <d v="2025-01-25T00:00:00"/>
    <d v="2025-02-15T00:00:00"/>
    <n v="113.29"/>
    <n v="7407.5399999999991"/>
  </r>
  <r>
    <x v="914"/>
    <s v="Stool"/>
    <x v="4"/>
    <s v="S-105"/>
    <s v="Fresh Mart Logistics"/>
    <n v="231"/>
    <n v="498.4"/>
    <d v="2025-05-15T00:00:00"/>
    <d v="2025-05-17T00:00:00"/>
    <n v="79.53"/>
    <n v="115130.4"/>
  </r>
  <r>
    <x v="915"/>
    <s v="Pen Set"/>
    <x v="0"/>
    <s v="S-101"/>
    <s v="Global Tech Corp"/>
    <n v="143"/>
    <n v="341.58"/>
    <d v="2025-01-16T00:00:00"/>
    <d v="2025-02-09T00:00:00"/>
    <n v="64.3"/>
    <n v="48845.939999999995"/>
  </r>
  <r>
    <x v="916"/>
    <s v="Coffee Beans"/>
    <x v="3"/>
    <s v="S-105"/>
    <s v="Fresh Mart Logistics"/>
    <n v="443"/>
    <n v="451.43"/>
    <d v="2025-01-30T00:00:00"/>
    <d v="2025-02-07T00:00:00"/>
    <n v="132.75"/>
    <n v="199983.49"/>
  </r>
  <r>
    <x v="917"/>
    <s v="Notebook"/>
    <x v="0"/>
    <s v="S-105"/>
    <s v="Fresh Mart Logistics"/>
    <n v="187"/>
    <n v="389.59"/>
    <d v="2025-02-23T00:00:00"/>
    <d v="2025-03-01T00:00:00"/>
    <n v="102.05"/>
    <n v="72853.33"/>
  </r>
  <r>
    <x v="918"/>
    <s v="Dark Chocolate"/>
    <x v="3"/>
    <s v="S-101"/>
    <s v="Global Tech Corp"/>
    <n v="387"/>
    <n v="432.74"/>
    <d v="2025-04-15T00:00:00"/>
    <d v="2025-04-21T00:00:00"/>
    <n v="77.69"/>
    <n v="167470.38"/>
  </r>
  <r>
    <x v="919"/>
    <s v="Organic Tea"/>
    <x v="3"/>
    <s v="S-102"/>
    <s v="Sunrise Industries"/>
    <n v="406"/>
    <n v="157.03"/>
    <d v="2025-02-17T00:00:00"/>
    <d v="2025-02-24T00:00:00"/>
    <n v="22.05"/>
    <n v="63754.18"/>
  </r>
  <r>
    <x v="920"/>
    <s v="Laptop"/>
    <x v="2"/>
    <s v="S-101"/>
    <s v="Global Tech Corp"/>
    <n v="474"/>
    <n v="222.28"/>
    <d v="2025-05-10T00:00:00"/>
    <d v="2025-05-22T00:00:00"/>
    <n v="38.43"/>
    <n v="105360.72"/>
  </r>
  <r>
    <x v="921"/>
    <s v="Pen Set"/>
    <x v="0"/>
    <s v="S-101"/>
    <s v="Global Tech Corp"/>
    <n v="392"/>
    <n v="111.21"/>
    <d v="2025-04-24T00:00:00"/>
    <d v="2025-05-09T00:00:00"/>
    <n v="21.69"/>
    <n v="43594.32"/>
  </r>
  <r>
    <x v="922"/>
    <s v="Smartphone"/>
    <x v="2"/>
    <s v="S-104"/>
    <s v="Modern Home Supplies"/>
    <n v="98"/>
    <n v="282.51"/>
    <d v="2025-06-05T00:00:00"/>
    <d v="2025-06-26T00:00:00"/>
    <n v="74.819999999999993"/>
    <n v="27685.98"/>
  </r>
  <r>
    <x v="923"/>
    <s v="Dark Chocolate"/>
    <x v="3"/>
    <s v="S-103"/>
    <s v="Elite Paper Co"/>
    <n v="154"/>
    <n v="66.77"/>
    <d v="2025-06-28T00:00:00"/>
    <d v="2025-07-28T00:00:00"/>
    <n v="7.53"/>
    <n v="10282.58"/>
  </r>
  <r>
    <x v="924"/>
    <s v="Bookshelf"/>
    <x v="4"/>
    <s v="S-102"/>
    <s v="Sunrise Industries"/>
    <n v="241"/>
    <n v="75.62"/>
    <d v="2025-04-08T00:00:00"/>
    <d v="2025-04-29T00:00:00"/>
    <n v="11.11"/>
    <n v="18224.420000000002"/>
  </r>
  <r>
    <x v="925"/>
    <s v="Coffee Beans"/>
    <x v="3"/>
    <s v="S-105"/>
    <s v="Fresh Mart Logistics"/>
    <n v="130"/>
    <n v="30.65"/>
    <d v="2025-03-04T00:00:00"/>
    <d v="2025-03-17T00:00:00"/>
    <n v="3.33"/>
    <n v="3984.5"/>
  </r>
  <r>
    <x v="926"/>
    <s v="Office Chair"/>
    <x v="4"/>
    <s v="S-105"/>
    <s v="Fresh Mart Logistics"/>
    <n v="272"/>
    <n v="202.26"/>
    <d v="2025-06-22T00:00:00"/>
    <d v="2025-07-03T00:00:00"/>
    <n v="51.06"/>
    <n v="55014.720000000001"/>
  </r>
  <r>
    <x v="927"/>
    <s v="Notebook"/>
    <x v="0"/>
    <s v="S-105"/>
    <s v="Fresh Mart Logistics"/>
    <n v="429"/>
    <n v="31.22"/>
    <d v="2025-04-02T00:00:00"/>
    <d v="2025-04-24T00:00:00"/>
    <n v="3.51"/>
    <n v="13393.38"/>
  </r>
  <r>
    <x v="928"/>
    <s v="Coffee Beans"/>
    <x v="3"/>
    <s v="S-104"/>
    <s v="Modern Home Supplies"/>
    <n v="426"/>
    <n v="293.64999999999998"/>
    <d v="2025-04-21T00:00:00"/>
    <d v="2025-04-22T00:00:00"/>
    <n v="56.04"/>
    <n v="125094.9"/>
  </r>
  <r>
    <x v="929"/>
    <s v="Bookshelf"/>
    <x v="4"/>
    <s v="S-101"/>
    <s v="Global Tech Corp"/>
    <n v="59"/>
    <n v="277.07"/>
    <d v="2025-06-06T00:00:00"/>
    <d v="2025-06-29T00:00:00"/>
    <n v="82.57"/>
    <n v="16347.13"/>
  </r>
  <r>
    <x v="930"/>
    <s v="Hoodie"/>
    <x v="1"/>
    <s v="S-105"/>
    <s v="Fresh Mart Logistics"/>
    <n v="335"/>
    <n v="256.57"/>
    <d v="2025-01-17T00:00:00"/>
    <d v="2025-01-24T00:00:00"/>
    <n v="46.85"/>
    <n v="85950.95"/>
  </r>
  <r>
    <x v="931"/>
    <s v="T-Shirt"/>
    <x v="1"/>
    <s v="S-102"/>
    <s v="Sunrise Industries"/>
    <n v="365"/>
    <n v="169.22"/>
    <d v="2025-06-21T00:00:00"/>
    <d v="2025-07-06T00:00:00"/>
    <n v="23.35"/>
    <n v="61765.3"/>
  </r>
  <r>
    <x v="932"/>
    <s v="Almonds"/>
    <x v="3"/>
    <s v="S-105"/>
    <s v="Fresh Mart Logistics"/>
    <n v="55"/>
    <n v="482.94"/>
    <d v="2025-01-06T00:00:00"/>
    <d v="2025-01-16T00:00:00"/>
    <n v="50.79"/>
    <n v="26561.7"/>
  </r>
  <r>
    <x v="933"/>
    <s v="Bookshelf"/>
    <x v="4"/>
    <s v="S-103"/>
    <s v="Elite Paper Co"/>
    <n v="352"/>
    <n v="341.25"/>
    <d v="2025-03-17T00:00:00"/>
    <d v="2025-03-23T00:00:00"/>
    <n v="88.26"/>
    <n v="120120"/>
  </r>
  <r>
    <x v="934"/>
    <s v="Cap"/>
    <x v="1"/>
    <s v="S-102"/>
    <s v="Sunrise Industries"/>
    <n v="153"/>
    <n v="19.73"/>
    <d v="2025-04-18T00:00:00"/>
    <d v="2025-05-04T00:00:00"/>
    <n v="4.25"/>
    <n v="3018.69"/>
  </r>
  <r>
    <x v="935"/>
    <s v="Notebook"/>
    <x v="0"/>
    <s v="S-105"/>
    <s v="Fresh Mart Logistics"/>
    <n v="60"/>
    <n v="435.87"/>
    <d v="2025-06-23T00:00:00"/>
    <d v="2025-06-28T00:00:00"/>
    <n v="108.95"/>
    <n v="26152.2"/>
  </r>
  <r>
    <x v="936"/>
    <s v="Desk Organizer"/>
    <x v="0"/>
    <s v="S-101"/>
    <s v="Global Tech Corp"/>
    <n v="458"/>
    <n v="176.16"/>
    <d v="2025-01-19T00:00:00"/>
    <d v="2025-02-09T00:00:00"/>
    <n v="24.29"/>
    <n v="80681.279999999999"/>
  </r>
  <r>
    <x v="937"/>
    <s v="T-Shirt"/>
    <x v="1"/>
    <s v="S-104"/>
    <s v="Modern Home Supplies"/>
    <n v="130"/>
    <n v="168.69"/>
    <d v="2025-06-01T00:00:00"/>
    <d v="2025-06-03T00:00:00"/>
    <n v="35.25"/>
    <n v="21929.7"/>
  </r>
  <r>
    <x v="938"/>
    <s v="Smartphone"/>
    <x v="2"/>
    <s v="S-103"/>
    <s v="Elite Paper Co"/>
    <n v="78"/>
    <n v="379.41"/>
    <d v="2025-03-31T00:00:00"/>
    <d v="2025-04-05T00:00:00"/>
    <n v="67.099999999999994"/>
    <n v="29593.980000000003"/>
  </r>
  <r>
    <x v="939"/>
    <s v="Desk Lamp"/>
    <x v="4"/>
    <s v="S-101"/>
    <s v="Global Tech Corp"/>
    <n v="151"/>
    <n v="303.07"/>
    <d v="2025-04-03T00:00:00"/>
    <d v="2025-04-17T00:00:00"/>
    <n v="72.31"/>
    <n v="45763.57"/>
  </r>
  <r>
    <x v="940"/>
    <s v="Pen Set"/>
    <x v="0"/>
    <s v="S-101"/>
    <s v="Global Tech Corp"/>
    <n v="413"/>
    <n v="181.83"/>
    <d v="2025-04-12T00:00:00"/>
    <d v="2025-04-17T00:00:00"/>
    <n v="50.23"/>
    <n v="75095.790000000008"/>
  </r>
  <r>
    <x v="941"/>
    <s v="Desk Lamp"/>
    <x v="4"/>
    <s v="S-105"/>
    <s v="Fresh Mart Logistics"/>
    <n v="370"/>
    <n v="428.41"/>
    <d v="2025-01-07T00:00:00"/>
    <d v="2025-01-22T00:00:00"/>
    <n v="97.41"/>
    <n v="158511.70000000001"/>
  </r>
  <r>
    <x v="942"/>
    <s v="Dark Chocolate"/>
    <x v="3"/>
    <s v="S-101"/>
    <s v="Global Tech Corp"/>
    <n v="333"/>
    <n v="17.72"/>
    <d v="2025-06-11T00:00:00"/>
    <d v="2025-06-15T00:00:00"/>
    <n v="2.08"/>
    <n v="5900.7599999999993"/>
  </r>
  <r>
    <x v="943"/>
    <s v="Tablet"/>
    <x v="2"/>
    <s v="S-103"/>
    <s v="Elite Paper Co"/>
    <n v="414"/>
    <n v="434.22"/>
    <d v="2025-04-05T00:00:00"/>
    <d v="2025-04-27T00:00:00"/>
    <n v="107.71"/>
    <n v="179767.08000000002"/>
  </r>
  <r>
    <x v="944"/>
    <s v="Hoodie"/>
    <x v="1"/>
    <s v="S-101"/>
    <s v="Global Tech Corp"/>
    <n v="220"/>
    <n v="173.58"/>
    <d v="2025-03-27T00:00:00"/>
    <d v="2025-04-03T00:00:00"/>
    <n v="44.17"/>
    <n v="38187.600000000006"/>
  </r>
  <r>
    <x v="945"/>
    <s v="Office Chair"/>
    <x v="4"/>
    <s v="S-103"/>
    <s v="Elite Paper Co"/>
    <n v="161"/>
    <n v="409.15"/>
    <d v="2025-01-29T00:00:00"/>
    <d v="2025-02-26T00:00:00"/>
    <n v="46.72"/>
    <n v="65873.149999999994"/>
  </r>
  <r>
    <x v="946"/>
    <s v="Notebook"/>
    <x v="0"/>
    <s v="S-103"/>
    <s v="Elite Paper Co"/>
    <n v="325"/>
    <n v="297.08999999999997"/>
    <d v="2025-04-08T00:00:00"/>
    <d v="2025-05-08T00:00:00"/>
    <n v="75.75"/>
    <n v="96554.249999999985"/>
  </r>
  <r>
    <x v="947"/>
    <s v="Cap"/>
    <x v="1"/>
    <s v="S-103"/>
    <s v="Elite Paper Co"/>
    <n v="350"/>
    <n v="452.99"/>
    <d v="2025-01-29T00:00:00"/>
    <d v="2025-02-15T00:00:00"/>
    <n v="49.41"/>
    <n v="158546.5"/>
  </r>
  <r>
    <x v="948"/>
    <s v="Notebook"/>
    <x v="0"/>
    <s v="S-103"/>
    <s v="Elite Paper Co"/>
    <n v="427"/>
    <n v="36.72"/>
    <d v="2025-03-30T00:00:00"/>
    <d v="2025-04-24T00:00:00"/>
    <n v="9.6999999999999993"/>
    <n v="15679.439999999999"/>
  </r>
  <r>
    <x v="949"/>
    <s v="Notebook"/>
    <x v="0"/>
    <s v="S-105"/>
    <s v="Fresh Mart Logistics"/>
    <n v="178"/>
    <n v="225.93"/>
    <d v="2025-04-27T00:00:00"/>
    <d v="2025-05-13T00:00:00"/>
    <n v="48.43"/>
    <n v="40215.54"/>
  </r>
  <r>
    <x v="950"/>
    <s v="Desk Lamp"/>
    <x v="4"/>
    <s v="S-105"/>
    <s v="Fresh Mart Logistics"/>
    <n v="285"/>
    <n v="242.85"/>
    <d v="2025-06-12T00:00:00"/>
    <d v="2025-06-23T00:00:00"/>
    <n v="38.44"/>
    <n v="69212.25"/>
  </r>
  <r>
    <x v="951"/>
    <s v="Almonds"/>
    <x v="3"/>
    <s v="S-102"/>
    <s v="Sunrise Industries"/>
    <n v="33"/>
    <n v="119.21"/>
    <d v="2025-05-17T00:00:00"/>
    <d v="2025-06-01T00:00:00"/>
    <n v="27.37"/>
    <n v="3933.93"/>
  </r>
  <r>
    <x v="952"/>
    <s v="Desk Lamp"/>
    <x v="4"/>
    <s v="S-101"/>
    <s v="Global Tech Corp"/>
    <n v="461"/>
    <n v="155.05000000000001"/>
    <d v="2025-02-03T00:00:00"/>
    <d v="2025-02-22T00:00:00"/>
    <n v="19.98"/>
    <n v="71478.05"/>
  </r>
  <r>
    <x v="953"/>
    <s v="Coffee Beans"/>
    <x v="3"/>
    <s v="S-101"/>
    <s v="Global Tech Corp"/>
    <n v="429"/>
    <n v="135.97999999999999"/>
    <d v="2025-06-29T00:00:00"/>
    <d v="2025-07-26T00:00:00"/>
    <n v="24.34"/>
    <n v="58335.42"/>
  </r>
  <r>
    <x v="954"/>
    <s v="Hoodie"/>
    <x v="1"/>
    <s v="S-103"/>
    <s v="Elite Paper Co"/>
    <n v="17"/>
    <n v="95.56"/>
    <d v="2025-03-30T00:00:00"/>
    <d v="2025-04-08T00:00:00"/>
    <n v="26.73"/>
    <n v="1624.52"/>
  </r>
  <r>
    <x v="955"/>
    <s v="Desk Lamp"/>
    <x v="4"/>
    <s v="S-105"/>
    <s v="Fresh Mart Logistics"/>
    <n v="259"/>
    <n v="229.47"/>
    <d v="2025-02-25T00:00:00"/>
    <d v="2025-03-18T00:00:00"/>
    <n v="52.4"/>
    <n v="59432.73"/>
  </r>
  <r>
    <x v="956"/>
    <s v="Cap"/>
    <x v="1"/>
    <s v="S-101"/>
    <s v="Global Tech Corp"/>
    <n v="24"/>
    <n v="289.56"/>
    <d v="2025-04-16T00:00:00"/>
    <d v="2025-05-13T00:00:00"/>
    <n v="36.39"/>
    <n v="6949.4400000000005"/>
  </r>
  <r>
    <x v="957"/>
    <s v="Almonds"/>
    <x v="3"/>
    <s v="S-103"/>
    <s v="Elite Paper Co"/>
    <n v="31"/>
    <n v="374.98"/>
    <d v="2025-04-26T00:00:00"/>
    <d v="2025-05-02T00:00:00"/>
    <n v="72.62"/>
    <n v="11624.380000000001"/>
  </r>
  <r>
    <x v="958"/>
    <s v="Pen Set"/>
    <x v="0"/>
    <s v="S-103"/>
    <s v="Elite Paper Co"/>
    <n v="73"/>
    <n v="361.38"/>
    <d v="2025-05-28T00:00:00"/>
    <d v="2025-06-26T00:00:00"/>
    <n v="80.05"/>
    <n v="26380.739999999998"/>
  </r>
  <r>
    <x v="959"/>
    <s v="Notebook"/>
    <x v="0"/>
    <s v="S-103"/>
    <s v="Elite Paper Co"/>
    <n v="73"/>
    <n v="84.43"/>
    <d v="2025-01-05T00:00:00"/>
    <d v="2025-01-08T00:00:00"/>
    <n v="11.66"/>
    <n v="6163.39"/>
  </r>
  <r>
    <x v="960"/>
    <s v="Socks"/>
    <x v="1"/>
    <s v="S-105"/>
    <s v="Fresh Mart Logistics"/>
    <n v="22"/>
    <n v="499.17"/>
    <d v="2025-05-24T00:00:00"/>
    <d v="2025-06-13T00:00:00"/>
    <n v="100.14"/>
    <n v="10981.74"/>
  </r>
  <r>
    <x v="961"/>
    <s v="Desk Lamp"/>
    <x v="4"/>
    <s v="S-101"/>
    <s v="Global Tech Corp"/>
    <n v="296"/>
    <n v="368.48"/>
    <d v="2025-05-27T00:00:00"/>
    <d v="2025-06-24T00:00:00"/>
    <n v="83.38"/>
    <n v="109070.08"/>
  </r>
  <r>
    <x v="962"/>
    <s v="Marker"/>
    <x v="0"/>
    <s v="S-101"/>
    <s v="Global Tech Corp"/>
    <n v="283"/>
    <n v="230.46"/>
    <d v="2025-06-03T00:00:00"/>
    <d v="2025-06-10T00:00:00"/>
    <n v="36.340000000000003"/>
    <n v="65220.18"/>
  </r>
  <r>
    <x v="963"/>
    <s v="Desk Organizer"/>
    <x v="0"/>
    <s v="S-101"/>
    <s v="Global Tech Corp"/>
    <n v="27"/>
    <n v="477.08"/>
    <d v="2025-03-07T00:00:00"/>
    <d v="2025-03-17T00:00:00"/>
    <n v="133.75"/>
    <n v="12881.16"/>
  </r>
  <r>
    <x v="964"/>
    <s v="Headphones"/>
    <x v="2"/>
    <s v="S-104"/>
    <s v="Modern Home Supplies"/>
    <n v="16"/>
    <n v="475.43"/>
    <d v="2025-06-30T00:00:00"/>
    <d v="2025-07-24T00:00:00"/>
    <n v="61.99"/>
    <n v="7606.88"/>
  </r>
  <r>
    <x v="965"/>
    <s v="Headphones"/>
    <x v="2"/>
    <s v="S-105"/>
    <s v="Fresh Mart Logistics"/>
    <n v="489"/>
    <n v="426.95"/>
    <d v="2025-04-01T00:00:00"/>
    <d v="2025-04-03T00:00:00"/>
    <n v="71.95"/>
    <n v="208778.55"/>
  </r>
  <r>
    <x v="966"/>
    <s v="Pen Set"/>
    <x v="0"/>
    <s v="S-103"/>
    <s v="Elite Paper Co"/>
    <n v="284"/>
    <n v="80.59"/>
    <d v="2025-01-16T00:00:00"/>
    <d v="2025-01-25T00:00:00"/>
    <n v="16.89"/>
    <n v="22887.56"/>
  </r>
  <r>
    <x v="967"/>
    <s v="Smartphone"/>
    <x v="2"/>
    <s v="S-102"/>
    <s v="Sunrise Industries"/>
    <n v="391"/>
    <n v="73.540000000000006"/>
    <d v="2025-04-18T00:00:00"/>
    <d v="2025-04-21T00:00:00"/>
    <n v="10.55"/>
    <n v="28754.140000000003"/>
  </r>
  <r>
    <x v="968"/>
    <s v="Hoodie"/>
    <x v="1"/>
    <s v="S-104"/>
    <s v="Modern Home Supplies"/>
    <n v="38"/>
    <n v="470.81"/>
    <d v="2025-04-09T00:00:00"/>
    <d v="2025-04-25T00:00:00"/>
    <n v="113.83"/>
    <n v="17890.78"/>
  </r>
  <r>
    <x v="969"/>
    <s v="Dark Chocolate"/>
    <x v="3"/>
    <s v="S-101"/>
    <s v="Global Tech Corp"/>
    <n v="171"/>
    <n v="55.77"/>
    <d v="2025-06-18T00:00:00"/>
    <d v="2025-07-18T00:00:00"/>
    <n v="8.34"/>
    <n v="9536.67"/>
  </r>
  <r>
    <x v="970"/>
    <s v="Desk Lamp"/>
    <x v="4"/>
    <s v="S-102"/>
    <s v="Sunrise Industries"/>
    <n v="322"/>
    <n v="81.430000000000007"/>
    <d v="2025-02-24T00:00:00"/>
    <d v="2025-02-28T00:00:00"/>
    <n v="14.01"/>
    <n v="26220.460000000003"/>
  </r>
  <r>
    <x v="971"/>
    <s v="Organic Tea"/>
    <x v="3"/>
    <s v="S-103"/>
    <s v="Elite Paper Co"/>
    <n v="46"/>
    <n v="470.41"/>
    <d v="2025-05-26T00:00:00"/>
    <d v="2025-06-16T00:00:00"/>
    <n v="68.12"/>
    <n v="21638.86"/>
  </r>
  <r>
    <x v="972"/>
    <s v="Desk Organizer"/>
    <x v="0"/>
    <s v="S-101"/>
    <s v="Global Tech Corp"/>
    <n v="329"/>
    <n v="28.41"/>
    <d v="2025-01-31T00:00:00"/>
    <d v="2025-02-11T00:00:00"/>
    <n v="5.21"/>
    <n v="9346.89"/>
  </r>
  <r>
    <x v="973"/>
    <s v="Hoodie"/>
    <x v="1"/>
    <s v="S-104"/>
    <s v="Modern Home Supplies"/>
    <n v="230"/>
    <n v="350.28"/>
    <d v="2025-05-17T00:00:00"/>
    <d v="2025-05-24T00:00:00"/>
    <n v="96.71"/>
    <n v="80564.399999999994"/>
  </r>
  <r>
    <x v="974"/>
    <s v="Office Chair"/>
    <x v="4"/>
    <s v="S-104"/>
    <s v="Modern Home Supplies"/>
    <n v="201"/>
    <n v="168.96"/>
    <d v="2025-04-09T00:00:00"/>
    <d v="2025-04-25T00:00:00"/>
    <n v="26.16"/>
    <n v="33960.959999999999"/>
  </r>
  <r>
    <x v="975"/>
    <s v="Laptop"/>
    <x v="2"/>
    <s v="S-105"/>
    <s v="Fresh Mart Logistics"/>
    <n v="444"/>
    <n v="491.77"/>
    <d v="2025-04-15T00:00:00"/>
    <d v="2025-04-19T00:00:00"/>
    <n v="69.84"/>
    <n v="218345.88"/>
  </r>
  <r>
    <x v="976"/>
    <s v="Pen Set"/>
    <x v="0"/>
    <s v="S-104"/>
    <s v="Modern Home Supplies"/>
    <n v="468"/>
    <n v="353.95"/>
    <d v="2025-06-06T00:00:00"/>
    <d v="2025-06-14T00:00:00"/>
    <n v="94.4"/>
    <n v="165648.6"/>
  </r>
  <r>
    <x v="977"/>
    <s v="Headphones"/>
    <x v="2"/>
    <s v="S-103"/>
    <s v="Elite Paper Co"/>
    <n v="407"/>
    <n v="78.53"/>
    <d v="2025-06-05T00:00:00"/>
    <d v="2025-07-05T00:00:00"/>
    <n v="16.43"/>
    <n v="31961.71"/>
  </r>
  <r>
    <x v="978"/>
    <s v="Smartphone"/>
    <x v="2"/>
    <s v="S-105"/>
    <s v="Fresh Mart Logistics"/>
    <n v="224"/>
    <n v="204.91"/>
    <d v="2025-03-12T00:00:00"/>
    <d v="2025-04-10T00:00:00"/>
    <n v="27.95"/>
    <n v="45899.839999999997"/>
  </r>
  <r>
    <x v="979"/>
    <s v="Laptop"/>
    <x v="2"/>
    <s v="S-104"/>
    <s v="Modern Home Supplies"/>
    <n v="132"/>
    <n v="342.11"/>
    <d v="2025-01-25T00:00:00"/>
    <d v="2025-02-23T00:00:00"/>
    <n v="72.2"/>
    <n v="45158.520000000004"/>
  </r>
  <r>
    <x v="980"/>
    <s v="Almonds"/>
    <x v="3"/>
    <s v="S-102"/>
    <s v="Sunrise Industries"/>
    <n v="50"/>
    <n v="301.51"/>
    <d v="2025-06-11T00:00:00"/>
    <d v="2025-07-10T00:00:00"/>
    <n v="64.7"/>
    <n v="15075.5"/>
  </r>
  <r>
    <x v="981"/>
    <s v="Cap"/>
    <x v="1"/>
    <s v="S-105"/>
    <s v="Fresh Mart Logistics"/>
    <n v="96"/>
    <n v="359.65"/>
    <d v="2025-04-16T00:00:00"/>
    <d v="2025-05-09T00:00:00"/>
    <n v="78.239999999999995"/>
    <n v="34526.399999999994"/>
  </r>
  <r>
    <x v="982"/>
    <s v="Headphones"/>
    <x v="2"/>
    <s v="S-102"/>
    <s v="Sunrise Industries"/>
    <n v="30"/>
    <n v="301.20999999999998"/>
    <d v="2025-02-02T00:00:00"/>
    <d v="2025-03-01T00:00:00"/>
    <n v="64.02"/>
    <n v="9036.2999999999993"/>
  </r>
  <r>
    <x v="983"/>
    <s v="Smartphone"/>
    <x v="2"/>
    <s v="S-103"/>
    <s v="Elite Paper Co"/>
    <n v="188"/>
    <n v="249.81"/>
    <d v="2025-02-14T00:00:00"/>
    <d v="2025-03-15T00:00:00"/>
    <n v="53.47"/>
    <n v="46964.28"/>
  </r>
  <r>
    <x v="984"/>
    <s v="Hoodie"/>
    <x v="1"/>
    <s v="S-104"/>
    <s v="Modern Home Supplies"/>
    <n v="366"/>
    <n v="210.07"/>
    <d v="2025-02-22T00:00:00"/>
    <d v="2025-03-08T00:00:00"/>
    <n v="55.81"/>
    <n v="76885.62"/>
  </r>
  <r>
    <x v="985"/>
    <s v="Socks"/>
    <x v="1"/>
    <s v="S-101"/>
    <s v="Global Tech Corp"/>
    <n v="360"/>
    <n v="35.75"/>
    <d v="2025-03-31T00:00:00"/>
    <d v="2025-04-24T00:00:00"/>
    <n v="8.18"/>
    <n v="12870"/>
  </r>
  <r>
    <x v="986"/>
    <s v="T-Shirt"/>
    <x v="1"/>
    <s v="S-105"/>
    <s v="Fresh Mart Logistics"/>
    <n v="276"/>
    <n v="33.64"/>
    <d v="2025-06-07T00:00:00"/>
    <d v="2025-06-09T00:00:00"/>
    <n v="4.6500000000000004"/>
    <n v="9284.64"/>
  </r>
  <r>
    <x v="987"/>
    <s v="Socks"/>
    <x v="1"/>
    <s v="S-105"/>
    <s v="Fresh Mart Logistics"/>
    <n v="79"/>
    <n v="309.83"/>
    <d v="2025-02-04T00:00:00"/>
    <d v="2025-02-28T00:00:00"/>
    <n v="47.68"/>
    <n v="24476.57"/>
  </r>
  <r>
    <x v="988"/>
    <s v="Smartphone"/>
    <x v="2"/>
    <s v="S-103"/>
    <s v="Elite Paper Co"/>
    <n v="47"/>
    <n v="143.52000000000001"/>
    <d v="2025-04-19T00:00:00"/>
    <d v="2025-04-22T00:00:00"/>
    <n v="37.29"/>
    <n v="6745.4400000000005"/>
  </r>
  <r>
    <x v="989"/>
    <s v="Almonds"/>
    <x v="3"/>
    <s v="S-101"/>
    <s v="Global Tech Corp"/>
    <n v="443"/>
    <n v="108.08"/>
    <d v="2025-01-27T00:00:00"/>
    <d v="2025-02-15T00:00:00"/>
    <n v="13.13"/>
    <n v="47879.44"/>
  </r>
  <r>
    <x v="990"/>
    <s v="Socks"/>
    <x v="1"/>
    <s v="S-104"/>
    <s v="Modern Home Supplies"/>
    <n v="454"/>
    <n v="459.71"/>
    <d v="2025-05-20T00:00:00"/>
    <d v="2025-05-23T00:00:00"/>
    <n v="108.62"/>
    <n v="208708.34"/>
  </r>
  <r>
    <x v="991"/>
    <s v="Marker"/>
    <x v="0"/>
    <s v="S-101"/>
    <s v="Global Tech Corp"/>
    <n v="177"/>
    <n v="309.26"/>
    <d v="2025-03-18T00:00:00"/>
    <d v="2025-03-21T00:00:00"/>
    <n v="89.16"/>
    <n v="54739.02"/>
  </r>
  <r>
    <x v="992"/>
    <s v="Stool"/>
    <x v="4"/>
    <s v="S-102"/>
    <s v="Sunrise Industries"/>
    <n v="149"/>
    <n v="475.08"/>
    <d v="2025-05-18T00:00:00"/>
    <d v="2025-05-28T00:00:00"/>
    <n v="132.18"/>
    <n v="70786.92"/>
  </r>
  <r>
    <x v="993"/>
    <s v="Smartphone"/>
    <x v="2"/>
    <s v="S-102"/>
    <s v="Sunrise Industries"/>
    <n v="39"/>
    <n v="326.14999999999998"/>
    <d v="2025-06-09T00:00:00"/>
    <d v="2025-06-16T00:00:00"/>
    <n v="71.19"/>
    <n v="12719.849999999999"/>
  </r>
  <r>
    <x v="994"/>
    <s v="Almonds"/>
    <x v="3"/>
    <s v="S-104"/>
    <s v="Modern Home Supplies"/>
    <n v="37"/>
    <n v="28.66"/>
    <d v="2025-02-26T00:00:00"/>
    <d v="2025-03-17T00:00:00"/>
    <n v="3.84"/>
    <n v="1060.42"/>
  </r>
  <r>
    <x v="995"/>
    <s v="Stool"/>
    <x v="4"/>
    <s v="S-101"/>
    <s v="Global Tech Corp"/>
    <n v="432"/>
    <n v="88.28"/>
    <d v="2025-02-05T00:00:00"/>
    <d v="2025-02-22T00:00:00"/>
    <n v="15.09"/>
    <n v="38136.959999999999"/>
  </r>
  <r>
    <x v="996"/>
    <s v="Hoodie"/>
    <x v="1"/>
    <s v="S-102"/>
    <s v="Sunrise Industries"/>
    <n v="386"/>
    <n v="452.56"/>
    <d v="2025-04-09T00:00:00"/>
    <d v="2025-04-28T00:00:00"/>
    <n v="49.58"/>
    <n v="174688.16"/>
  </r>
  <r>
    <x v="997"/>
    <s v="Office Chair"/>
    <x v="4"/>
    <s v="S-101"/>
    <s v="Global Tech Corp"/>
    <n v="478"/>
    <n v="378.97"/>
    <d v="2025-06-06T00:00:00"/>
    <d v="2025-06-21T00:00:00"/>
    <n v="37.99"/>
    <n v="181147.66"/>
  </r>
  <r>
    <x v="998"/>
    <s v="Stool"/>
    <x v="4"/>
    <s v="S-101"/>
    <s v="Global Tech Corp"/>
    <n v="334"/>
    <n v="186.02"/>
    <d v="2025-06-10T00:00:00"/>
    <d v="2025-07-03T00:00:00"/>
    <n v="23.88"/>
    <n v="62130.68"/>
  </r>
  <r>
    <x v="999"/>
    <s v="Marker"/>
    <x v="0"/>
    <s v="S-103"/>
    <s v="Elite Paper Co"/>
    <n v="474"/>
    <n v="368.05"/>
    <d v="2025-04-10T00:00:00"/>
    <d v="2025-04-17T00:00:00"/>
    <n v="110.36"/>
    <n v="174455.7"/>
  </r>
  <r>
    <x v="1000"/>
    <m/>
    <x v="5"/>
    <m/>
    <m/>
    <m/>
    <m/>
    <m/>
    <m/>
    <m/>
    <n v="65863944.860000074"/>
  </r>
  <r>
    <x v="1000"/>
    <m/>
    <x v="5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ROD-1001"/>
    <s v="Marker"/>
    <x v="0"/>
    <s v="S-105"/>
    <s v="Fresh Mart Logistics"/>
    <n v="78"/>
    <n v="303.98"/>
    <d v="2025-01-07T00:00:00"/>
    <d v="2025-01-15T00:00:00"/>
    <n v="42.7"/>
    <n v="23710.440000000002"/>
    <n v="3330.6000000000004"/>
    <n v="8"/>
    <n v="0.14046976774787814"/>
  </r>
  <r>
    <s v="PROD-1002"/>
    <s v="Hoodie"/>
    <x v="1"/>
    <s v="S-104"/>
    <s v="Modern Home Supplies"/>
    <n v="153"/>
    <n v="246.75"/>
    <d v="2025-01-14T00:00:00"/>
    <d v="2025-01-16T00:00:00"/>
    <n v="24.71"/>
    <n v="37752.75"/>
    <n v="3780.63"/>
    <n v="2"/>
    <n v="0.10014184397163121"/>
  </r>
  <r>
    <s v="PROD-1003"/>
    <s v="Smartphone"/>
    <x v="2"/>
    <s v="S-105"/>
    <s v="Fresh Mart Logistics"/>
    <n v="160"/>
    <n v="498.55"/>
    <d v="2025-02-04T00:00:00"/>
    <d v="2025-02-07T00:00:00"/>
    <n v="128.54"/>
    <n v="79768"/>
    <n v="20566.399999999998"/>
    <n v="3"/>
    <n v="0.25782770033095975"/>
  </r>
  <r>
    <s v="PROD-1004"/>
    <s v="Laptop"/>
    <x v="2"/>
    <s v="S-103"/>
    <s v="Elite Paper Co"/>
    <n v="388"/>
    <n v="433.61"/>
    <d v="2025-05-18T00:00:00"/>
    <d v="2025-06-11T00:00:00"/>
    <n v="101.29"/>
    <n v="168240.68"/>
    <n v="39300.520000000004"/>
    <n v="24"/>
    <n v="0.23359701113904199"/>
  </r>
  <r>
    <s v="PROD-1005"/>
    <s v="Dark Chocolate"/>
    <x v="3"/>
    <s v="S-101"/>
    <s v="Global Tech Corp"/>
    <n v="151"/>
    <n v="464.55"/>
    <d v="2025-04-28T00:00:00"/>
    <d v="2025-05-10T00:00:00"/>
    <n v="68.61"/>
    <n v="70147.05"/>
    <n v="10360.11"/>
    <n v="12"/>
    <n v="0.14769131417500805"/>
  </r>
  <r>
    <s v="PROD-1006"/>
    <s v="Hoodie"/>
    <x v="1"/>
    <s v="S-101"/>
    <s v="Global Tech Corp"/>
    <n v="457"/>
    <n v="181.99"/>
    <d v="2025-02-14T00:00:00"/>
    <d v="2025-03-09T00:00:00"/>
    <n v="44.18"/>
    <n v="83169.430000000008"/>
    <n v="20190.259999999998"/>
    <n v="23"/>
    <n v="0.24276059124127697"/>
  </r>
  <r>
    <s v="PROD-1007"/>
    <s v="Stool"/>
    <x v="4"/>
    <s v="S-105"/>
    <s v="Fresh Mart Logistics"/>
    <n v="271"/>
    <n v="345.91"/>
    <d v="2025-01-13T00:00:00"/>
    <d v="2025-01-18T00:00:00"/>
    <n v="83.64"/>
    <n v="93741.61"/>
    <n v="22666.44"/>
    <n v="5"/>
    <n v="0.24179699921945014"/>
  </r>
  <r>
    <s v="PROD-1008"/>
    <s v="Headphones"/>
    <x v="2"/>
    <s v="S-103"/>
    <s v="Elite Paper Co"/>
    <n v="233"/>
    <n v="116.07"/>
    <d v="2025-02-18T00:00:00"/>
    <d v="2025-02-23T00:00:00"/>
    <n v="25.64"/>
    <n v="27044.309999999998"/>
    <n v="5974.12"/>
    <n v="5"/>
    <n v="0.22090118032221936"/>
  </r>
  <r>
    <s v="PROD-1009"/>
    <s v="Notebook"/>
    <x v="0"/>
    <s v="S-102"/>
    <s v="Sunrise Industries"/>
    <n v="27"/>
    <n v="467.87"/>
    <d v="2025-06-12T00:00:00"/>
    <d v="2025-06-21T00:00:00"/>
    <n v="89.53"/>
    <n v="12632.49"/>
    <n v="2417.31"/>
    <n v="9"/>
    <n v="0.19135657340714302"/>
  </r>
  <r>
    <s v="PROD-1010"/>
    <s v="Desk Lamp"/>
    <x v="4"/>
    <s v="S-101"/>
    <s v="Global Tech Corp"/>
    <n v="317"/>
    <n v="19.21"/>
    <d v="2025-03-09T00:00:00"/>
    <d v="2025-04-01T00:00:00"/>
    <n v="3.26"/>
    <n v="6089.5700000000006"/>
    <n v="1033.4199999999998"/>
    <n v="23"/>
    <n v="0.16970327954190523"/>
  </r>
  <r>
    <s v="PROD-1011"/>
    <s v="Marker"/>
    <x v="0"/>
    <s v="S-105"/>
    <s v="Fresh Mart Logistics"/>
    <n v="261"/>
    <n v="313.08"/>
    <d v="2025-04-03T00:00:00"/>
    <d v="2025-04-13T00:00:00"/>
    <n v="79.09"/>
    <n v="81713.87999999999"/>
    <n v="20642.490000000002"/>
    <n v="10"/>
    <n v="0.252619138878242"/>
  </r>
  <r>
    <s v="PROD-1012"/>
    <s v="Marker"/>
    <x v="0"/>
    <s v="S-101"/>
    <s v="Global Tech Corp"/>
    <n v="177"/>
    <n v="252.91"/>
    <d v="2025-06-26T00:00:00"/>
    <d v="2025-07-05T00:00:00"/>
    <n v="69.2"/>
    <n v="44765.07"/>
    <n v="12248.4"/>
    <n v="9"/>
    <n v="0.27361512000316318"/>
  </r>
  <r>
    <s v="PROD-1013"/>
    <s v="T-Shirt"/>
    <x v="1"/>
    <s v="S-101"/>
    <s v="Global Tech Corp"/>
    <n v="324"/>
    <n v="353.67"/>
    <d v="2025-05-14T00:00:00"/>
    <d v="2025-06-13T00:00:00"/>
    <n v="81.69"/>
    <n v="114589.08"/>
    <n v="26467.559999999998"/>
    <n v="30"/>
    <n v="0.23097803036729153"/>
  </r>
  <r>
    <s v="PROD-1014"/>
    <s v="T-Shirt"/>
    <x v="1"/>
    <s v="S-104"/>
    <s v="Modern Home Supplies"/>
    <n v="62"/>
    <n v="63.73"/>
    <d v="2025-05-07T00:00:00"/>
    <d v="2025-06-05T00:00:00"/>
    <n v="10.050000000000001"/>
    <n v="3951.2599999999998"/>
    <n v="623.1"/>
    <n v="29"/>
    <n v="0.15769653224541033"/>
  </r>
  <r>
    <s v="PROD-1015"/>
    <s v="Cap"/>
    <x v="1"/>
    <s v="S-102"/>
    <s v="Sunrise Industries"/>
    <n v="375"/>
    <n v="403.37"/>
    <d v="2025-02-02T00:00:00"/>
    <d v="2025-02-18T00:00:00"/>
    <n v="86.46"/>
    <n v="151263.75"/>
    <n v="32422.499999999996"/>
    <n v="16"/>
    <n v="0.21434415053176983"/>
  </r>
  <r>
    <s v="PROD-1016"/>
    <s v="Pen Set"/>
    <x v="0"/>
    <s v="S-101"/>
    <s v="Global Tech Corp"/>
    <n v="365"/>
    <n v="379.32"/>
    <d v="2025-06-18T00:00:00"/>
    <d v="2025-07-08T00:00:00"/>
    <n v="60.25"/>
    <n v="138451.79999999999"/>
    <n v="21991.25"/>
    <n v="20"/>
    <n v="0.15883686597068439"/>
  </r>
  <r>
    <s v="PROD-1017"/>
    <s v="Pen Set"/>
    <x v="0"/>
    <s v="S-101"/>
    <s v="Global Tech Corp"/>
    <n v="369"/>
    <n v="7.43"/>
    <d v="2025-04-27T00:00:00"/>
    <d v="2025-05-01T00:00:00"/>
    <n v="1.79"/>
    <n v="2741.67"/>
    <n v="660.51"/>
    <n v="4"/>
    <n v="0.24091520861372814"/>
  </r>
  <r>
    <s v="PROD-1018"/>
    <s v="T-Shirt"/>
    <x v="1"/>
    <s v="S-104"/>
    <s v="Modern Home Supplies"/>
    <n v="414"/>
    <n v="221.84"/>
    <d v="2025-04-08T00:00:00"/>
    <d v="2025-05-06T00:00:00"/>
    <n v="35.479999999999997"/>
    <n v="91841.76"/>
    <n v="14688.72"/>
    <n v="28"/>
    <n v="0.15993508835196538"/>
  </r>
  <r>
    <s v="PROD-1019"/>
    <s v="Laptop"/>
    <x v="2"/>
    <s v="S-101"/>
    <s v="Global Tech Corp"/>
    <n v="177"/>
    <n v="367.82"/>
    <d v="2025-03-13T00:00:00"/>
    <d v="2025-03-17T00:00:00"/>
    <n v="105.7"/>
    <n v="65104.14"/>
    <n v="18708.900000000001"/>
    <n v="4"/>
    <n v="0.28736882170626937"/>
  </r>
  <r>
    <s v="PROD-1020"/>
    <s v="Headphones"/>
    <x v="2"/>
    <s v="S-104"/>
    <s v="Modern Home Supplies"/>
    <n v="75"/>
    <n v="189.66"/>
    <d v="2025-03-04T00:00:00"/>
    <d v="2025-03-15T00:00:00"/>
    <n v="48.49"/>
    <n v="14224.5"/>
    <n v="3636.75"/>
    <n v="11"/>
    <n v="0.25566803754086259"/>
  </r>
  <r>
    <s v="PROD-1021"/>
    <s v="Marker"/>
    <x v="0"/>
    <s v="S-105"/>
    <s v="Fresh Mart Logistics"/>
    <n v="115"/>
    <n v="147.58000000000001"/>
    <d v="2025-06-08T00:00:00"/>
    <d v="2025-06-09T00:00:00"/>
    <n v="28.42"/>
    <n v="16971.7"/>
    <n v="3268.3"/>
    <n v="1"/>
    <n v="0.19257351944707954"/>
  </r>
  <r>
    <s v="PROD-1022"/>
    <s v="Smartphone"/>
    <x v="2"/>
    <s v="S-104"/>
    <s v="Modern Home Supplies"/>
    <n v="435"/>
    <n v="199.7"/>
    <d v="2025-04-13T00:00:00"/>
    <d v="2025-05-11T00:00:00"/>
    <n v="41.3"/>
    <n v="86869.5"/>
    <n v="17965.5"/>
    <n v="28"/>
    <n v="0.20681021532298446"/>
  </r>
  <r>
    <s v="PROD-1023"/>
    <s v="Headphones"/>
    <x v="2"/>
    <s v="S-103"/>
    <s v="Elite Paper Co"/>
    <n v="67"/>
    <n v="344.21"/>
    <d v="2025-04-17T00:00:00"/>
    <d v="2025-05-12T00:00:00"/>
    <n v="60.05"/>
    <n v="23062.07"/>
    <n v="4023.35"/>
    <n v="25"/>
    <n v="0.17445745329885826"/>
  </r>
  <r>
    <s v="PROD-1024"/>
    <s v="Smartphone"/>
    <x v="2"/>
    <s v="S-105"/>
    <s v="Fresh Mart Logistics"/>
    <n v="188"/>
    <n v="216.78"/>
    <d v="2025-01-03T00:00:00"/>
    <d v="2025-01-08T00:00:00"/>
    <n v="35.61"/>
    <n v="40754.639999999999"/>
    <n v="6694.68"/>
    <n v="5"/>
    <n v="0.16426792139496263"/>
  </r>
  <r>
    <s v="PROD-1025"/>
    <s v="Hoodie"/>
    <x v="1"/>
    <s v="S-105"/>
    <s v="Fresh Mart Logistics"/>
    <n v="382"/>
    <n v="218.21"/>
    <d v="2025-05-06T00:00:00"/>
    <d v="2025-06-03T00:00:00"/>
    <n v="35.54"/>
    <n v="83356.22"/>
    <n v="13576.279999999999"/>
    <n v="28"/>
    <n v="0.16287062921039364"/>
  </r>
  <r>
    <s v="PROD-1026"/>
    <s v="Bookshelf"/>
    <x v="4"/>
    <s v="S-102"/>
    <s v="Sunrise Industries"/>
    <n v="156"/>
    <n v="100.91"/>
    <d v="2025-04-14T00:00:00"/>
    <d v="2025-04-19T00:00:00"/>
    <n v="12.07"/>
    <n v="15741.96"/>
    <n v="1882.92"/>
    <n v="5"/>
    <n v="0.11961153503121594"/>
  </r>
  <r>
    <s v="PROD-1027"/>
    <s v="Tablet"/>
    <x v="2"/>
    <s v="S-103"/>
    <s v="Elite Paper Co"/>
    <n v="263"/>
    <n v="370.15"/>
    <d v="2025-01-10T00:00:00"/>
    <d v="2025-01-14T00:00:00"/>
    <n v="85.66"/>
    <n v="97349.45"/>
    <n v="22528.579999999998"/>
    <n v="4"/>
    <n v="0.23141969471835744"/>
  </r>
  <r>
    <s v="PROD-1028"/>
    <s v="Cap"/>
    <x v="1"/>
    <s v="S-105"/>
    <s v="Fresh Mart Logistics"/>
    <n v="328"/>
    <n v="374.1"/>
    <d v="2025-04-19T00:00:00"/>
    <d v="2025-05-04T00:00:00"/>
    <n v="75.599999999999994"/>
    <n v="122704.8"/>
    <n v="24796.799999999999"/>
    <n v="15"/>
    <n v="0.20208500400962306"/>
  </r>
  <r>
    <s v="PROD-1029"/>
    <s v="Tablet"/>
    <x v="2"/>
    <s v="S-102"/>
    <s v="Sunrise Industries"/>
    <n v="80"/>
    <n v="492.23"/>
    <d v="2025-01-22T00:00:00"/>
    <d v="2025-01-25T00:00:00"/>
    <n v="144.96"/>
    <n v="39378.400000000001"/>
    <n v="11596.800000000001"/>
    <n v="3"/>
    <n v="0.29449647522499645"/>
  </r>
  <r>
    <s v="PROD-1030"/>
    <s v="Pen Set"/>
    <x v="0"/>
    <s v="S-101"/>
    <s v="Global Tech Corp"/>
    <n v="318"/>
    <n v="211.62"/>
    <d v="2025-05-01T00:00:00"/>
    <d v="2025-05-26T00:00:00"/>
    <n v="43.72"/>
    <n v="67295.16"/>
    <n v="13902.96"/>
    <n v="25"/>
    <n v="0.20659672998771381"/>
  </r>
  <r>
    <s v="PROD-1031"/>
    <s v="Office Chair"/>
    <x v="4"/>
    <s v="S-101"/>
    <s v="Global Tech Corp"/>
    <n v="79"/>
    <n v="296.14999999999998"/>
    <d v="2025-03-08T00:00:00"/>
    <d v="2025-04-06T00:00:00"/>
    <n v="81.5"/>
    <n v="23395.85"/>
    <n v="6438.5"/>
    <n v="29"/>
    <n v="0.27519837919972989"/>
  </r>
  <r>
    <s v="PROD-1032"/>
    <s v="Office Chair"/>
    <x v="4"/>
    <s v="S-105"/>
    <s v="Fresh Mart Logistics"/>
    <n v="99"/>
    <n v="275.2"/>
    <d v="2025-04-23T00:00:00"/>
    <d v="2025-05-19T00:00:00"/>
    <n v="72.86"/>
    <n v="27244.799999999999"/>
    <n v="7213.14"/>
    <n v="26"/>
    <n v="0.2647529069767442"/>
  </r>
  <r>
    <s v="PROD-1033"/>
    <s v="Pen Set"/>
    <x v="0"/>
    <s v="S-103"/>
    <s v="Elite Paper Co"/>
    <n v="125"/>
    <n v="201.35"/>
    <d v="2025-06-22T00:00:00"/>
    <d v="2025-07-06T00:00:00"/>
    <n v="27.05"/>
    <n v="25168.75"/>
    <n v="3381.25"/>
    <n v="14"/>
    <n v="0.13434318351129873"/>
  </r>
  <r>
    <s v="PROD-1034"/>
    <s v="Coffee Beans"/>
    <x v="3"/>
    <s v="S-105"/>
    <s v="Fresh Mart Logistics"/>
    <n v="235"/>
    <n v="193.26"/>
    <d v="2025-05-08T00:00:00"/>
    <d v="2025-06-05T00:00:00"/>
    <n v="54.52"/>
    <n v="45416.1"/>
    <n v="12812.2"/>
    <n v="28"/>
    <n v="0.28210700610576428"/>
  </r>
  <r>
    <s v="PROD-1035"/>
    <s v="Tablet"/>
    <x v="2"/>
    <s v="S-104"/>
    <s v="Modern Home Supplies"/>
    <n v="295"/>
    <n v="460.69"/>
    <d v="2025-02-17T00:00:00"/>
    <d v="2025-03-02T00:00:00"/>
    <n v="100.39"/>
    <n v="135903.54999999999"/>
    <n v="29615.05"/>
    <n v="13"/>
    <n v="0.21791226204172004"/>
  </r>
  <r>
    <s v="PROD-1036"/>
    <s v="Headphones"/>
    <x v="2"/>
    <s v="S-102"/>
    <s v="Sunrise Industries"/>
    <n v="479"/>
    <n v="405.21"/>
    <d v="2025-04-06T00:00:00"/>
    <d v="2025-04-20T00:00:00"/>
    <n v="66.23"/>
    <n v="194095.59"/>
    <n v="31724.170000000002"/>
    <n v="14"/>
    <n v="0.16344611436045509"/>
  </r>
  <r>
    <s v="PROD-1037"/>
    <s v="Coffee Beans"/>
    <x v="3"/>
    <s v="S-103"/>
    <s v="Elite Paper Co"/>
    <n v="136"/>
    <n v="229.77"/>
    <d v="2025-05-28T00:00:00"/>
    <d v="2025-06-26T00:00:00"/>
    <n v="36.61"/>
    <n v="31248.720000000001"/>
    <n v="4978.96"/>
    <n v="29"/>
    <n v="0.15933324628976803"/>
  </r>
  <r>
    <s v="PROD-1038"/>
    <s v="Office Chair"/>
    <x v="4"/>
    <s v="S-103"/>
    <s v="Elite Paper Co"/>
    <n v="249"/>
    <n v="23.97"/>
    <d v="2025-04-16T00:00:00"/>
    <d v="2025-04-20T00:00:00"/>
    <n v="4.3099999999999996"/>
    <n v="5968.53"/>
    <n v="1073.1899999999998"/>
    <n v="4"/>
    <n v="0.17980809345014601"/>
  </r>
  <r>
    <s v="PROD-1039"/>
    <s v="Organic Tea"/>
    <x v="3"/>
    <s v="S-101"/>
    <s v="Global Tech Corp"/>
    <n v="364"/>
    <n v="352.42"/>
    <d v="2025-05-31T00:00:00"/>
    <d v="2025-06-10T00:00:00"/>
    <n v="93.38"/>
    <n v="128280.88"/>
    <n v="33990.32"/>
    <n v="10"/>
    <n v="0.26496793598547186"/>
  </r>
  <r>
    <s v="PROD-1040"/>
    <s v="Desk Lamp"/>
    <x v="4"/>
    <s v="S-103"/>
    <s v="Elite Paper Co"/>
    <n v="33"/>
    <n v="392.86"/>
    <d v="2025-04-06T00:00:00"/>
    <d v="2025-05-03T00:00:00"/>
    <n v="49.78"/>
    <n v="12964.380000000001"/>
    <n v="1642.74"/>
    <n v="27"/>
    <n v="0.12671180573232194"/>
  </r>
  <r>
    <s v="PROD-1041"/>
    <s v="Notebook"/>
    <x v="0"/>
    <s v="S-103"/>
    <s v="Elite Paper Co"/>
    <n v="65"/>
    <n v="46.21"/>
    <d v="2025-01-05T00:00:00"/>
    <d v="2025-01-07T00:00:00"/>
    <n v="6.75"/>
    <n v="3003.65"/>
    <n v="438.75"/>
    <n v="2"/>
    <n v="0.14607227872754816"/>
  </r>
  <r>
    <s v="PROD-1042"/>
    <s v="T-Shirt"/>
    <x v="1"/>
    <s v="S-103"/>
    <s v="Elite Paper Co"/>
    <n v="14"/>
    <n v="433.4"/>
    <d v="2025-06-14T00:00:00"/>
    <d v="2025-07-09T00:00:00"/>
    <n v="128.22"/>
    <n v="6067.5999999999995"/>
    <n v="1795.08"/>
    <n v="25"/>
    <n v="0.29584679280110754"/>
  </r>
  <r>
    <s v="PROD-1043"/>
    <s v="Organic Tea"/>
    <x v="3"/>
    <s v="S-101"/>
    <s v="Global Tech Corp"/>
    <n v="175"/>
    <n v="85.23"/>
    <d v="2025-01-07T00:00:00"/>
    <d v="2025-01-11T00:00:00"/>
    <n v="14.22"/>
    <n v="14915.25"/>
    <n v="2488.5"/>
    <n v="4"/>
    <n v="0.16684266103484688"/>
  </r>
  <r>
    <s v="PROD-1044"/>
    <s v="Notebook"/>
    <x v="0"/>
    <s v="S-102"/>
    <s v="Sunrise Industries"/>
    <n v="128"/>
    <n v="477.47"/>
    <d v="2025-04-15T00:00:00"/>
    <d v="2025-04-22T00:00:00"/>
    <n v="52.82"/>
    <n v="61116.160000000003"/>
    <n v="6760.96"/>
    <n v="7"/>
    <n v="0.11062475129327497"/>
  </r>
  <r>
    <s v="PROD-1045"/>
    <s v="Desk Lamp"/>
    <x v="4"/>
    <s v="S-103"/>
    <s v="Elite Paper Co"/>
    <n v="406"/>
    <n v="88.57"/>
    <d v="2025-05-13T00:00:00"/>
    <d v="2025-05-21T00:00:00"/>
    <n v="17.95"/>
    <n v="35959.42"/>
    <n v="7287.7"/>
    <n v="8"/>
    <n v="0.20266455910579204"/>
  </r>
  <r>
    <s v="PROD-1046"/>
    <s v="T-Shirt"/>
    <x v="1"/>
    <s v="S-105"/>
    <s v="Fresh Mart Logistics"/>
    <n v="138"/>
    <n v="205.02"/>
    <d v="2025-02-18T00:00:00"/>
    <d v="2025-03-08T00:00:00"/>
    <n v="35.22"/>
    <n v="28292.760000000002"/>
    <n v="4860.3599999999997"/>
    <n v="18"/>
    <n v="0.17178811823236756"/>
  </r>
  <r>
    <s v="PROD-1047"/>
    <s v="Pen Set"/>
    <x v="0"/>
    <s v="S-103"/>
    <s v="Elite Paper Co"/>
    <n v="73"/>
    <n v="124.65"/>
    <d v="2025-05-17T00:00:00"/>
    <d v="2025-06-09T00:00:00"/>
    <n v="22.95"/>
    <n v="9099.4500000000007"/>
    <n v="1675.35"/>
    <n v="23"/>
    <n v="0.18411552346570395"/>
  </r>
  <r>
    <s v="PROD-1048"/>
    <s v="Laptop"/>
    <x v="2"/>
    <s v="S-103"/>
    <s v="Elite Paper Co"/>
    <n v="182"/>
    <n v="82.35"/>
    <d v="2025-06-25T00:00:00"/>
    <d v="2025-07-22T00:00:00"/>
    <n v="21.7"/>
    <n v="14987.699999999999"/>
    <n v="3949.4"/>
    <n v="27"/>
    <n v="0.26350941105039466"/>
  </r>
  <r>
    <s v="PROD-1049"/>
    <s v="Coffee Beans"/>
    <x v="3"/>
    <s v="S-102"/>
    <s v="Sunrise Industries"/>
    <n v="252"/>
    <n v="173.68"/>
    <d v="2025-03-28T00:00:00"/>
    <d v="2025-04-12T00:00:00"/>
    <n v="24.5"/>
    <n v="43767.360000000001"/>
    <n v="6174"/>
    <n v="15"/>
    <n v="0.1410640257945647"/>
  </r>
  <r>
    <s v="PROD-1050"/>
    <s v="Marker"/>
    <x v="0"/>
    <s v="S-102"/>
    <s v="Sunrise Industries"/>
    <n v="118"/>
    <n v="162.02000000000001"/>
    <d v="2025-01-19T00:00:00"/>
    <d v="2025-02-08T00:00:00"/>
    <n v="40.21"/>
    <n v="19118.36"/>
    <n v="4744.78"/>
    <n v="20"/>
    <n v="0.24817923713121837"/>
  </r>
  <r>
    <s v="PROD-1051"/>
    <s v="Office Chair"/>
    <x v="4"/>
    <s v="S-104"/>
    <s v="Modern Home Supplies"/>
    <n v="67"/>
    <n v="184.75"/>
    <d v="2025-06-24T00:00:00"/>
    <d v="2025-07-14T00:00:00"/>
    <n v="30.9"/>
    <n v="12378.25"/>
    <n v="2070.2999999999997"/>
    <n v="20"/>
    <n v="0.16725304465493909"/>
  </r>
  <r>
    <s v="PROD-1052"/>
    <s v="Almonds"/>
    <x v="3"/>
    <s v="S-104"/>
    <s v="Modern Home Supplies"/>
    <n v="116"/>
    <n v="116.15"/>
    <d v="2025-04-21T00:00:00"/>
    <d v="2025-04-25T00:00:00"/>
    <n v="23.58"/>
    <n v="13473.400000000001"/>
    <n v="2735.2799999999997"/>
    <n v="4"/>
    <n v="0.20301334481274211"/>
  </r>
  <r>
    <s v="PROD-1053"/>
    <s v="Cap"/>
    <x v="1"/>
    <s v="S-103"/>
    <s v="Elite Paper Co"/>
    <n v="32"/>
    <n v="296.72000000000003"/>
    <d v="2025-02-12T00:00:00"/>
    <d v="2025-02-24T00:00:00"/>
    <n v="87.72"/>
    <n v="9495.0400000000009"/>
    <n v="2807.04"/>
    <n v="12"/>
    <n v="0.29563224588837961"/>
  </r>
  <r>
    <s v="PROD-1054"/>
    <s v="Desk Lamp"/>
    <x v="4"/>
    <s v="S-102"/>
    <s v="Sunrise Industries"/>
    <n v="322"/>
    <n v="313.48"/>
    <d v="2025-01-03T00:00:00"/>
    <d v="2025-01-22T00:00:00"/>
    <n v="44.03"/>
    <n v="100940.56000000001"/>
    <n v="14177.66"/>
    <n v="19"/>
    <n v="0.14045553145336226"/>
  </r>
  <r>
    <s v="PROD-1055"/>
    <s v="Dark Chocolate"/>
    <x v="3"/>
    <s v="S-104"/>
    <s v="Modern Home Supplies"/>
    <n v="447"/>
    <n v="487.79"/>
    <d v="2025-04-18T00:00:00"/>
    <d v="2025-04-26T00:00:00"/>
    <n v="115.47"/>
    <n v="218042.13"/>
    <n v="51615.09"/>
    <n v="8"/>
    <n v="0.23672071998195943"/>
  </r>
  <r>
    <s v="PROD-1056"/>
    <s v="Pen Set"/>
    <x v="0"/>
    <s v="S-102"/>
    <s v="Sunrise Industries"/>
    <n v="318"/>
    <n v="229.71"/>
    <d v="2025-03-19T00:00:00"/>
    <d v="2025-04-03T00:00:00"/>
    <n v="28.08"/>
    <n v="73047.78"/>
    <n v="8929.4399999999987"/>
    <n v="15"/>
    <n v="0.12224108658743632"/>
  </r>
  <r>
    <s v="PROD-1057"/>
    <s v="Smartphone"/>
    <x v="2"/>
    <s v="S-101"/>
    <s v="Global Tech Corp"/>
    <n v="478"/>
    <n v="50.02"/>
    <d v="2025-01-22T00:00:00"/>
    <d v="2025-02-13T00:00:00"/>
    <n v="5.91"/>
    <n v="23909.56"/>
    <n v="2824.98"/>
    <n v="22"/>
    <n v="0.11815273890443823"/>
  </r>
  <r>
    <s v="PROD-1058"/>
    <s v="Laptop"/>
    <x v="2"/>
    <s v="S-104"/>
    <s v="Modern Home Supplies"/>
    <n v="474"/>
    <n v="186.33"/>
    <d v="2025-03-16T00:00:00"/>
    <d v="2025-03-24T00:00:00"/>
    <n v="28.36"/>
    <n v="88320.420000000013"/>
    <n v="13442.64"/>
    <n v="8"/>
    <n v="0.15220308055600279"/>
  </r>
  <r>
    <s v="PROD-1059"/>
    <s v="Office Chair"/>
    <x v="4"/>
    <s v="S-103"/>
    <s v="Elite Paper Co"/>
    <n v="419"/>
    <n v="28.32"/>
    <d v="2025-01-19T00:00:00"/>
    <d v="2025-02-17T00:00:00"/>
    <n v="4.1900000000000004"/>
    <n v="11866.08"/>
    <n v="1755.6100000000001"/>
    <n v="29"/>
    <n v="0.14795197740112995"/>
  </r>
  <r>
    <s v="PROD-1060"/>
    <s v="Organic Tea"/>
    <x v="3"/>
    <s v="S-102"/>
    <s v="Sunrise Industries"/>
    <n v="423"/>
    <n v="120.39"/>
    <d v="2025-03-09T00:00:00"/>
    <d v="2025-03-15T00:00:00"/>
    <n v="35.450000000000003"/>
    <n v="50924.97"/>
    <n v="14995.35"/>
    <n v="6"/>
    <n v="0.29445967273029322"/>
  </r>
  <r>
    <s v="PROD-1061"/>
    <s v="Headphones"/>
    <x v="2"/>
    <s v="S-103"/>
    <s v="Elite Paper Co"/>
    <n v="460"/>
    <n v="404.06"/>
    <d v="2025-02-03T00:00:00"/>
    <d v="2025-03-03T00:00:00"/>
    <n v="79.930000000000007"/>
    <n v="185867.6"/>
    <n v="36767.800000000003"/>
    <n v="28"/>
    <n v="0.19781715586794041"/>
  </r>
  <r>
    <s v="PROD-1062"/>
    <s v="Pen Set"/>
    <x v="0"/>
    <s v="S-101"/>
    <s v="Global Tech Corp"/>
    <n v="474"/>
    <n v="66.84"/>
    <d v="2025-04-27T00:00:00"/>
    <d v="2025-05-12T00:00:00"/>
    <n v="12.46"/>
    <n v="31682.16"/>
    <n v="5906.04"/>
    <n v="15"/>
    <n v="0.18641532016756435"/>
  </r>
  <r>
    <s v="PROD-1063"/>
    <s v="Socks"/>
    <x v="1"/>
    <s v="S-101"/>
    <s v="Global Tech Corp"/>
    <n v="352"/>
    <n v="63.87"/>
    <d v="2025-05-29T00:00:00"/>
    <d v="2025-06-04T00:00:00"/>
    <n v="9.17"/>
    <n v="22482.239999999998"/>
    <n v="3227.84"/>
    <n v="6"/>
    <n v="0.14357288241741037"/>
  </r>
  <r>
    <s v="PROD-1064"/>
    <s v="Marker"/>
    <x v="0"/>
    <s v="S-103"/>
    <s v="Elite Paper Co"/>
    <n v="255"/>
    <n v="491.89"/>
    <d v="2025-06-25T00:00:00"/>
    <d v="2025-07-20T00:00:00"/>
    <n v="118.69"/>
    <n v="125431.95"/>
    <n v="30265.95"/>
    <n v="25"/>
    <n v="0.24129378519587713"/>
  </r>
  <r>
    <s v="PROD-1065"/>
    <s v="Almonds"/>
    <x v="3"/>
    <s v="S-101"/>
    <s v="Global Tech Corp"/>
    <n v="54"/>
    <n v="137.6"/>
    <d v="2025-05-26T00:00:00"/>
    <d v="2025-05-30T00:00:00"/>
    <n v="24.62"/>
    <n v="7430.4"/>
    <n v="1329.48"/>
    <n v="4"/>
    <n v="0.17892441860465116"/>
  </r>
  <r>
    <s v="PROD-1066"/>
    <s v="Hoodie"/>
    <x v="1"/>
    <s v="S-103"/>
    <s v="Elite Paper Co"/>
    <n v="419"/>
    <n v="231.56"/>
    <d v="2025-01-09T00:00:00"/>
    <d v="2025-01-26T00:00:00"/>
    <n v="58.8"/>
    <n v="97023.64"/>
    <n v="24637.199999999997"/>
    <n v="17"/>
    <n v="0.25392986698911729"/>
  </r>
  <r>
    <s v="PROD-1067"/>
    <s v="Notebook"/>
    <x v="0"/>
    <s v="S-103"/>
    <s v="Elite Paper Co"/>
    <n v="302"/>
    <n v="18.309999999999999"/>
    <d v="2025-06-18T00:00:00"/>
    <d v="2025-06-28T00:00:00"/>
    <n v="5.17"/>
    <n v="5529.62"/>
    <n v="1561.34"/>
    <n v="10"/>
    <n v="0.2823593664664118"/>
  </r>
  <r>
    <s v="PROD-1068"/>
    <s v="Dark Chocolate"/>
    <x v="3"/>
    <s v="S-105"/>
    <s v="Fresh Mart Logistics"/>
    <n v="57"/>
    <n v="457.4"/>
    <d v="2025-05-25T00:00:00"/>
    <d v="2025-05-27T00:00:00"/>
    <n v="53.06"/>
    <n v="26071.8"/>
    <n v="3024.42"/>
    <n v="2"/>
    <n v="0.11600349803235681"/>
  </r>
  <r>
    <s v="PROD-1069"/>
    <s v="Socks"/>
    <x v="1"/>
    <s v="S-102"/>
    <s v="Sunrise Industries"/>
    <n v="440"/>
    <n v="201.11"/>
    <d v="2025-06-12T00:00:00"/>
    <d v="2025-07-10T00:00:00"/>
    <n v="31.57"/>
    <n v="88488.400000000009"/>
    <n v="13890.8"/>
    <n v="28"/>
    <n v="0.15697876783849635"/>
  </r>
  <r>
    <s v="PROD-1070"/>
    <s v="Almonds"/>
    <x v="3"/>
    <s v="S-101"/>
    <s v="Global Tech Corp"/>
    <n v="173"/>
    <n v="341.28"/>
    <d v="2025-05-05T00:00:00"/>
    <d v="2025-05-23T00:00:00"/>
    <n v="52.22"/>
    <n v="59041.439999999995"/>
    <n v="9034.06"/>
    <n v="18"/>
    <n v="0.15301218940459449"/>
  </r>
  <r>
    <s v="PROD-1071"/>
    <s v="Almonds"/>
    <x v="3"/>
    <s v="S-104"/>
    <s v="Modern Home Supplies"/>
    <n v="452"/>
    <n v="44.61"/>
    <d v="2025-02-20T00:00:00"/>
    <d v="2025-02-22T00:00:00"/>
    <n v="11.36"/>
    <n v="20163.72"/>
    <n v="5134.7199999999993"/>
    <n v="2"/>
    <n v="0.25465142344765745"/>
  </r>
  <r>
    <s v="PROD-1072"/>
    <s v="Desk Organizer"/>
    <x v="0"/>
    <s v="S-105"/>
    <s v="Fresh Mart Logistics"/>
    <n v="252"/>
    <n v="204.66"/>
    <d v="2025-04-02T00:00:00"/>
    <d v="2025-04-24T00:00:00"/>
    <n v="53.49"/>
    <n v="51574.32"/>
    <n v="13479.480000000001"/>
    <n v="22"/>
    <n v="0.26136030489592499"/>
  </r>
  <r>
    <s v="PROD-1073"/>
    <s v="Desk Lamp"/>
    <x v="4"/>
    <s v="S-103"/>
    <s v="Elite Paper Co"/>
    <n v="253"/>
    <n v="172.14"/>
    <d v="2025-02-08T00:00:00"/>
    <d v="2025-02-11T00:00:00"/>
    <n v="24.59"/>
    <n v="43551.42"/>
    <n v="6221.2699999999995"/>
    <n v="3"/>
    <n v="0.14284884396421518"/>
  </r>
  <r>
    <s v="PROD-1074"/>
    <s v="Marker"/>
    <x v="0"/>
    <s v="S-102"/>
    <s v="Sunrise Industries"/>
    <n v="87"/>
    <n v="194.85"/>
    <d v="2025-03-11T00:00:00"/>
    <d v="2025-04-01T00:00:00"/>
    <n v="23.44"/>
    <n v="16951.95"/>
    <n v="2039.2800000000002"/>
    <n v="21"/>
    <n v="0.12029766487041314"/>
  </r>
  <r>
    <s v="PROD-1075"/>
    <s v="Laptop"/>
    <x v="2"/>
    <s v="S-102"/>
    <s v="Sunrise Industries"/>
    <n v="227"/>
    <n v="322.98"/>
    <d v="2025-06-12T00:00:00"/>
    <d v="2025-06-19T00:00:00"/>
    <n v="43.52"/>
    <n v="73316.460000000006"/>
    <n v="9879.0400000000009"/>
    <n v="7"/>
    <n v="0.13474518546040001"/>
  </r>
  <r>
    <s v="PROD-1076"/>
    <s v="Stool"/>
    <x v="4"/>
    <s v="S-101"/>
    <s v="Global Tech Corp"/>
    <n v="174"/>
    <n v="437.62"/>
    <d v="2025-04-21T00:00:00"/>
    <d v="2025-05-09T00:00:00"/>
    <n v="45.09"/>
    <n v="76145.88"/>
    <n v="7845.6600000000008"/>
    <n v="18"/>
    <n v="0.10303459622503543"/>
  </r>
  <r>
    <s v="PROD-1077"/>
    <s v="Dark Chocolate"/>
    <x v="3"/>
    <s v="S-103"/>
    <s v="Elite Paper Co"/>
    <n v="452"/>
    <n v="72.48"/>
    <d v="2025-01-21T00:00:00"/>
    <d v="2025-01-30T00:00:00"/>
    <n v="15.11"/>
    <n v="32760.960000000003"/>
    <n v="6829.7199999999993"/>
    <n v="9"/>
    <n v="0.20847130242825604"/>
  </r>
  <r>
    <s v="PROD-1078"/>
    <s v="Desk Organizer"/>
    <x v="0"/>
    <s v="S-105"/>
    <s v="Fresh Mart Logistics"/>
    <n v="347"/>
    <n v="74"/>
    <d v="2025-03-23T00:00:00"/>
    <d v="2025-03-31T00:00:00"/>
    <n v="16.29"/>
    <n v="25678"/>
    <n v="5652.63"/>
    <n v="8"/>
    <n v="0.22013513513513513"/>
  </r>
  <r>
    <s v="PROD-1079"/>
    <s v="Stool"/>
    <x v="4"/>
    <s v="S-102"/>
    <s v="Sunrise Industries"/>
    <n v="283"/>
    <n v="121.15"/>
    <d v="2025-02-14T00:00:00"/>
    <d v="2025-03-07T00:00:00"/>
    <n v="15.2"/>
    <n v="34285.450000000004"/>
    <n v="4301.5999999999995"/>
    <n v="21"/>
    <n v="0.12546430045398266"/>
  </r>
  <r>
    <s v="PROD-1080"/>
    <s v="Almonds"/>
    <x v="3"/>
    <s v="S-104"/>
    <s v="Modern Home Supplies"/>
    <n v="135"/>
    <n v="28.55"/>
    <d v="2025-02-19T00:00:00"/>
    <d v="2025-02-20T00:00:00"/>
    <n v="6.95"/>
    <n v="3854.25"/>
    <n v="938.25"/>
    <n v="1"/>
    <n v="0.24343257443082311"/>
  </r>
  <r>
    <s v="PROD-1081"/>
    <s v="Socks"/>
    <x v="1"/>
    <s v="S-104"/>
    <s v="Modern Home Supplies"/>
    <n v="282"/>
    <n v="139.83000000000001"/>
    <d v="2025-04-19T00:00:00"/>
    <d v="2025-04-21T00:00:00"/>
    <n v="15.86"/>
    <n v="39432.060000000005"/>
    <n v="4472.5199999999995"/>
    <n v="2"/>
    <n v="0.11342344275191302"/>
  </r>
  <r>
    <s v="PROD-1082"/>
    <s v="Notebook"/>
    <x v="0"/>
    <s v="S-102"/>
    <s v="Sunrise Industries"/>
    <n v="92"/>
    <n v="81.5"/>
    <d v="2025-05-01T00:00:00"/>
    <d v="2025-05-12T00:00:00"/>
    <n v="14.51"/>
    <n v="7498"/>
    <n v="1334.92"/>
    <n v="11"/>
    <n v="0.17803680981595091"/>
  </r>
  <r>
    <s v="PROD-1083"/>
    <s v="Marker"/>
    <x v="0"/>
    <s v="S-103"/>
    <s v="Elite Paper Co"/>
    <n v="476"/>
    <n v="111.51"/>
    <d v="2025-01-04T00:00:00"/>
    <d v="2025-01-22T00:00:00"/>
    <n v="15.64"/>
    <n v="53078.76"/>
    <n v="7444.64"/>
    <n v="18"/>
    <n v="0.14025647923953008"/>
  </r>
  <r>
    <s v="PROD-1084"/>
    <s v="T-Shirt"/>
    <x v="1"/>
    <s v="S-105"/>
    <s v="Fresh Mart Logistics"/>
    <n v="217"/>
    <n v="465.58"/>
    <d v="2025-01-17T00:00:00"/>
    <d v="2025-02-06T00:00:00"/>
    <n v="64.709999999999994"/>
    <n v="101030.86"/>
    <n v="14042.069999999998"/>
    <n v="20"/>
    <n v="0.13898792903475235"/>
  </r>
  <r>
    <s v="PROD-1085"/>
    <s v="T-Shirt"/>
    <x v="1"/>
    <s v="S-104"/>
    <s v="Modern Home Supplies"/>
    <n v="411"/>
    <n v="110.15"/>
    <d v="2025-05-24T00:00:00"/>
    <d v="2025-05-26T00:00:00"/>
    <n v="18.600000000000001"/>
    <n v="45271.65"/>
    <n v="7644.6"/>
    <n v="2"/>
    <n v="0.16886064457557876"/>
  </r>
  <r>
    <s v="PROD-1086"/>
    <s v="Marker"/>
    <x v="0"/>
    <s v="S-104"/>
    <s v="Modern Home Supplies"/>
    <n v="62"/>
    <n v="263.48"/>
    <d v="2025-06-21T00:00:00"/>
    <d v="2025-06-29T00:00:00"/>
    <n v="77.73"/>
    <n v="16335.760000000002"/>
    <n v="4819.26"/>
    <n v="8"/>
    <n v="0.29501290420525278"/>
  </r>
  <r>
    <s v="PROD-1087"/>
    <s v="Hoodie"/>
    <x v="1"/>
    <s v="S-103"/>
    <s v="Elite Paper Co"/>
    <n v="340"/>
    <n v="308.91000000000003"/>
    <d v="2025-05-05T00:00:00"/>
    <d v="2025-05-13T00:00:00"/>
    <n v="41.42"/>
    <n v="105029.40000000001"/>
    <n v="14082.800000000001"/>
    <n v="8"/>
    <n v="0.13408436114078534"/>
  </r>
  <r>
    <s v="PROD-1088"/>
    <s v="Smartphone"/>
    <x v="2"/>
    <s v="S-103"/>
    <s v="Elite Paper Co"/>
    <n v="167"/>
    <n v="89.49"/>
    <d v="2025-01-04T00:00:00"/>
    <d v="2025-01-28T00:00:00"/>
    <n v="13.53"/>
    <n v="14944.83"/>
    <n v="2259.5099999999998"/>
    <n v="24"/>
    <n v="0.15119007710358701"/>
  </r>
  <r>
    <s v="PROD-1089"/>
    <s v="Office Chair"/>
    <x v="4"/>
    <s v="S-101"/>
    <s v="Global Tech Corp"/>
    <n v="66"/>
    <n v="35.86"/>
    <d v="2025-01-14T00:00:00"/>
    <d v="2025-01-28T00:00:00"/>
    <n v="7.91"/>
    <n v="2366.7599999999998"/>
    <n v="522.06000000000006"/>
    <n v="14"/>
    <n v="0.22058003346346905"/>
  </r>
  <r>
    <s v="PROD-1090"/>
    <s v="T-Shirt"/>
    <x v="1"/>
    <s v="S-104"/>
    <s v="Modern Home Supplies"/>
    <n v="312"/>
    <n v="167.72"/>
    <d v="2025-06-30T00:00:00"/>
    <d v="2025-07-02T00:00:00"/>
    <n v="46.18"/>
    <n v="52328.639999999999"/>
    <n v="14408.16"/>
    <n v="2"/>
    <n v="0.2753398521345099"/>
  </r>
  <r>
    <s v="PROD-1091"/>
    <s v="Dark Chocolate"/>
    <x v="3"/>
    <s v="S-102"/>
    <s v="Sunrise Industries"/>
    <n v="287"/>
    <n v="185.55"/>
    <d v="2025-04-06T00:00:00"/>
    <d v="2025-04-19T00:00:00"/>
    <n v="23.13"/>
    <n v="53252.850000000006"/>
    <n v="6638.3099999999995"/>
    <n v="13"/>
    <n v="0.12465642683912691"/>
  </r>
  <r>
    <s v="PROD-1092"/>
    <s v="Headphones"/>
    <x v="2"/>
    <s v="S-101"/>
    <s v="Global Tech Corp"/>
    <n v="156"/>
    <n v="384.4"/>
    <d v="2025-03-26T00:00:00"/>
    <d v="2025-04-15T00:00:00"/>
    <n v="103.41"/>
    <n v="59966.399999999994"/>
    <n v="16131.96"/>
    <n v="20"/>
    <n v="0.26901664932362124"/>
  </r>
  <r>
    <s v="PROD-1093"/>
    <s v="Pen Set"/>
    <x v="0"/>
    <s v="S-101"/>
    <s v="Global Tech Corp"/>
    <n v="221"/>
    <n v="73.97"/>
    <d v="2025-04-03T00:00:00"/>
    <d v="2025-04-28T00:00:00"/>
    <n v="12.73"/>
    <n v="16347.369999999999"/>
    <n v="2813.33"/>
    <n v="25"/>
    <n v="0.17209679599837774"/>
  </r>
  <r>
    <s v="PROD-1094"/>
    <s v="Marker"/>
    <x v="0"/>
    <s v="S-105"/>
    <s v="Fresh Mart Logistics"/>
    <n v="454"/>
    <n v="448.03"/>
    <d v="2025-04-24T00:00:00"/>
    <d v="2025-05-16T00:00:00"/>
    <n v="90.04"/>
    <n v="203405.62"/>
    <n v="40878.160000000003"/>
    <n v="22"/>
    <n v="0.20096868513269203"/>
  </r>
  <r>
    <s v="PROD-1095"/>
    <s v="Almonds"/>
    <x v="3"/>
    <s v="S-102"/>
    <s v="Sunrise Industries"/>
    <n v="155"/>
    <n v="189"/>
    <d v="2025-01-26T00:00:00"/>
    <d v="2025-02-09T00:00:00"/>
    <n v="40.99"/>
    <n v="29295"/>
    <n v="6353.4500000000007"/>
    <n v="14"/>
    <n v="0.21687830687830689"/>
  </r>
  <r>
    <s v="PROD-1096"/>
    <s v="Bookshelf"/>
    <x v="4"/>
    <s v="S-104"/>
    <s v="Modern Home Supplies"/>
    <n v="180"/>
    <n v="29.55"/>
    <d v="2025-03-05T00:00:00"/>
    <d v="2025-03-12T00:00:00"/>
    <n v="4.87"/>
    <n v="5319"/>
    <n v="876.6"/>
    <n v="7"/>
    <n v="0.16480541455160744"/>
  </r>
  <r>
    <s v="PROD-1097"/>
    <s v="Notebook"/>
    <x v="0"/>
    <s v="S-105"/>
    <s v="Fresh Mart Logistics"/>
    <n v="370"/>
    <n v="329.48"/>
    <d v="2025-04-06T00:00:00"/>
    <d v="2025-04-19T00:00:00"/>
    <n v="96.83"/>
    <n v="121907.6"/>
    <n v="35827.1"/>
    <n v="13"/>
    <n v="0.29388733762292096"/>
  </r>
  <r>
    <s v="PROD-1098"/>
    <s v="Socks"/>
    <x v="1"/>
    <s v="S-104"/>
    <s v="Modern Home Supplies"/>
    <n v="185"/>
    <n v="218.36"/>
    <d v="2025-03-10T00:00:00"/>
    <d v="2025-04-02T00:00:00"/>
    <n v="55.49"/>
    <n v="40396.600000000006"/>
    <n v="10265.65"/>
    <n v="23"/>
    <n v="0.25412163399890086"/>
  </r>
  <r>
    <s v="PROD-1099"/>
    <s v="Coffee Beans"/>
    <x v="3"/>
    <s v="S-105"/>
    <s v="Fresh Mart Logistics"/>
    <n v="283"/>
    <n v="267.41000000000003"/>
    <d v="2025-05-27T00:00:00"/>
    <d v="2025-06-26T00:00:00"/>
    <n v="78.08"/>
    <n v="75677.030000000013"/>
    <n v="22096.639999999999"/>
    <n v="30"/>
    <n v="0.29198608877753257"/>
  </r>
  <r>
    <s v="PROD-1100"/>
    <s v="Almonds"/>
    <x v="3"/>
    <s v="S-103"/>
    <s v="Elite Paper Co"/>
    <n v="188"/>
    <n v="384.77"/>
    <d v="2025-04-06T00:00:00"/>
    <d v="2025-05-05T00:00:00"/>
    <n v="43.62"/>
    <n v="72336.759999999995"/>
    <n v="8200.56"/>
    <n v="29"/>
    <n v="0.11336642669646801"/>
  </r>
  <r>
    <s v="PROD-1101"/>
    <s v="Hoodie"/>
    <x v="1"/>
    <s v="S-103"/>
    <s v="Elite Paper Co"/>
    <n v="64"/>
    <n v="488.4"/>
    <d v="2025-05-20T00:00:00"/>
    <d v="2025-06-16T00:00:00"/>
    <n v="64.510000000000005"/>
    <n v="31257.599999999999"/>
    <n v="4128.6400000000003"/>
    <n v="27"/>
    <n v="0.13208435708435709"/>
  </r>
  <r>
    <s v="PROD-1102"/>
    <s v="Pen Set"/>
    <x v="0"/>
    <s v="S-105"/>
    <s v="Fresh Mart Logistics"/>
    <n v="195"/>
    <n v="75.180000000000007"/>
    <d v="2025-04-05T00:00:00"/>
    <d v="2025-04-18T00:00:00"/>
    <n v="16.64"/>
    <n v="14660.100000000002"/>
    <n v="3244.8"/>
    <n v="13"/>
    <n v="0.22133546155892522"/>
  </r>
  <r>
    <s v="PROD-1103"/>
    <s v="T-Shirt"/>
    <x v="1"/>
    <s v="S-104"/>
    <s v="Modern Home Supplies"/>
    <n v="219"/>
    <n v="479.74"/>
    <d v="2025-05-02T00:00:00"/>
    <d v="2025-05-21T00:00:00"/>
    <n v="57.77"/>
    <n v="105063.06"/>
    <n v="12651.630000000001"/>
    <n v="19"/>
    <n v="0.1204193938383291"/>
  </r>
  <r>
    <s v="PROD-1104"/>
    <s v="Cap"/>
    <x v="1"/>
    <s v="S-101"/>
    <s v="Global Tech Corp"/>
    <n v="274"/>
    <n v="139.53"/>
    <d v="2025-02-12T00:00:00"/>
    <d v="2025-02-18T00:00:00"/>
    <n v="18.86"/>
    <n v="38231.22"/>
    <n v="5167.6399999999994"/>
    <n v="6"/>
    <n v="0.13516806421558086"/>
  </r>
  <r>
    <s v="PROD-1105"/>
    <s v="Smartphone"/>
    <x v="2"/>
    <s v="S-102"/>
    <s v="Sunrise Industries"/>
    <n v="89"/>
    <n v="108.98"/>
    <d v="2025-04-19T00:00:00"/>
    <d v="2025-04-28T00:00:00"/>
    <n v="16.260000000000002"/>
    <n v="9699.2200000000012"/>
    <n v="1447.14"/>
    <n v="9"/>
    <n v="0.14920168838318959"/>
  </r>
  <r>
    <s v="PROD-1106"/>
    <s v="Dark Chocolate"/>
    <x v="3"/>
    <s v="S-104"/>
    <s v="Modern Home Supplies"/>
    <n v="416"/>
    <n v="182.71"/>
    <d v="2025-03-18T00:00:00"/>
    <d v="2025-03-31T00:00:00"/>
    <n v="53.53"/>
    <n v="76007.360000000001"/>
    <n v="22268.48"/>
    <n v="13"/>
    <n v="0.29297794318865961"/>
  </r>
  <r>
    <s v="PROD-1107"/>
    <s v="Socks"/>
    <x v="1"/>
    <s v="S-103"/>
    <s v="Elite Paper Co"/>
    <n v="188"/>
    <n v="209.71"/>
    <d v="2025-04-03T00:00:00"/>
    <d v="2025-04-26T00:00:00"/>
    <n v="49.18"/>
    <n v="39425.480000000003"/>
    <n v="9245.84"/>
    <n v="23"/>
    <n v="0.23451432931190691"/>
  </r>
  <r>
    <s v="PROD-1108"/>
    <s v="Office Chair"/>
    <x v="4"/>
    <s v="S-102"/>
    <s v="Sunrise Industries"/>
    <n v="157"/>
    <n v="120.97"/>
    <d v="2025-01-16T00:00:00"/>
    <d v="2025-02-04T00:00:00"/>
    <n v="23.86"/>
    <n v="18992.29"/>
    <n v="3746.02"/>
    <n v="19"/>
    <n v="0.19723898487228239"/>
  </r>
  <r>
    <s v="PROD-1109"/>
    <s v="Laptop"/>
    <x v="2"/>
    <s v="S-101"/>
    <s v="Global Tech Corp"/>
    <n v="136"/>
    <n v="30.48"/>
    <d v="2025-03-05T00:00:00"/>
    <d v="2025-03-29T00:00:00"/>
    <n v="4.3"/>
    <n v="4145.28"/>
    <n v="584.79999999999995"/>
    <n v="24"/>
    <n v="0.14107611548556429"/>
  </r>
  <r>
    <s v="PROD-1110"/>
    <s v="Pen Set"/>
    <x v="0"/>
    <s v="S-105"/>
    <s v="Fresh Mart Logistics"/>
    <n v="371"/>
    <n v="335.42"/>
    <d v="2025-03-19T00:00:00"/>
    <d v="2025-04-12T00:00:00"/>
    <n v="52.22"/>
    <n v="124440.82"/>
    <n v="19373.62"/>
    <n v="24"/>
    <n v="0.15568540933754693"/>
  </r>
  <r>
    <s v="PROD-1111"/>
    <s v="Almonds"/>
    <x v="3"/>
    <s v="S-104"/>
    <s v="Modern Home Supplies"/>
    <n v="88"/>
    <n v="90.46"/>
    <d v="2025-02-05T00:00:00"/>
    <d v="2025-02-20T00:00:00"/>
    <n v="14.11"/>
    <n v="7960.48"/>
    <n v="1241.6799999999998"/>
    <n v="15"/>
    <n v="0.1559805438868008"/>
  </r>
  <r>
    <s v="PROD-1112"/>
    <s v="T-Shirt"/>
    <x v="1"/>
    <s v="S-105"/>
    <s v="Fresh Mart Logistics"/>
    <n v="261"/>
    <n v="469.26"/>
    <d v="2025-04-02T00:00:00"/>
    <d v="2025-04-28T00:00:00"/>
    <n v="93.75"/>
    <n v="122476.86"/>
    <n v="24468.75"/>
    <n v="26"/>
    <n v="0.19978263649149725"/>
  </r>
  <r>
    <s v="PROD-1113"/>
    <s v="Marker"/>
    <x v="0"/>
    <s v="S-102"/>
    <s v="Sunrise Industries"/>
    <n v="13"/>
    <n v="108.68"/>
    <d v="2025-05-04T00:00:00"/>
    <d v="2025-05-21T00:00:00"/>
    <n v="28.14"/>
    <n v="1412.8400000000001"/>
    <n v="365.82"/>
    <n v="17"/>
    <n v="0.25892528524107472"/>
  </r>
  <r>
    <s v="PROD-1114"/>
    <s v="T-Shirt"/>
    <x v="1"/>
    <s v="S-104"/>
    <s v="Modern Home Supplies"/>
    <n v="433"/>
    <n v="265.95"/>
    <d v="2025-05-05T00:00:00"/>
    <d v="2025-05-28T00:00:00"/>
    <n v="62.75"/>
    <n v="115156.34999999999"/>
    <n v="27170.75"/>
    <n v="23"/>
    <n v="0.23594660650498214"/>
  </r>
  <r>
    <s v="PROD-1115"/>
    <s v="Almonds"/>
    <x v="3"/>
    <s v="S-103"/>
    <s v="Elite Paper Co"/>
    <n v="27"/>
    <n v="143.29"/>
    <d v="2025-04-19T00:00:00"/>
    <d v="2025-05-05T00:00:00"/>
    <n v="28.41"/>
    <n v="3868.83"/>
    <n v="767.07"/>
    <n v="16"/>
    <n v="0.198269244190104"/>
  </r>
  <r>
    <s v="PROD-1116"/>
    <s v="Organic Tea"/>
    <x v="3"/>
    <s v="S-105"/>
    <s v="Fresh Mart Logistics"/>
    <n v="223"/>
    <n v="304.55"/>
    <d v="2025-03-23T00:00:00"/>
    <d v="2025-04-15T00:00:00"/>
    <n v="77.03"/>
    <n v="67914.650000000009"/>
    <n v="17177.689999999999"/>
    <n v="23"/>
    <n v="0.25293055327532427"/>
  </r>
  <r>
    <s v="PROD-1117"/>
    <s v="Desk Lamp"/>
    <x v="4"/>
    <s v="S-101"/>
    <s v="Global Tech Corp"/>
    <n v="278"/>
    <n v="157.82"/>
    <d v="2025-04-01T00:00:00"/>
    <d v="2025-04-25T00:00:00"/>
    <n v="33.049999999999997"/>
    <n v="43873.96"/>
    <n v="9187.9"/>
    <n v="24"/>
    <n v="0.20941579014066658"/>
  </r>
  <r>
    <s v="PROD-1118"/>
    <s v="Office Chair"/>
    <x v="4"/>
    <s v="S-105"/>
    <s v="Fresh Mart Logistics"/>
    <n v="136"/>
    <n v="376.55"/>
    <d v="2025-03-12T00:00:00"/>
    <d v="2025-03-22T00:00:00"/>
    <n v="106.5"/>
    <n v="51210.8"/>
    <n v="14484"/>
    <n v="10"/>
    <n v="0.28283096534324792"/>
  </r>
  <r>
    <s v="PROD-1119"/>
    <s v="Stool"/>
    <x v="4"/>
    <s v="S-103"/>
    <s v="Elite Paper Co"/>
    <n v="488"/>
    <n v="278.31"/>
    <d v="2025-03-15T00:00:00"/>
    <d v="2025-03-26T00:00:00"/>
    <n v="29.29"/>
    <n v="135815.28"/>
    <n v="14293.52"/>
    <n v="11"/>
    <n v="0.10524235564658115"/>
  </r>
  <r>
    <s v="PROD-1120"/>
    <s v="Desk Organizer"/>
    <x v="0"/>
    <s v="S-104"/>
    <s v="Modern Home Supplies"/>
    <n v="117"/>
    <n v="315.26"/>
    <d v="2025-04-20T00:00:00"/>
    <d v="2025-05-10T00:00:00"/>
    <n v="33.17"/>
    <n v="36885.42"/>
    <n v="3880.8900000000003"/>
    <n v="20"/>
    <n v="0.10521474338641122"/>
  </r>
  <r>
    <s v="PROD-1121"/>
    <s v="Office Chair"/>
    <x v="4"/>
    <s v="S-102"/>
    <s v="Sunrise Industries"/>
    <n v="61"/>
    <n v="68.22"/>
    <d v="2025-03-12T00:00:00"/>
    <d v="2025-03-30T00:00:00"/>
    <n v="8.8699999999999992"/>
    <n v="4161.42"/>
    <n v="541.06999999999994"/>
    <n v="18"/>
    <n v="0.1300205218411023"/>
  </r>
  <r>
    <s v="PROD-1122"/>
    <s v="Cap"/>
    <x v="1"/>
    <s v="S-105"/>
    <s v="Fresh Mart Logistics"/>
    <n v="122"/>
    <n v="202.6"/>
    <d v="2025-04-17T00:00:00"/>
    <d v="2025-05-13T00:00:00"/>
    <n v="33.31"/>
    <n v="24717.200000000001"/>
    <n v="4063.82"/>
    <n v="26"/>
    <n v="0.16441263573543929"/>
  </r>
  <r>
    <s v="PROD-1123"/>
    <s v="Stool"/>
    <x v="4"/>
    <s v="S-102"/>
    <s v="Sunrise Industries"/>
    <n v="280"/>
    <n v="9.8800000000000008"/>
    <d v="2025-02-05T00:00:00"/>
    <d v="2025-02-12T00:00:00"/>
    <n v="1.38"/>
    <n v="2766.4"/>
    <n v="386.4"/>
    <n v="7"/>
    <n v="0.13967611336032387"/>
  </r>
  <r>
    <s v="PROD-1124"/>
    <s v="Tablet"/>
    <x v="2"/>
    <s v="S-104"/>
    <s v="Modern Home Supplies"/>
    <n v="269"/>
    <n v="164.41"/>
    <d v="2025-02-26T00:00:00"/>
    <d v="2025-03-01T00:00:00"/>
    <n v="35.61"/>
    <n v="44226.29"/>
    <n v="9579.09"/>
    <n v="3"/>
    <n v="0.21659266467976401"/>
  </r>
  <r>
    <s v="PROD-1125"/>
    <s v="Coffee Beans"/>
    <x v="3"/>
    <s v="S-102"/>
    <s v="Sunrise Industries"/>
    <n v="251"/>
    <n v="103.1"/>
    <d v="2025-05-19T00:00:00"/>
    <d v="2025-05-27T00:00:00"/>
    <n v="13.77"/>
    <n v="25878.1"/>
    <n v="3456.27"/>
    <n v="8"/>
    <n v="0.13355965082444229"/>
  </r>
  <r>
    <s v="PROD-1126"/>
    <s v="Hoodie"/>
    <x v="1"/>
    <s v="S-102"/>
    <s v="Sunrise Industries"/>
    <n v="37"/>
    <n v="86.98"/>
    <d v="2025-03-21T00:00:00"/>
    <d v="2025-04-11T00:00:00"/>
    <n v="26.08"/>
    <n v="3218.26"/>
    <n v="964.95999999999992"/>
    <n v="21"/>
    <n v="0.29983904345826623"/>
  </r>
  <r>
    <s v="PROD-1127"/>
    <s v="Desk Organizer"/>
    <x v="0"/>
    <s v="S-104"/>
    <s v="Modern Home Supplies"/>
    <n v="183"/>
    <n v="294.43"/>
    <d v="2025-03-11T00:00:00"/>
    <d v="2025-03-23T00:00:00"/>
    <n v="71.760000000000005"/>
    <n v="53880.69"/>
    <n v="13132.080000000002"/>
    <n v="12"/>
    <n v="0.24372516387596374"/>
  </r>
  <r>
    <s v="PROD-1128"/>
    <s v="Tablet"/>
    <x v="2"/>
    <s v="S-102"/>
    <s v="Sunrise Industries"/>
    <n v="411"/>
    <n v="237.57"/>
    <d v="2025-06-17T00:00:00"/>
    <d v="2025-07-12T00:00:00"/>
    <n v="26.4"/>
    <n v="97641.27"/>
    <n v="10850.4"/>
    <n v="25"/>
    <n v="0.11112514206339184"/>
  </r>
  <r>
    <s v="PROD-1129"/>
    <s v="Stool"/>
    <x v="4"/>
    <s v="S-105"/>
    <s v="Fresh Mart Logistics"/>
    <n v="181"/>
    <n v="124.46"/>
    <d v="2025-06-18T00:00:00"/>
    <d v="2025-06-21T00:00:00"/>
    <n v="16.66"/>
    <n v="22527.26"/>
    <n v="3015.46"/>
    <n v="3"/>
    <n v="0.13385826771653545"/>
  </r>
  <r>
    <s v="PROD-1130"/>
    <s v="Hoodie"/>
    <x v="1"/>
    <s v="S-105"/>
    <s v="Fresh Mart Logistics"/>
    <n v="43"/>
    <n v="155.05000000000001"/>
    <d v="2025-01-10T00:00:00"/>
    <d v="2025-01-17T00:00:00"/>
    <n v="16.87"/>
    <n v="6667.1500000000005"/>
    <n v="725.41000000000008"/>
    <n v="7"/>
    <n v="0.10880361173814898"/>
  </r>
  <r>
    <s v="PROD-1131"/>
    <s v="Hoodie"/>
    <x v="1"/>
    <s v="S-102"/>
    <s v="Sunrise Industries"/>
    <n v="315"/>
    <n v="356.51"/>
    <d v="2025-01-04T00:00:00"/>
    <d v="2025-02-02T00:00:00"/>
    <n v="99.81"/>
    <n v="112300.65"/>
    <n v="31440.15"/>
    <n v="29"/>
    <n v="0.27996409637878322"/>
  </r>
  <r>
    <s v="PROD-1132"/>
    <s v="Almonds"/>
    <x v="3"/>
    <s v="S-102"/>
    <s v="Sunrise Industries"/>
    <n v="258"/>
    <n v="486.08"/>
    <d v="2025-01-29T00:00:00"/>
    <d v="2025-02-05T00:00:00"/>
    <n v="135.9"/>
    <n v="125408.64"/>
    <n v="35062.200000000004"/>
    <n v="7"/>
    <n v="0.27958360763660306"/>
  </r>
  <r>
    <s v="PROD-1133"/>
    <s v="Notebook"/>
    <x v="0"/>
    <s v="S-102"/>
    <s v="Sunrise Industries"/>
    <n v="127"/>
    <n v="233.31"/>
    <d v="2025-03-05T00:00:00"/>
    <d v="2025-03-30T00:00:00"/>
    <n v="61.49"/>
    <n v="29630.37"/>
    <n v="7809.2300000000005"/>
    <n v="25"/>
    <n v="0.26355492692126359"/>
  </r>
  <r>
    <s v="PROD-1134"/>
    <s v="Bookshelf"/>
    <x v="4"/>
    <s v="S-105"/>
    <s v="Fresh Mart Logistics"/>
    <n v="308"/>
    <n v="14.08"/>
    <d v="2025-05-17T00:00:00"/>
    <d v="2025-05-20T00:00:00"/>
    <n v="3.09"/>
    <n v="4336.6400000000003"/>
    <n v="951.71999999999991"/>
    <n v="3"/>
    <n v="0.21946022727272727"/>
  </r>
  <r>
    <s v="PROD-1135"/>
    <s v="Laptop"/>
    <x v="2"/>
    <s v="S-101"/>
    <s v="Global Tech Corp"/>
    <n v="415"/>
    <n v="475.74"/>
    <d v="2025-06-15T00:00:00"/>
    <d v="2025-06-22T00:00:00"/>
    <n v="79.42"/>
    <n v="197432.1"/>
    <n v="32959.300000000003"/>
    <n v="7"/>
    <n v="0.16693992516921008"/>
  </r>
  <r>
    <s v="PROD-1136"/>
    <s v="Office Chair"/>
    <x v="4"/>
    <s v="S-103"/>
    <s v="Elite Paper Co"/>
    <n v="180"/>
    <n v="274.33"/>
    <d v="2025-02-25T00:00:00"/>
    <d v="2025-03-15T00:00:00"/>
    <n v="52.55"/>
    <n v="49379.399999999994"/>
    <n v="9459"/>
    <n v="18"/>
    <n v="0.19155761309371924"/>
  </r>
  <r>
    <s v="PROD-1137"/>
    <s v="Smartphone"/>
    <x v="2"/>
    <s v="S-103"/>
    <s v="Elite Paper Co"/>
    <n v="22"/>
    <n v="312.62"/>
    <d v="2025-05-30T00:00:00"/>
    <d v="2025-06-03T00:00:00"/>
    <n v="57.62"/>
    <n v="6877.64"/>
    <n v="1267.6399999999999"/>
    <n v="4"/>
    <n v="0.18431322372209072"/>
  </r>
  <r>
    <s v="PROD-1138"/>
    <s v="Office Chair"/>
    <x v="4"/>
    <s v="S-102"/>
    <s v="Sunrise Industries"/>
    <n v="228"/>
    <n v="69.77"/>
    <d v="2025-06-08T00:00:00"/>
    <d v="2025-06-11T00:00:00"/>
    <n v="16.43"/>
    <n v="15907.56"/>
    <n v="3746.04"/>
    <n v="3"/>
    <n v="0.23548803210548946"/>
  </r>
  <r>
    <s v="PROD-1139"/>
    <s v="Laptop"/>
    <x v="2"/>
    <s v="S-105"/>
    <s v="Fresh Mart Logistics"/>
    <n v="195"/>
    <n v="490.66"/>
    <d v="2025-02-10T00:00:00"/>
    <d v="2025-03-03T00:00:00"/>
    <n v="71.760000000000005"/>
    <n v="95678.700000000012"/>
    <n v="13993.2"/>
    <n v="21"/>
    <n v="0.14625198711939022"/>
  </r>
  <r>
    <s v="PROD-1140"/>
    <s v="Socks"/>
    <x v="1"/>
    <s v="S-104"/>
    <s v="Modern Home Supplies"/>
    <n v="499"/>
    <n v="56.12"/>
    <d v="2025-03-20T00:00:00"/>
    <d v="2025-03-23T00:00:00"/>
    <n v="11.15"/>
    <n v="28003.879999999997"/>
    <n v="5563.85"/>
    <n v="3"/>
    <n v="0.19868139700641485"/>
  </r>
  <r>
    <s v="PROD-1141"/>
    <s v="Organic Tea"/>
    <x v="3"/>
    <s v="S-101"/>
    <s v="Global Tech Corp"/>
    <n v="158"/>
    <n v="342.14"/>
    <d v="2025-06-25T00:00:00"/>
    <d v="2025-07-18T00:00:00"/>
    <n v="41.3"/>
    <n v="54058.119999999995"/>
    <n v="6525.4"/>
    <n v="23"/>
    <n v="0.12071082013210965"/>
  </r>
  <r>
    <s v="PROD-1142"/>
    <s v="Pen Set"/>
    <x v="0"/>
    <s v="S-103"/>
    <s v="Elite Paper Co"/>
    <n v="439"/>
    <n v="418.21"/>
    <d v="2025-04-04T00:00:00"/>
    <d v="2025-04-11T00:00:00"/>
    <n v="81.47"/>
    <n v="183594.19"/>
    <n v="35765.33"/>
    <n v="7"/>
    <n v="0.1948064369575094"/>
  </r>
  <r>
    <s v="PROD-1143"/>
    <s v="Dark Chocolate"/>
    <x v="3"/>
    <s v="S-103"/>
    <s v="Elite Paper Co"/>
    <n v="476"/>
    <n v="342.02"/>
    <d v="2025-05-01T00:00:00"/>
    <d v="2025-05-16T00:00:00"/>
    <n v="65.98"/>
    <n v="162801.51999999999"/>
    <n v="31406.480000000003"/>
    <n v="15"/>
    <n v="0.19291269516402551"/>
  </r>
  <r>
    <s v="PROD-1144"/>
    <s v="Pen Set"/>
    <x v="0"/>
    <s v="S-105"/>
    <s v="Fresh Mart Logistics"/>
    <n v="396"/>
    <n v="23.6"/>
    <d v="2025-03-22T00:00:00"/>
    <d v="2025-04-06T00:00:00"/>
    <n v="4.26"/>
    <n v="9345.6"/>
    <n v="1686.9599999999998"/>
    <n v="15"/>
    <n v="0.18050847457627117"/>
  </r>
  <r>
    <s v="PROD-1145"/>
    <s v="Almonds"/>
    <x v="3"/>
    <s v="S-103"/>
    <s v="Elite Paper Co"/>
    <n v="89"/>
    <n v="388.32"/>
    <d v="2025-06-05T00:00:00"/>
    <d v="2025-07-05T00:00:00"/>
    <n v="55.76"/>
    <n v="34560.479999999996"/>
    <n v="4962.6399999999994"/>
    <n v="30"/>
    <n v="0.14359291306139266"/>
  </r>
  <r>
    <s v="PROD-1146"/>
    <s v="Hoodie"/>
    <x v="1"/>
    <s v="S-101"/>
    <s v="Global Tech Corp"/>
    <n v="269"/>
    <n v="138.63999999999999"/>
    <d v="2025-03-22T00:00:00"/>
    <d v="2025-04-17T00:00:00"/>
    <n v="17.739999999999998"/>
    <n v="37294.159999999996"/>
    <n v="4772.0599999999995"/>
    <n v="26"/>
    <n v="0.12795729948066936"/>
  </r>
  <r>
    <s v="PROD-1147"/>
    <s v="Desk Lamp"/>
    <x v="4"/>
    <s v="S-102"/>
    <s v="Sunrise Industries"/>
    <n v="169"/>
    <n v="162.66999999999999"/>
    <d v="2025-06-26T00:00:00"/>
    <d v="2025-07-15T00:00:00"/>
    <n v="32.340000000000003"/>
    <n v="27491.23"/>
    <n v="5465.4600000000009"/>
    <n v="19"/>
    <n v="0.19880740148767448"/>
  </r>
  <r>
    <s v="PROD-1148"/>
    <s v="Bookshelf"/>
    <x v="4"/>
    <s v="S-102"/>
    <s v="Sunrise Industries"/>
    <n v="355"/>
    <n v="84.53"/>
    <d v="2025-02-12T00:00:00"/>
    <d v="2025-03-13T00:00:00"/>
    <n v="18.399999999999999"/>
    <n v="30008.15"/>
    <n v="6531.9999999999991"/>
    <n v="29"/>
    <n v="0.21767419850940492"/>
  </r>
  <r>
    <s v="PROD-1149"/>
    <s v="Marker"/>
    <x v="0"/>
    <s v="S-103"/>
    <s v="Elite Paper Co"/>
    <n v="219"/>
    <n v="447.92"/>
    <d v="2025-05-02T00:00:00"/>
    <d v="2025-05-25T00:00:00"/>
    <n v="48.43"/>
    <n v="98094.48000000001"/>
    <n v="10606.17"/>
    <n v="23"/>
    <n v="0.10812198606894088"/>
  </r>
  <r>
    <s v="PROD-1150"/>
    <s v="Hoodie"/>
    <x v="1"/>
    <s v="S-105"/>
    <s v="Fresh Mart Logistics"/>
    <n v="235"/>
    <n v="59.32"/>
    <d v="2025-05-22T00:00:00"/>
    <d v="2025-05-29T00:00:00"/>
    <n v="8.5"/>
    <n v="13940.2"/>
    <n v="1997.5"/>
    <n v="7"/>
    <n v="0.1432906271072151"/>
  </r>
  <r>
    <s v="PROD-1151"/>
    <s v="Desk Lamp"/>
    <x v="4"/>
    <s v="S-104"/>
    <s v="Modern Home Supplies"/>
    <n v="298"/>
    <n v="484.54"/>
    <d v="2025-01-21T00:00:00"/>
    <d v="2025-02-04T00:00:00"/>
    <n v="114.91"/>
    <n v="144392.92000000001"/>
    <n v="34243.18"/>
    <n v="14"/>
    <n v="0.23715276344574235"/>
  </r>
  <r>
    <s v="PROD-1152"/>
    <s v="Coffee Beans"/>
    <x v="3"/>
    <s v="S-103"/>
    <s v="Elite Paper Co"/>
    <n v="465"/>
    <n v="397.81"/>
    <d v="2025-04-10T00:00:00"/>
    <d v="2025-05-08T00:00:00"/>
    <n v="64.62"/>
    <n v="184981.65"/>
    <n v="30048.300000000003"/>
    <n v="28"/>
    <n v="0.16243935547120486"/>
  </r>
  <r>
    <s v="PROD-1153"/>
    <s v="Coffee Beans"/>
    <x v="3"/>
    <s v="S-102"/>
    <s v="Sunrise Industries"/>
    <n v="142"/>
    <n v="329.98"/>
    <d v="2025-06-17T00:00:00"/>
    <d v="2025-06-28T00:00:00"/>
    <n v="54.22"/>
    <n v="46857.16"/>
    <n v="7699.24"/>
    <n v="11"/>
    <n v="0.16431298866597974"/>
  </r>
  <r>
    <s v="PROD-1154"/>
    <s v="Office Chair"/>
    <x v="4"/>
    <s v="S-103"/>
    <s v="Elite Paper Co"/>
    <n v="412"/>
    <n v="240.38"/>
    <d v="2025-06-27T00:00:00"/>
    <d v="2025-07-02T00:00:00"/>
    <n v="30.61"/>
    <n v="99036.56"/>
    <n v="12611.32"/>
    <n v="5"/>
    <n v="0.12734004492886264"/>
  </r>
  <r>
    <s v="PROD-1155"/>
    <s v="Organic Tea"/>
    <x v="3"/>
    <s v="S-105"/>
    <s v="Fresh Mart Logistics"/>
    <n v="131"/>
    <n v="190.53"/>
    <d v="2025-03-08T00:00:00"/>
    <d v="2025-03-22T00:00:00"/>
    <n v="42.64"/>
    <n v="24959.43"/>
    <n v="5585.84"/>
    <n v="14"/>
    <n v="0.22379677741038156"/>
  </r>
  <r>
    <s v="PROD-1156"/>
    <s v="Pen Set"/>
    <x v="0"/>
    <s v="S-103"/>
    <s v="Elite Paper Co"/>
    <n v="28"/>
    <n v="152.02000000000001"/>
    <d v="2025-06-21T00:00:00"/>
    <d v="2025-07-17T00:00:00"/>
    <n v="39.17"/>
    <n v="4256.5600000000004"/>
    <n v="1096.76"/>
    <n v="26"/>
    <n v="0.25766346533350876"/>
  </r>
  <r>
    <s v="PROD-1157"/>
    <s v="Smartphone"/>
    <x v="2"/>
    <s v="S-102"/>
    <s v="Sunrise Industries"/>
    <n v="133"/>
    <n v="220.82"/>
    <d v="2025-02-17T00:00:00"/>
    <d v="2025-03-13T00:00:00"/>
    <n v="64.17"/>
    <n v="29369.059999999998"/>
    <n v="8534.61"/>
    <n v="24"/>
    <n v="0.29059867765600944"/>
  </r>
  <r>
    <s v="PROD-1158"/>
    <s v="Desk Organizer"/>
    <x v="0"/>
    <s v="S-101"/>
    <s v="Global Tech Corp"/>
    <n v="242"/>
    <n v="47.92"/>
    <d v="2025-04-02T00:00:00"/>
    <d v="2025-04-08T00:00:00"/>
    <n v="11.67"/>
    <n v="11596.640000000001"/>
    <n v="2824.14"/>
    <n v="6"/>
    <n v="0.24353088480801335"/>
  </r>
  <r>
    <s v="PROD-1159"/>
    <s v="Notebook"/>
    <x v="0"/>
    <s v="S-101"/>
    <s v="Global Tech Corp"/>
    <n v="115"/>
    <n v="136.72999999999999"/>
    <d v="2025-06-07T00:00:00"/>
    <d v="2025-06-17T00:00:00"/>
    <n v="16.73"/>
    <n v="15723.949999999999"/>
    <n v="1923.95"/>
    <n v="10"/>
    <n v="0.12235793169019236"/>
  </r>
  <r>
    <s v="PROD-1160"/>
    <s v="T-Shirt"/>
    <x v="1"/>
    <s v="S-104"/>
    <s v="Modern Home Supplies"/>
    <n v="220"/>
    <n v="321.73"/>
    <d v="2025-01-27T00:00:00"/>
    <d v="2025-02-18T00:00:00"/>
    <n v="68.790000000000006"/>
    <n v="70780.600000000006"/>
    <n v="15133.800000000001"/>
    <n v="22"/>
    <n v="0.21381282441799024"/>
  </r>
  <r>
    <s v="PROD-1161"/>
    <s v="Coffee Beans"/>
    <x v="3"/>
    <s v="S-104"/>
    <s v="Modern Home Supplies"/>
    <n v="375"/>
    <n v="99.62"/>
    <d v="2025-03-05T00:00:00"/>
    <d v="2025-03-26T00:00:00"/>
    <n v="26.96"/>
    <n v="37357.5"/>
    <n v="10110"/>
    <n v="21"/>
    <n v="0.27062838787392091"/>
  </r>
  <r>
    <s v="PROD-1162"/>
    <s v="Notebook"/>
    <x v="0"/>
    <s v="S-103"/>
    <s v="Elite Paper Co"/>
    <n v="418"/>
    <n v="178.08"/>
    <d v="2025-02-13T00:00:00"/>
    <d v="2025-02-20T00:00:00"/>
    <n v="19.899999999999999"/>
    <n v="74437.440000000002"/>
    <n v="8318.1999999999989"/>
    <n v="7"/>
    <n v="0.11174752920035938"/>
  </r>
  <r>
    <s v="PROD-1163"/>
    <s v="Dark Chocolate"/>
    <x v="3"/>
    <s v="S-104"/>
    <s v="Modern Home Supplies"/>
    <n v="477"/>
    <n v="221.56"/>
    <d v="2025-04-25T00:00:00"/>
    <d v="2025-05-14T00:00:00"/>
    <n v="27"/>
    <n v="105684.12"/>
    <n v="12879"/>
    <n v="19"/>
    <n v="0.12186315219353674"/>
  </r>
  <r>
    <s v="PROD-1164"/>
    <s v="Headphones"/>
    <x v="2"/>
    <s v="S-102"/>
    <s v="Sunrise Industries"/>
    <n v="320"/>
    <n v="177.49"/>
    <d v="2025-03-13T00:00:00"/>
    <d v="2025-04-08T00:00:00"/>
    <n v="25.05"/>
    <n v="56796.800000000003"/>
    <n v="8016"/>
    <n v="26"/>
    <n v="0.14113471181475012"/>
  </r>
  <r>
    <s v="PROD-1165"/>
    <s v="Desk Lamp"/>
    <x v="4"/>
    <s v="S-102"/>
    <s v="Sunrise Industries"/>
    <n v="309"/>
    <n v="458.14"/>
    <d v="2025-01-29T00:00:00"/>
    <d v="2025-02-16T00:00:00"/>
    <n v="101.03"/>
    <n v="141565.26"/>
    <n v="31218.27"/>
    <n v="18"/>
    <n v="0.22052211114506484"/>
  </r>
  <r>
    <s v="PROD-1166"/>
    <s v="Pen Set"/>
    <x v="0"/>
    <s v="S-103"/>
    <s v="Elite Paper Co"/>
    <n v="206"/>
    <n v="233.08"/>
    <d v="2025-03-19T00:00:00"/>
    <d v="2025-04-16T00:00:00"/>
    <n v="29.66"/>
    <n v="48014.48"/>
    <n v="6109.96"/>
    <n v="28"/>
    <n v="0.12725244551227047"/>
  </r>
  <r>
    <s v="PROD-1167"/>
    <s v="Notebook"/>
    <x v="0"/>
    <s v="S-104"/>
    <s v="Modern Home Supplies"/>
    <n v="318"/>
    <n v="37.1"/>
    <d v="2025-04-29T00:00:00"/>
    <d v="2025-05-05T00:00:00"/>
    <n v="8.15"/>
    <n v="11797.800000000001"/>
    <n v="2591.7000000000003"/>
    <n v="6"/>
    <n v="0.21967654986522911"/>
  </r>
  <r>
    <s v="PROD-1168"/>
    <s v="Office Chair"/>
    <x v="4"/>
    <s v="S-102"/>
    <s v="Sunrise Industries"/>
    <n v="379"/>
    <n v="260.45"/>
    <d v="2025-05-30T00:00:00"/>
    <d v="2025-06-17T00:00:00"/>
    <n v="67.040000000000006"/>
    <n v="98710.55"/>
    <n v="25408.160000000003"/>
    <n v="18"/>
    <n v="0.25740065271645235"/>
  </r>
  <r>
    <s v="PROD-1169"/>
    <s v="Smartphone"/>
    <x v="2"/>
    <s v="S-103"/>
    <s v="Elite Paper Co"/>
    <n v="218"/>
    <n v="310.37"/>
    <d v="2025-06-03T00:00:00"/>
    <d v="2025-06-25T00:00:00"/>
    <n v="52.75"/>
    <n v="67660.66"/>
    <n v="11499.5"/>
    <n v="22"/>
    <n v="0.16995843670457841"/>
  </r>
  <r>
    <s v="PROD-1170"/>
    <s v="Desk Organizer"/>
    <x v="0"/>
    <s v="S-105"/>
    <s v="Fresh Mart Logistics"/>
    <n v="323"/>
    <n v="303.06"/>
    <d v="2025-03-03T00:00:00"/>
    <d v="2025-04-01T00:00:00"/>
    <n v="55.36"/>
    <n v="97888.38"/>
    <n v="17881.28"/>
    <n v="29"/>
    <n v="0.18267009833036363"/>
  </r>
  <r>
    <s v="PROD-1171"/>
    <s v="Desk Organizer"/>
    <x v="0"/>
    <s v="S-103"/>
    <s v="Elite Paper Co"/>
    <n v="447"/>
    <n v="376.14"/>
    <d v="2025-05-11T00:00:00"/>
    <d v="2025-05-18T00:00:00"/>
    <n v="81.17"/>
    <n v="168134.58"/>
    <n v="36282.99"/>
    <n v="7"/>
    <n v="0.2157973095124156"/>
  </r>
  <r>
    <s v="PROD-1172"/>
    <s v="Laptop"/>
    <x v="2"/>
    <s v="S-101"/>
    <s v="Global Tech Corp"/>
    <n v="37"/>
    <n v="43.93"/>
    <d v="2025-01-25T00:00:00"/>
    <d v="2025-02-06T00:00:00"/>
    <n v="8.5299999999999994"/>
    <n v="1625.41"/>
    <n v="315.60999999999996"/>
    <n v="12"/>
    <n v="0.19417254723423627"/>
  </r>
  <r>
    <s v="PROD-1173"/>
    <s v="Smartphone"/>
    <x v="2"/>
    <s v="S-101"/>
    <s v="Global Tech Corp"/>
    <n v="127"/>
    <n v="428.47"/>
    <d v="2025-02-07T00:00:00"/>
    <d v="2025-03-09T00:00:00"/>
    <n v="71.66"/>
    <n v="54415.69"/>
    <n v="9100.82"/>
    <n v="30"/>
    <n v="0.16724624827875928"/>
  </r>
  <r>
    <s v="PROD-1174"/>
    <s v="Stool"/>
    <x v="4"/>
    <s v="S-103"/>
    <s v="Elite Paper Co"/>
    <n v="318"/>
    <n v="234.68"/>
    <d v="2025-06-13T00:00:00"/>
    <d v="2025-07-03T00:00:00"/>
    <n v="25.58"/>
    <n v="74628.240000000005"/>
    <n v="8134.44"/>
    <n v="20"/>
    <n v="0.10899948866541673"/>
  </r>
  <r>
    <s v="PROD-1175"/>
    <s v="Dark Chocolate"/>
    <x v="3"/>
    <s v="S-105"/>
    <s v="Fresh Mart Logistics"/>
    <n v="462"/>
    <n v="221.71"/>
    <d v="2025-05-28T00:00:00"/>
    <d v="2025-06-06T00:00:00"/>
    <n v="24.97"/>
    <n v="102430.02"/>
    <n v="11536.14"/>
    <n v="9"/>
    <n v="0.11262459970231382"/>
  </r>
  <r>
    <s v="PROD-1176"/>
    <s v="Dark Chocolate"/>
    <x v="3"/>
    <s v="S-101"/>
    <s v="Global Tech Corp"/>
    <n v="128"/>
    <n v="373.78"/>
    <d v="2025-05-08T00:00:00"/>
    <d v="2025-05-15T00:00:00"/>
    <n v="81.66"/>
    <n v="47843.839999999997"/>
    <n v="10452.48"/>
    <n v="7"/>
    <n v="0.21847075820001072"/>
  </r>
  <r>
    <s v="PROD-1177"/>
    <s v="Desk Lamp"/>
    <x v="4"/>
    <s v="S-105"/>
    <s v="Fresh Mart Logistics"/>
    <n v="10"/>
    <n v="388.69"/>
    <d v="2025-06-03T00:00:00"/>
    <d v="2025-06-16T00:00:00"/>
    <n v="62.72"/>
    <n v="3886.9"/>
    <n v="627.20000000000005"/>
    <n v="13"/>
    <n v="0.16136252540585042"/>
  </r>
  <r>
    <s v="PROD-1178"/>
    <s v="Hoodie"/>
    <x v="1"/>
    <s v="S-103"/>
    <s v="Elite Paper Co"/>
    <n v="391"/>
    <n v="283.8"/>
    <d v="2025-04-03T00:00:00"/>
    <d v="2025-04-29T00:00:00"/>
    <n v="39.74"/>
    <n v="110965.8"/>
    <n v="15538.34"/>
    <n v="26"/>
    <n v="0.14002818886539817"/>
  </r>
  <r>
    <s v="PROD-1179"/>
    <s v="Coffee Beans"/>
    <x v="3"/>
    <s v="S-103"/>
    <s v="Elite Paper Co"/>
    <n v="333"/>
    <n v="419.22"/>
    <d v="2025-04-13T00:00:00"/>
    <d v="2025-05-10T00:00:00"/>
    <n v="93.6"/>
    <n v="139600.26"/>
    <n v="31168.799999999999"/>
    <n v="27"/>
    <n v="0.22327179046801199"/>
  </r>
  <r>
    <s v="PROD-1180"/>
    <s v="Pen Set"/>
    <x v="0"/>
    <s v="S-103"/>
    <s v="Elite Paper Co"/>
    <n v="197"/>
    <n v="381.42"/>
    <d v="2025-03-27T00:00:00"/>
    <d v="2025-04-13T00:00:00"/>
    <n v="97.69"/>
    <n v="75139.740000000005"/>
    <n v="19244.93"/>
    <n v="17"/>
    <n v="0.25612186041633894"/>
  </r>
  <r>
    <s v="PROD-1181"/>
    <s v="Smartphone"/>
    <x v="2"/>
    <s v="S-104"/>
    <s v="Modern Home Supplies"/>
    <n v="465"/>
    <n v="174.75"/>
    <d v="2025-03-09T00:00:00"/>
    <d v="2025-03-12T00:00:00"/>
    <n v="40.119999999999997"/>
    <n v="81258.75"/>
    <n v="18655.8"/>
    <n v="3"/>
    <n v="0.22958512160228897"/>
  </r>
  <r>
    <s v="PROD-1182"/>
    <s v="Stool"/>
    <x v="4"/>
    <s v="S-104"/>
    <s v="Modern Home Supplies"/>
    <n v="225"/>
    <n v="483.84"/>
    <d v="2025-05-13T00:00:00"/>
    <d v="2025-06-09T00:00:00"/>
    <n v="71.150000000000006"/>
    <n v="108864"/>
    <n v="16008.750000000002"/>
    <n v="27"/>
    <n v="0.14705274470899474"/>
  </r>
  <r>
    <s v="PROD-1183"/>
    <s v="Desk Lamp"/>
    <x v="4"/>
    <s v="S-102"/>
    <s v="Sunrise Industries"/>
    <n v="241"/>
    <n v="467.23"/>
    <d v="2025-02-18T00:00:00"/>
    <d v="2025-03-16T00:00:00"/>
    <n v="78.260000000000005"/>
    <n v="112602.43000000001"/>
    <n v="18860.66"/>
    <n v="26"/>
    <n v="0.16749780621963486"/>
  </r>
  <r>
    <s v="PROD-1184"/>
    <s v="Headphones"/>
    <x v="2"/>
    <s v="S-103"/>
    <s v="Elite Paper Co"/>
    <n v="495"/>
    <n v="328.98"/>
    <d v="2025-04-30T00:00:00"/>
    <d v="2025-05-06T00:00:00"/>
    <n v="56.41"/>
    <n v="162845.1"/>
    <n v="27922.949999999997"/>
    <n v="6"/>
    <n v="0.17146939023648852"/>
  </r>
  <r>
    <s v="PROD-1185"/>
    <s v="T-Shirt"/>
    <x v="1"/>
    <s v="S-102"/>
    <s v="Sunrise Industries"/>
    <n v="340"/>
    <n v="317.26"/>
    <d v="2025-01-25T00:00:00"/>
    <d v="2025-02-07T00:00:00"/>
    <n v="53.15"/>
    <n v="107868.4"/>
    <n v="18071"/>
    <n v="13"/>
    <n v="0.16752821030069975"/>
  </r>
  <r>
    <s v="PROD-1186"/>
    <s v="Headphones"/>
    <x v="2"/>
    <s v="S-101"/>
    <s v="Global Tech Corp"/>
    <n v="133"/>
    <n v="341.05"/>
    <d v="2025-03-25T00:00:00"/>
    <d v="2025-04-02T00:00:00"/>
    <n v="85.89"/>
    <n v="45359.65"/>
    <n v="11423.37"/>
    <n v="8"/>
    <n v="0.25183990617211555"/>
  </r>
  <r>
    <s v="PROD-1187"/>
    <s v="Hoodie"/>
    <x v="1"/>
    <s v="S-104"/>
    <s v="Modern Home Supplies"/>
    <n v="460"/>
    <n v="491.78"/>
    <d v="2025-06-12T00:00:00"/>
    <d v="2025-07-10T00:00:00"/>
    <n v="64.42"/>
    <n v="226218.8"/>
    <n v="29633.200000000001"/>
    <n v="28"/>
    <n v="0.13099353369392819"/>
  </r>
  <r>
    <s v="PROD-1188"/>
    <s v="Marker"/>
    <x v="0"/>
    <s v="S-104"/>
    <s v="Modern Home Supplies"/>
    <n v="399"/>
    <n v="27.09"/>
    <d v="2025-01-10T00:00:00"/>
    <d v="2025-01-16T00:00:00"/>
    <n v="6.56"/>
    <n v="10808.91"/>
    <n v="2617.44"/>
    <n v="6"/>
    <n v="0.24215577703949795"/>
  </r>
  <r>
    <s v="PROD-1189"/>
    <s v="Dark Chocolate"/>
    <x v="3"/>
    <s v="S-105"/>
    <s v="Fresh Mart Logistics"/>
    <n v="228"/>
    <n v="264.41000000000003"/>
    <d v="2025-02-12T00:00:00"/>
    <d v="2025-02-22T00:00:00"/>
    <n v="65.86"/>
    <n v="60285.48"/>
    <n v="15016.08"/>
    <n v="10"/>
    <n v="0.24908286373435193"/>
  </r>
  <r>
    <s v="PROD-1190"/>
    <s v="Notebook"/>
    <x v="0"/>
    <s v="S-105"/>
    <s v="Fresh Mart Logistics"/>
    <n v="161"/>
    <n v="447.4"/>
    <d v="2025-05-30T00:00:00"/>
    <d v="2025-06-16T00:00:00"/>
    <n v="101.71"/>
    <n v="72031.399999999994"/>
    <n v="16375.31"/>
    <n v="17"/>
    <n v="0.22733571747876621"/>
  </r>
  <r>
    <s v="PROD-1191"/>
    <s v="Almonds"/>
    <x v="3"/>
    <s v="S-102"/>
    <s v="Sunrise Industries"/>
    <n v="449"/>
    <n v="256.47000000000003"/>
    <d v="2025-03-05T00:00:00"/>
    <d v="2025-03-07T00:00:00"/>
    <n v="63.32"/>
    <n v="115155.03000000001"/>
    <n v="28430.68"/>
    <n v="2"/>
    <n v="0.24689047451943694"/>
  </r>
  <r>
    <s v="PROD-1192"/>
    <s v="Organic Tea"/>
    <x v="3"/>
    <s v="S-105"/>
    <s v="Fresh Mart Logistics"/>
    <n v="221"/>
    <n v="206.95"/>
    <d v="2025-06-24T00:00:00"/>
    <d v="2025-06-30T00:00:00"/>
    <n v="33.06"/>
    <n v="45735.95"/>
    <n v="7306.26"/>
    <n v="6"/>
    <n v="0.15974873157767577"/>
  </r>
  <r>
    <s v="PROD-1193"/>
    <s v="Desk Lamp"/>
    <x v="4"/>
    <s v="S-103"/>
    <s v="Elite Paper Co"/>
    <n v="16"/>
    <n v="33.53"/>
    <d v="2025-01-12T00:00:00"/>
    <d v="2025-01-22T00:00:00"/>
    <n v="9.64"/>
    <n v="536.48"/>
    <n v="154.24"/>
    <n v="10"/>
    <n v="0.28750372800477186"/>
  </r>
  <r>
    <s v="PROD-1194"/>
    <s v="T-Shirt"/>
    <x v="1"/>
    <s v="S-101"/>
    <s v="Global Tech Corp"/>
    <n v="109"/>
    <n v="186.23"/>
    <d v="2025-05-09T00:00:00"/>
    <d v="2025-06-06T00:00:00"/>
    <n v="29.93"/>
    <n v="20299.07"/>
    <n v="3262.37"/>
    <n v="28"/>
    <n v="0.16071524459002309"/>
  </r>
  <r>
    <s v="PROD-1195"/>
    <s v="Tablet"/>
    <x v="2"/>
    <s v="S-104"/>
    <s v="Modern Home Supplies"/>
    <n v="404"/>
    <n v="41.57"/>
    <d v="2025-05-28T00:00:00"/>
    <d v="2025-06-15T00:00:00"/>
    <n v="10.119999999999999"/>
    <n v="16794.28"/>
    <n v="4088.4799999999996"/>
    <n v="18"/>
    <n v="0.24344479191724799"/>
  </r>
  <r>
    <s v="PROD-1196"/>
    <s v="Hoodie"/>
    <x v="1"/>
    <s v="S-102"/>
    <s v="Sunrise Industries"/>
    <n v="462"/>
    <n v="426.91"/>
    <d v="2025-06-03T00:00:00"/>
    <d v="2025-06-23T00:00:00"/>
    <n v="74.709999999999994"/>
    <n v="197232.42"/>
    <n v="34516.019999999997"/>
    <n v="20"/>
    <n v="0.17500175681056895"/>
  </r>
  <r>
    <s v="PROD-1197"/>
    <s v="Smartphone"/>
    <x v="2"/>
    <s v="S-105"/>
    <s v="Fresh Mart Logistics"/>
    <n v="31"/>
    <n v="288.41000000000003"/>
    <d v="2025-06-25T00:00:00"/>
    <d v="2025-07-14T00:00:00"/>
    <n v="64.290000000000006"/>
    <n v="8940.7100000000009"/>
    <n v="1992.9900000000002"/>
    <n v="19"/>
    <n v="0.22291182691307515"/>
  </r>
  <r>
    <s v="PROD-1198"/>
    <s v="Hoodie"/>
    <x v="1"/>
    <s v="S-105"/>
    <s v="Fresh Mart Logistics"/>
    <n v="476"/>
    <n v="108.88"/>
    <d v="2025-02-25T00:00:00"/>
    <d v="2025-03-11T00:00:00"/>
    <n v="20.74"/>
    <n v="51826.879999999997"/>
    <n v="9872.24"/>
    <n v="14"/>
    <n v="0.19048493754592211"/>
  </r>
  <r>
    <s v="PROD-1199"/>
    <s v="Coffee Beans"/>
    <x v="3"/>
    <s v="S-102"/>
    <s v="Sunrise Industries"/>
    <n v="421"/>
    <n v="189.7"/>
    <d v="2025-05-21T00:00:00"/>
    <d v="2025-06-08T00:00:00"/>
    <n v="37.32"/>
    <n v="79863.7"/>
    <n v="15711.72"/>
    <n v="18"/>
    <n v="0.19673168160253032"/>
  </r>
  <r>
    <s v="PROD-1200"/>
    <s v="Headphones"/>
    <x v="2"/>
    <s v="S-101"/>
    <s v="Global Tech Corp"/>
    <n v="189"/>
    <n v="134.63999999999999"/>
    <d v="2025-05-30T00:00:00"/>
    <d v="2025-06-16T00:00:00"/>
    <n v="26.89"/>
    <n v="25446.959999999999"/>
    <n v="5082.21"/>
    <n v="17"/>
    <n v="0.19971776589423651"/>
  </r>
  <r>
    <s v="PROD-1201"/>
    <s v="Desk Lamp"/>
    <x v="4"/>
    <s v="S-102"/>
    <s v="Sunrise Industries"/>
    <n v="188"/>
    <n v="167.05"/>
    <d v="2025-02-25T00:00:00"/>
    <d v="2025-03-21T00:00:00"/>
    <n v="18.14"/>
    <n v="31405.4"/>
    <n v="3410.32"/>
    <n v="24"/>
    <n v="0.10859024244238252"/>
  </r>
  <r>
    <s v="PROD-1202"/>
    <s v="Pen Set"/>
    <x v="0"/>
    <s v="S-102"/>
    <s v="Sunrise Industries"/>
    <n v="358"/>
    <n v="313.76"/>
    <d v="2025-01-04T00:00:00"/>
    <d v="2025-01-30T00:00:00"/>
    <n v="38.840000000000003"/>
    <n v="112326.08"/>
    <n v="13904.720000000001"/>
    <n v="26"/>
    <n v="0.12378888322284551"/>
  </r>
  <r>
    <s v="PROD-1203"/>
    <s v="Smartphone"/>
    <x v="2"/>
    <s v="S-103"/>
    <s v="Elite Paper Co"/>
    <n v="174"/>
    <n v="391.56"/>
    <d v="2025-03-14T00:00:00"/>
    <d v="2025-03-19T00:00:00"/>
    <n v="104.25"/>
    <n v="68131.44"/>
    <n v="18139.5"/>
    <n v="5"/>
    <n v="0.26624272142200428"/>
  </r>
  <r>
    <s v="PROD-1204"/>
    <s v="Desk Organizer"/>
    <x v="0"/>
    <s v="S-104"/>
    <s v="Modern Home Supplies"/>
    <n v="50"/>
    <n v="322.32"/>
    <d v="2025-03-22T00:00:00"/>
    <d v="2025-03-24T00:00:00"/>
    <n v="62.87"/>
    <n v="16116"/>
    <n v="3143.5"/>
    <n v="2"/>
    <n v="0.19505460412012907"/>
  </r>
  <r>
    <s v="PROD-1205"/>
    <s v="Notebook"/>
    <x v="0"/>
    <s v="S-102"/>
    <s v="Sunrise Industries"/>
    <n v="451"/>
    <n v="330.11"/>
    <d v="2025-05-29T00:00:00"/>
    <d v="2025-06-22T00:00:00"/>
    <n v="56.5"/>
    <n v="148879.61000000002"/>
    <n v="25481.5"/>
    <n v="24"/>
    <n v="0.17115506952228043"/>
  </r>
  <r>
    <s v="PROD-1206"/>
    <s v="Pen Set"/>
    <x v="0"/>
    <s v="S-104"/>
    <s v="Modern Home Supplies"/>
    <n v="270"/>
    <n v="458.45"/>
    <d v="2025-03-24T00:00:00"/>
    <d v="2025-04-23T00:00:00"/>
    <n v="84.08"/>
    <n v="123781.5"/>
    <n v="22701.599999999999"/>
    <n v="30"/>
    <n v="0.18340058894099684"/>
  </r>
  <r>
    <s v="PROD-1207"/>
    <s v="Tablet"/>
    <x v="2"/>
    <s v="S-104"/>
    <s v="Modern Home Supplies"/>
    <n v="412"/>
    <n v="469.5"/>
    <d v="2025-03-23T00:00:00"/>
    <d v="2025-04-03T00:00:00"/>
    <n v="87.58"/>
    <n v="193434"/>
    <n v="36082.959999999999"/>
    <n v="11"/>
    <n v="0.18653887113951012"/>
  </r>
  <r>
    <s v="PROD-1208"/>
    <s v="Smartphone"/>
    <x v="2"/>
    <s v="S-104"/>
    <s v="Modern Home Supplies"/>
    <n v="155"/>
    <n v="174.39"/>
    <d v="2025-05-07T00:00:00"/>
    <d v="2025-05-22T00:00:00"/>
    <n v="22.53"/>
    <n v="27030.449999999997"/>
    <n v="3492.15"/>
    <n v="15"/>
    <n v="0.12919318768277999"/>
  </r>
  <r>
    <s v="PROD-1209"/>
    <s v="Office Chair"/>
    <x v="4"/>
    <s v="S-105"/>
    <s v="Fresh Mart Logistics"/>
    <n v="174"/>
    <n v="181.53"/>
    <d v="2025-02-16T00:00:00"/>
    <d v="2025-02-20T00:00:00"/>
    <n v="44.58"/>
    <n v="31586.22"/>
    <n v="7756.92"/>
    <n v="4"/>
    <n v="0.24557924310031398"/>
  </r>
  <r>
    <s v="PROD-1210"/>
    <s v="Stool"/>
    <x v="4"/>
    <s v="S-104"/>
    <s v="Modern Home Supplies"/>
    <n v="100"/>
    <n v="224.04"/>
    <d v="2025-02-04T00:00:00"/>
    <d v="2025-02-17T00:00:00"/>
    <n v="37.74"/>
    <n v="22404"/>
    <n v="3774"/>
    <n v="13"/>
    <n v="0.1684520621317622"/>
  </r>
  <r>
    <s v="PROD-1211"/>
    <s v="Coffee Beans"/>
    <x v="3"/>
    <s v="S-105"/>
    <s v="Fresh Mart Logistics"/>
    <n v="355"/>
    <n v="368.78"/>
    <d v="2025-01-01T00:00:00"/>
    <d v="2025-01-29T00:00:00"/>
    <n v="59.68"/>
    <n v="130916.9"/>
    <n v="21186.400000000001"/>
    <n v="28"/>
    <n v="0.16183090189272739"/>
  </r>
  <r>
    <s v="PROD-1212"/>
    <s v="Almonds"/>
    <x v="3"/>
    <s v="S-102"/>
    <s v="Sunrise Industries"/>
    <n v="137"/>
    <n v="434.25"/>
    <d v="2025-03-29T00:00:00"/>
    <d v="2025-04-12T00:00:00"/>
    <n v="121.19"/>
    <n v="59492.25"/>
    <n v="16603.03"/>
    <n v="14"/>
    <n v="0.27907887161773171"/>
  </r>
  <r>
    <s v="PROD-1213"/>
    <s v="Cap"/>
    <x v="1"/>
    <s v="S-103"/>
    <s v="Elite Paper Co"/>
    <n v="425"/>
    <n v="362.27"/>
    <d v="2025-03-11T00:00:00"/>
    <d v="2025-03-27T00:00:00"/>
    <n v="54.68"/>
    <n v="153964.75"/>
    <n v="23239"/>
    <n v="16"/>
    <n v="0.15093714632732494"/>
  </r>
  <r>
    <s v="PROD-1214"/>
    <s v="Dark Chocolate"/>
    <x v="3"/>
    <s v="S-101"/>
    <s v="Global Tech Corp"/>
    <n v="193"/>
    <n v="162.09"/>
    <d v="2025-06-24T00:00:00"/>
    <d v="2025-07-12T00:00:00"/>
    <n v="21.63"/>
    <n v="31283.37"/>
    <n v="4174.59"/>
    <n v="18"/>
    <n v="0.13344438275032389"/>
  </r>
  <r>
    <s v="PROD-1215"/>
    <s v="Office Chair"/>
    <x v="4"/>
    <s v="S-101"/>
    <s v="Global Tech Corp"/>
    <n v="125"/>
    <n v="476.97"/>
    <d v="2025-04-21T00:00:00"/>
    <d v="2025-05-16T00:00:00"/>
    <n v="118.21"/>
    <n v="59621.25"/>
    <n v="14776.25"/>
    <n v="25"/>
    <n v="0.24783529362433693"/>
  </r>
  <r>
    <s v="PROD-1216"/>
    <s v="Headphones"/>
    <x v="2"/>
    <s v="S-103"/>
    <s v="Elite Paper Co"/>
    <n v="110"/>
    <n v="72.3"/>
    <d v="2025-03-11T00:00:00"/>
    <d v="2025-04-08T00:00:00"/>
    <n v="14.22"/>
    <n v="7953"/>
    <n v="1564.2"/>
    <n v="28"/>
    <n v="0.19668049792531123"/>
  </r>
  <r>
    <s v="PROD-1217"/>
    <s v="Bookshelf"/>
    <x v="4"/>
    <s v="S-103"/>
    <s v="Elite Paper Co"/>
    <n v="243"/>
    <n v="61.94"/>
    <d v="2025-01-13T00:00:00"/>
    <d v="2025-02-05T00:00:00"/>
    <n v="12.6"/>
    <n v="15051.42"/>
    <n v="3061.7999999999997"/>
    <n v="23"/>
    <n v="0.20342266709719084"/>
  </r>
  <r>
    <s v="PROD-1218"/>
    <s v="Notebook"/>
    <x v="0"/>
    <s v="S-101"/>
    <s v="Global Tech Corp"/>
    <n v="462"/>
    <n v="269.77"/>
    <d v="2025-04-11T00:00:00"/>
    <d v="2025-04-19T00:00:00"/>
    <n v="39.68"/>
    <n v="124633.73999999999"/>
    <n v="18332.16"/>
    <n v="8"/>
    <n v="0.14708826036994477"/>
  </r>
  <r>
    <s v="PROD-1219"/>
    <s v="Tablet"/>
    <x v="2"/>
    <s v="S-103"/>
    <s v="Elite Paper Co"/>
    <n v="111"/>
    <n v="183.29"/>
    <d v="2025-01-06T00:00:00"/>
    <d v="2025-01-14T00:00:00"/>
    <n v="25.79"/>
    <n v="20345.189999999999"/>
    <n v="2862.69"/>
    <n v="8"/>
    <n v="0.14070598505101206"/>
  </r>
  <r>
    <s v="PROD-1220"/>
    <s v="Marker"/>
    <x v="0"/>
    <s v="S-104"/>
    <s v="Modern Home Supplies"/>
    <n v="304"/>
    <n v="346.84"/>
    <d v="2025-02-02T00:00:00"/>
    <d v="2025-02-25T00:00:00"/>
    <n v="94.6"/>
    <n v="105439.35999999999"/>
    <n v="28758.399999999998"/>
    <n v="23"/>
    <n v="0.27274824126398339"/>
  </r>
  <r>
    <s v="PROD-1221"/>
    <s v="T-Shirt"/>
    <x v="1"/>
    <s v="S-101"/>
    <s v="Global Tech Corp"/>
    <n v="143"/>
    <n v="286.63"/>
    <d v="2025-02-02T00:00:00"/>
    <d v="2025-02-17T00:00:00"/>
    <n v="71.63"/>
    <n v="40988.089999999997"/>
    <n v="10243.09"/>
    <n v="15"/>
    <n v="0.2499040574957262"/>
  </r>
  <r>
    <s v="PROD-1222"/>
    <s v="Dark Chocolate"/>
    <x v="3"/>
    <s v="S-101"/>
    <s v="Global Tech Corp"/>
    <n v="318"/>
    <n v="15.15"/>
    <d v="2025-01-10T00:00:00"/>
    <d v="2025-02-01T00:00:00"/>
    <n v="1.73"/>
    <n v="4817.7"/>
    <n v="550.14"/>
    <n v="22"/>
    <n v="0.11419141914191419"/>
  </r>
  <r>
    <s v="PROD-1223"/>
    <s v="Bookshelf"/>
    <x v="4"/>
    <s v="S-105"/>
    <s v="Fresh Mart Logistics"/>
    <n v="408"/>
    <n v="165.42"/>
    <d v="2025-03-10T00:00:00"/>
    <d v="2025-03-30T00:00:00"/>
    <n v="37.369999999999997"/>
    <n v="67491.360000000001"/>
    <n v="15246.96"/>
    <n v="20"/>
    <n v="0.22590980534397292"/>
  </r>
  <r>
    <s v="PROD-1224"/>
    <s v="Smartphone"/>
    <x v="2"/>
    <s v="S-104"/>
    <s v="Modern Home Supplies"/>
    <n v="186"/>
    <n v="183.55"/>
    <d v="2025-05-21T00:00:00"/>
    <d v="2025-06-02T00:00:00"/>
    <n v="26.37"/>
    <n v="34140.300000000003"/>
    <n v="4904.8200000000006"/>
    <n v="12"/>
    <n v="0.14366657586488696"/>
  </r>
  <r>
    <s v="PROD-1225"/>
    <s v="Smartphone"/>
    <x v="2"/>
    <s v="S-105"/>
    <s v="Fresh Mart Logistics"/>
    <n v="388"/>
    <n v="474.29"/>
    <d v="2025-03-30T00:00:00"/>
    <d v="2025-04-26T00:00:00"/>
    <n v="115.15"/>
    <n v="184024.52000000002"/>
    <n v="44678.200000000004"/>
    <n v="27"/>
    <n v="0.242783950747433"/>
  </r>
  <r>
    <s v="PROD-1226"/>
    <s v="Tablet"/>
    <x v="2"/>
    <s v="S-102"/>
    <s v="Sunrise Industries"/>
    <n v="243"/>
    <n v="392.59"/>
    <d v="2025-01-23T00:00:00"/>
    <d v="2025-02-05T00:00:00"/>
    <n v="104.82"/>
    <n v="95399.37"/>
    <n v="25471.26"/>
    <n v="13"/>
    <n v="0.26699610280445246"/>
  </r>
  <r>
    <s v="PROD-1227"/>
    <s v="Dark Chocolate"/>
    <x v="3"/>
    <s v="S-103"/>
    <s v="Elite Paper Co"/>
    <n v="117"/>
    <n v="465.43"/>
    <d v="2025-02-15T00:00:00"/>
    <d v="2025-02-21T00:00:00"/>
    <n v="117.79"/>
    <n v="54455.31"/>
    <n v="13781.43"/>
    <n v="6"/>
    <n v="0.25307779902455796"/>
  </r>
  <r>
    <s v="PROD-1228"/>
    <s v="Desk Lamp"/>
    <x v="4"/>
    <s v="S-104"/>
    <s v="Modern Home Supplies"/>
    <n v="237"/>
    <n v="23.29"/>
    <d v="2025-04-19T00:00:00"/>
    <d v="2025-04-28T00:00:00"/>
    <n v="6.74"/>
    <n v="5519.73"/>
    <n v="1597.38"/>
    <n v="9"/>
    <n v="0.28939458995276945"/>
  </r>
  <r>
    <s v="PROD-1229"/>
    <s v="Cap"/>
    <x v="1"/>
    <s v="S-102"/>
    <s v="Sunrise Industries"/>
    <n v="227"/>
    <n v="221.67"/>
    <d v="2025-06-15T00:00:00"/>
    <d v="2025-06-30T00:00:00"/>
    <n v="53.33"/>
    <n v="50319.09"/>
    <n v="12105.91"/>
    <n v="15"/>
    <n v="0.24058284837821989"/>
  </r>
  <r>
    <s v="PROD-1230"/>
    <s v="Hoodie"/>
    <x v="1"/>
    <s v="S-103"/>
    <s v="Elite Paper Co"/>
    <n v="139"/>
    <n v="410.32"/>
    <d v="2025-01-19T00:00:00"/>
    <d v="2025-02-12T00:00:00"/>
    <n v="110.81"/>
    <n v="57034.479999999996"/>
    <n v="15402.59"/>
    <n v="24"/>
    <n v="0.27005751608500683"/>
  </r>
  <r>
    <s v="PROD-1231"/>
    <s v="Coffee Beans"/>
    <x v="3"/>
    <s v="S-103"/>
    <s v="Elite Paper Co"/>
    <n v="322"/>
    <n v="88.58"/>
    <d v="2025-03-07T00:00:00"/>
    <d v="2025-03-31T00:00:00"/>
    <n v="26.14"/>
    <n v="28522.76"/>
    <n v="8417.08"/>
    <n v="24"/>
    <n v="0.29510047414766316"/>
  </r>
  <r>
    <s v="PROD-1232"/>
    <s v="Coffee Beans"/>
    <x v="3"/>
    <s v="S-101"/>
    <s v="Global Tech Corp"/>
    <n v="193"/>
    <n v="166.87"/>
    <d v="2025-01-20T00:00:00"/>
    <d v="2025-02-18T00:00:00"/>
    <n v="45.5"/>
    <n v="32205.91"/>
    <n v="8781.5"/>
    <n v="29"/>
    <n v="0.27266734583807756"/>
  </r>
  <r>
    <s v="PROD-1233"/>
    <s v="Socks"/>
    <x v="1"/>
    <s v="S-104"/>
    <s v="Modern Home Supplies"/>
    <n v="190"/>
    <n v="384.63"/>
    <d v="2025-01-24T00:00:00"/>
    <d v="2025-02-22T00:00:00"/>
    <n v="43.8"/>
    <n v="73079.7"/>
    <n v="8322"/>
    <n v="29"/>
    <n v="0.11387567272443647"/>
  </r>
  <r>
    <s v="PROD-1234"/>
    <s v="Bookshelf"/>
    <x v="4"/>
    <s v="S-102"/>
    <s v="Sunrise Industries"/>
    <n v="124"/>
    <n v="294.62"/>
    <d v="2025-06-29T00:00:00"/>
    <d v="2025-07-11T00:00:00"/>
    <n v="82.34"/>
    <n v="36532.879999999997"/>
    <n v="10210.16"/>
    <n v="12"/>
    <n v="0.27947865046500575"/>
  </r>
  <r>
    <s v="PROD-1235"/>
    <s v="Office Chair"/>
    <x v="4"/>
    <s v="S-102"/>
    <s v="Sunrise Industries"/>
    <n v="225"/>
    <n v="463.74"/>
    <d v="2025-01-05T00:00:00"/>
    <d v="2025-01-07T00:00:00"/>
    <n v="113.36"/>
    <n v="104341.5"/>
    <n v="25506"/>
    <n v="2"/>
    <n v="0.24444731961875188"/>
  </r>
  <r>
    <s v="PROD-1236"/>
    <s v="Almonds"/>
    <x v="3"/>
    <s v="S-101"/>
    <s v="Global Tech Corp"/>
    <n v="370"/>
    <n v="239.92"/>
    <d v="2025-04-01T00:00:00"/>
    <d v="2025-05-01T00:00:00"/>
    <n v="53.05"/>
    <n v="88770.4"/>
    <n v="19628.5"/>
    <n v="30"/>
    <n v="0.22111537179059687"/>
  </r>
  <r>
    <s v="PROD-1237"/>
    <s v="Pen Set"/>
    <x v="0"/>
    <s v="S-101"/>
    <s v="Global Tech Corp"/>
    <n v="289"/>
    <n v="309.04000000000002"/>
    <d v="2025-03-24T00:00:00"/>
    <d v="2025-04-02T00:00:00"/>
    <n v="91.12"/>
    <n v="89312.560000000012"/>
    <n v="26333.68"/>
    <n v="9"/>
    <n v="0.29484856329277764"/>
  </r>
  <r>
    <s v="PROD-1238"/>
    <s v="T-Shirt"/>
    <x v="1"/>
    <s v="S-105"/>
    <s v="Fresh Mart Logistics"/>
    <n v="214"/>
    <n v="118.63"/>
    <d v="2025-06-19T00:00:00"/>
    <d v="2025-07-07T00:00:00"/>
    <n v="16"/>
    <n v="25386.82"/>
    <n v="3424"/>
    <n v="18"/>
    <n v="0.13487313495743067"/>
  </r>
  <r>
    <s v="PROD-1239"/>
    <s v="Organic Tea"/>
    <x v="3"/>
    <s v="S-105"/>
    <s v="Fresh Mart Logistics"/>
    <n v="500"/>
    <n v="381.1"/>
    <d v="2025-06-02T00:00:00"/>
    <d v="2025-06-24T00:00:00"/>
    <n v="74.13"/>
    <n v="190550"/>
    <n v="37065"/>
    <n v="22"/>
    <n v="0.19451587509839935"/>
  </r>
  <r>
    <s v="PROD-1240"/>
    <s v="Headphones"/>
    <x v="2"/>
    <s v="S-104"/>
    <s v="Modern Home Supplies"/>
    <n v="299"/>
    <n v="220.3"/>
    <d v="2025-01-14T00:00:00"/>
    <d v="2025-01-25T00:00:00"/>
    <n v="38.9"/>
    <n v="65869.7"/>
    <n v="11631.1"/>
    <n v="11"/>
    <n v="0.17657739446209714"/>
  </r>
  <r>
    <s v="PROD-1241"/>
    <s v="Coffee Beans"/>
    <x v="3"/>
    <s v="S-104"/>
    <s v="Modern Home Supplies"/>
    <n v="281"/>
    <n v="136.65"/>
    <d v="2025-05-07T00:00:00"/>
    <d v="2025-05-27T00:00:00"/>
    <n v="39.17"/>
    <n v="38398.65"/>
    <n v="11006.77"/>
    <n v="20"/>
    <n v="0.28664471276984999"/>
  </r>
  <r>
    <s v="PROD-1242"/>
    <s v="Desk Lamp"/>
    <x v="4"/>
    <s v="S-102"/>
    <s v="Sunrise Industries"/>
    <n v="141"/>
    <n v="170.28"/>
    <d v="2025-06-14T00:00:00"/>
    <d v="2025-07-11T00:00:00"/>
    <n v="33.39"/>
    <n v="24009.48"/>
    <n v="4707.99"/>
    <n v="27"/>
    <n v="0.19608879492600423"/>
  </r>
  <r>
    <s v="PROD-1243"/>
    <s v="Organic Tea"/>
    <x v="3"/>
    <s v="S-101"/>
    <s v="Global Tech Corp"/>
    <n v="344"/>
    <n v="403.19"/>
    <d v="2025-03-08T00:00:00"/>
    <d v="2025-03-10T00:00:00"/>
    <n v="101.22"/>
    <n v="138697.35999999999"/>
    <n v="34819.68"/>
    <n v="2"/>
    <n v="0.25104789305290309"/>
  </r>
  <r>
    <s v="PROD-1244"/>
    <s v="T-Shirt"/>
    <x v="1"/>
    <s v="S-102"/>
    <s v="Sunrise Industries"/>
    <n v="271"/>
    <n v="15.46"/>
    <d v="2025-04-24T00:00:00"/>
    <d v="2025-05-17T00:00:00"/>
    <n v="3.35"/>
    <n v="4189.66"/>
    <n v="907.85"/>
    <n v="23"/>
    <n v="0.2166882276843467"/>
  </r>
  <r>
    <s v="PROD-1245"/>
    <s v="Laptop"/>
    <x v="2"/>
    <s v="S-102"/>
    <s v="Sunrise Industries"/>
    <n v="256"/>
    <n v="491.2"/>
    <d v="2025-06-11T00:00:00"/>
    <d v="2025-06-13T00:00:00"/>
    <n v="129.27000000000001"/>
    <n v="125747.2"/>
    <n v="33093.120000000003"/>
    <n v="2"/>
    <n v="0.26317182410423456"/>
  </r>
  <r>
    <s v="PROD-1246"/>
    <s v="Tablet"/>
    <x v="2"/>
    <s v="S-104"/>
    <s v="Modern Home Supplies"/>
    <n v="126"/>
    <n v="18.3"/>
    <d v="2025-01-19T00:00:00"/>
    <d v="2025-02-14T00:00:00"/>
    <n v="3.03"/>
    <n v="2305.8000000000002"/>
    <n v="381.78"/>
    <n v="26"/>
    <n v="0.16557377049180327"/>
  </r>
  <r>
    <s v="PROD-1247"/>
    <s v="Desk Lamp"/>
    <x v="4"/>
    <s v="S-105"/>
    <s v="Fresh Mart Logistics"/>
    <n v="104"/>
    <n v="342.11"/>
    <d v="2025-03-23T00:00:00"/>
    <d v="2025-04-16T00:00:00"/>
    <n v="58.94"/>
    <n v="35579.440000000002"/>
    <n v="6129.76"/>
    <n v="24"/>
    <n v="0.17228376837859166"/>
  </r>
  <r>
    <s v="PROD-1248"/>
    <s v="Hoodie"/>
    <x v="1"/>
    <s v="S-102"/>
    <s v="Sunrise Industries"/>
    <n v="402"/>
    <n v="230.72"/>
    <d v="2025-02-11T00:00:00"/>
    <d v="2025-02-26T00:00:00"/>
    <n v="34.33"/>
    <n v="92749.440000000002"/>
    <n v="13800.66"/>
    <n v="15"/>
    <n v="0.14879507628294036"/>
  </r>
  <r>
    <s v="PROD-1249"/>
    <s v="Hoodie"/>
    <x v="1"/>
    <s v="S-105"/>
    <s v="Fresh Mart Logistics"/>
    <n v="71"/>
    <n v="491.86"/>
    <d v="2025-03-17T00:00:00"/>
    <d v="2025-03-31T00:00:00"/>
    <n v="65.11"/>
    <n v="34922.06"/>
    <n v="4622.8100000000004"/>
    <n v="14"/>
    <n v="0.13237506607571259"/>
  </r>
  <r>
    <s v="PROD-1250"/>
    <s v="Desk Lamp"/>
    <x v="4"/>
    <s v="S-101"/>
    <s v="Global Tech Corp"/>
    <n v="63"/>
    <n v="338.59"/>
    <d v="2025-02-20T00:00:00"/>
    <d v="2025-03-03T00:00:00"/>
    <n v="77.599999999999994"/>
    <n v="21331.17"/>
    <n v="4888.7999999999993"/>
    <n v="11"/>
    <n v="0.22918574086653476"/>
  </r>
  <r>
    <s v="PROD-1251"/>
    <s v="Desk Organizer"/>
    <x v="0"/>
    <s v="S-101"/>
    <s v="Global Tech Corp"/>
    <n v="238"/>
    <n v="481.91"/>
    <d v="2025-06-29T00:00:00"/>
    <d v="2025-07-04T00:00:00"/>
    <n v="102.58"/>
    <n v="114694.58"/>
    <n v="24414.04"/>
    <n v="5"/>
    <n v="0.21286132265360749"/>
  </r>
  <r>
    <s v="PROD-1252"/>
    <s v="Laptop"/>
    <x v="2"/>
    <s v="S-102"/>
    <s v="Sunrise Industries"/>
    <n v="50"/>
    <n v="155.52000000000001"/>
    <d v="2025-02-16T00:00:00"/>
    <d v="2025-03-10T00:00:00"/>
    <n v="20"/>
    <n v="7776.0000000000009"/>
    <n v="1000"/>
    <n v="22"/>
    <n v="0.12860082304526749"/>
  </r>
  <r>
    <s v="PROD-1253"/>
    <s v="Hoodie"/>
    <x v="1"/>
    <s v="S-105"/>
    <s v="Fresh Mart Logistics"/>
    <n v="236"/>
    <n v="455.34"/>
    <d v="2025-02-27T00:00:00"/>
    <d v="2025-03-28T00:00:00"/>
    <n v="78.2"/>
    <n v="107460.23999999999"/>
    <n v="18455.2"/>
    <n v="29"/>
    <n v="0.17173979883164231"/>
  </r>
  <r>
    <s v="PROD-1254"/>
    <s v="Dark Chocolate"/>
    <x v="3"/>
    <s v="S-104"/>
    <s v="Modern Home Supplies"/>
    <n v="422"/>
    <n v="373.24"/>
    <d v="2025-04-11T00:00:00"/>
    <d v="2025-05-11T00:00:00"/>
    <n v="55.9"/>
    <n v="157507.28"/>
    <n v="23589.8"/>
    <n v="30"/>
    <n v="0.14976958525345621"/>
  </r>
  <r>
    <s v="PROD-1255"/>
    <s v="Coffee Beans"/>
    <x v="3"/>
    <s v="S-101"/>
    <s v="Global Tech Corp"/>
    <n v="202"/>
    <n v="316.18"/>
    <d v="2025-05-27T00:00:00"/>
    <d v="2025-06-08T00:00:00"/>
    <n v="78.91"/>
    <n v="63868.36"/>
    <n v="15939.82"/>
    <n v="12"/>
    <n v="0.24957302802201276"/>
  </r>
  <r>
    <s v="PROD-1256"/>
    <s v="T-Shirt"/>
    <x v="1"/>
    <s v="S-101"/>
    <s v="Global Tech Corp"/>
    <n v="199"/>
    <n v="75.75"/>
    <d v="2025-06-12T00:00:00"/>
    <d v="2025-06-16T00:00:00"/>
    <n v="10.47"/>
    <n v="15074.25"/>
    <n v="2083.5300000000002"/>
    <n v="4"/>
    <n v="0.13821782178217823"/>
  </r>
  <r>
    <s v="PROD-1257"/>
    <s v="Organic Tea"/>
    <x v="3"/>
    <s v="S-105"/>
    <s v="Fresh Mart Logistics"/>
    <n v="27"/>
    <n v="7.04"/>
    <d v="2025-06-28T00:00:00"/>
    <d v="2025-07-14T00:00:00"/>
    <n v="0.78"/>
    <n v="190.08"/>
    <n v="21.060000000000002"/>
    <n v="16"/>
    <n v="0.11079545454545454"/>
  </r>
  <r>
    <s v="PROD-1258"/>
    <s v="Socks"/>
    <x v="1"/>
    <s v="S-101"/>
    <s v="Global Tech Corp"/>
    <n v="500"/>
    <n v="335.06"/>
    <d v="2025-05-17T00:00:00"/>
    <d v="2025-06-12T00:00:00"/>
    <n v="53.5"/>
    <n v="167530"/>
    <n v="26750"/>
    <n v="26"/>
    <n v="0.15967289440697188"/>
  </r>
  <r>
    <s v="PROD-1259"/>
    <s v="Desk Organizer"/>
    <x v="0"/>
    <s v="S-102"/>
    <s v="Sunrise Industries"/>
    <n v="218"/>
    <n v="336.11"/>
    <d v="2025-06-14T00:00:00"/>
    <d v="2025-06-28T00:00:00"/>
    <n v="79.28"/>
    <n v="73271.98"/>
    <n v="17283.04"/>
    <n v="14"/>
    <n v="0.23587515991788402"/>
  </r>
  <r>
    <s v="PROD-1260"/>
    <s v="Socks"/>
    <x v="1"/>
    <s v="S-105"/>
    <s v="Fresh Mart Logistics"/>
    <n v="16"/>
    <n v="469.47"/>
    <d v="2025-05-30T00:00:00"/>
    <d v="2025-06-02T00:00:00"/>
    <n v="62.97"/>
    <n v="7511.52"/>
    <n v="1007.52"/>
    <n v="3"/>
    <n v="0.13412997635631668"/>
  </r>
  <r>
    <s v="PROD-1261"/>
    <s v="Desk Lamp"/>
    <x v="4"/>
    <s v="S-101"/>
    <s v="Global Tech Corp"/>
    <n v="384"/>
    <n v="397.49"/>
    <d v="2025-02-25T00:00:00"/>
    <d v="2025-03-05T00:00:00"/>
    <n v="91.23"/>
    <n v="152636.16"/>
    <n v="35032.32"/>
    <n v="8"/>
    <n v="0.22951520792975924"/>
  </r>
  <r>
    <s v="PROD-1262"/>
    <s v="Office Chair"/>
    <x v="4"/>
    <s v="S-104"/>
    <s v="Modern Home Supplies"/>
    <n v="160"/>
    <n v="314.85000000000002"/>
    <d v="2025-06-17T00:00:00"/>
    <d v="2025-06-26T00:00:00"/>
    <n v="36.25"/>
    <n v="50376"/>
    <n v="5800"/>
    <n v="9"/>
    <n v="0.1151341908845482"/>
  </r>
  <r>
    <s v="PROD-1263"/>
    <s v="Headphones"/>
    <x v="2"/>
    <s v="S-104"/>
    <s v="Modern Home Supplies"/>
    <n v="386"/>
    <n v="300.27"/>
    <d v="2025-02-26T00:00:00"/>
    <d v="2025-02-28T00:00:00"/>
    <n v="39.31"/>
    <n v="115904.21999999999"/>
    <n v="15173.660000000002"/>
    <n v="2"/>
    <n v="0.13091550937489593"/>
  </r>
  <r>
    <s v="PROD-1264"/>
    <s v="Socks"/>
    <x v="1"/>
    <s v="S-101"/>
    <s v="Global Tech Corp"/>
    <n v="315"/>
    <n v="120.42"/>
    <d v="2025-02-13T00:00:00"/>
    <d v="2025-03-08T00:00:00"/>
    <n v="20.61"/>
    <n v="37932.300000000003"/>
    <n v="6492.15"/>
    <n v="23"/>
    <n v="0.1711509715994021"/>
  </r>
  <r>
    <s v="PROD-1265"/>
    <s v="Desk Lamp"/>
    <x v="4"/>
    <s v="S-103"/>
    <s v="Elite Paper Co"/>
    <n v="169"/>
    <n v="274.95999999999998"/>
    <d v="2025-02-08T00:00:00"/>
    <d v="2025-02-24T00:00:00"/>
    <n v="43.91"/>
    <n v="46468.24"/>
    <n v="7420.7899999999991"/>
    <n v="16"/>
    <n v="0.15969595577538551"/>
  </r>
  <r>
    <s v="PROD-1266"/>
    <s v="Tablet"/>
    <x v="2"/>
    <s v="S-102"/>
    <s v="Sunrise Industries"/>
    <n v="25"/>
    <n v="386.92"/>
    <d v="2025-06-07T00:00:00"/>
    <d v="2025-06-13T00:00:00"/>
    <n v="106.94"/>
    <n v="9673"/>
    <n v="2673.5"/>
    <n v="6"/>
    <n v="0.2763878838002688"/>
  </r>
  <r>
    <s v="PROD-1267"/>
    <s v="Almonds"/>
    <x v="3"/>
    <s v="S-101"/>
    <s v="Global Tech Corp"/>
    <n v="452"/>
    <n v="404.63"/>
    <d v="2025-05-27T00:00:00"/>
    <d v="2025-05-28T00:00:00"/>
    <n v="75.959999999999994"/>
    <n v="182892.76"/>
    <n v="34333.919999999998"/>
    <n v="1"/>
    <n v="0.1877270592887329"/>
  </r>
  <r>
    <s v="PROD-1268"/>
    <s v="Pen Set"/>
    <x v="0"/>
    <s v="S-101"/>
    <s v="Global Tech Corp"/>
    <n v="56"/>
    <n v="442.26"/>
    <d v="2025-04-12T00:00:00"/>
    <d v="2025-05-11T00:00:00"/>
    <n v="95.29"/>
    <n v="24766.559999999998"/>
    <n v="5336.2400000000007"/>
    <n v="29"/>
    <n v="0.21546149323927102"/>
  </r>
  <r>
    <s v="PROD-1269"/>
    <s v="Tablet"/>
    <x v="2"/>
    <s v="S-103"/>
    <s v="Elite Paper Co"/>
    <n v="22"/>
    <n v="420.2"/>
    <d v="2025-02-09T00:00:00"/>
    <d v="2025-02-16T00:00:00"/>
    <n v="53.6"/>
    <n v="9244.4"/>
    <n v="1179.2"/>
    <n v="7"/>
    <n v="0.12755830556877679"/>
  </r>
  <r>
    <s v="PROD-1270"/>
    <s v="Organic Tea"/>
    <x v="3"/>
    <s v="S-102"/>
    <s v="Sunrise Industries"/>
    <n v="92"/>
    <n v="321.37"/>
    <d v="2025-01-31T00:00:00"/>
    <d v="2025-02-17T00:00:00"/>
    <n v="79.87"/>
    <n v="29566.04"/>
    <n v="7348.0400000000009"/>
    <n v="17"/>
    <n v="0.24852973208451318"/>
  </r>
  <r>
    <s v="PROD-1271"/>
    <s v="Desk Organizer"/>
    <x v="0"/>
    <s v="S-105"/>
    <s v="Fresh Mart Logistics"/>
    <n v="324"/>
    <n v="442.37"/>
    <d v="2025-02-04T00:00:00"/>
    <d v="2025-02-19T00:00:00"/>
    <n v="45.96"/>
    <n v="143327.88"/>
    <n v="14891.04"/>
    <n v="15"/>
    <n v="0.10389492958383253"/>
  </r>
  <r>
    <s v="PROD-1272"/>
    <s v="Hoodie"/>
    <x v="1"/>
    <s v="S-102"/>
    <s v="Sunrise Industries"/>
    <n v="341"/>
    <n v="232.08"/>
    <d v="2025-02-25T00:00:00"/>
    <d v="2025-03-06T00:00:00"/>
    <n v="59.44"/>
    <n v="79139.28"/>
    <n v="20269.04"/>
    <n v="9"/>
    <n v="0.25611857980006891"/>
  </r>
  <r>
    <s v="PROD-1273"/>
    <s v="Dark Chocolate"/>
    <x v="3"/>
    <s v="S-104"/>
    <s v="Modern Home Supplies"/>
    <n v="286"/>
    <n v="323.75"/>
    <d v="2025-04-04T00:00:00"/>
    <d v="2025-04-05T00:00:00"/>
    <n v="84.77"/>
    <n v="92592.5"/>
    <n v="24244.219999999998"/>
    <n v="1"/>
    <n v="0.26183783783783782"/>
  </r>
  <r>
    <s v="PROD-1274"/>
    <s v="Tablet"/>
    <x v="2"/>
    <s v="S-101"/>
    <s v="Global Tech Corp"/>
    <n v="209"/>
    <n v="89.89"/>
    <d v="2025-02-23T00:00:00"/>
    <d v="2025-03-17T00:00:00"/>
    <n v="13.78"/>
    <n v="18787.009999999998"/>
    <n v="2880.02"/>
    <n v="22"/>
    <n v="0.15329847591500723"/>
  </r>
  <r>
    <s v="PROD-1275"/>
    <s v="Almonds"/>
    <x v="3"/>
    <s v="S-105"/>
    <s v="Fresh Mart Logistics"/>
    <n v="104"/>
    <n v="224.82"/>
    <d v="2025-05-06T00:00:00"/>
    <d v="2025-05-18T00:00:00"/>
    <n v="53.34"/>
    <n v="23381.279999999999"/>
    <n v="5547.3600000000006"/>
    <n v="12"/>
    <n v="0.237256471844142"/>
  </r>
  <r>
    <s v="PROD-1276"/>
    <s v="Marker"/>
    <x v="0"/>
    <s v="S-102"/>
    <s v="Sunrise Industries"/>
    <n v="48"/>
    <n v="218.37"/>
    <d v="2025-04-22T00:00:00"/>
    <d v="2025-05-04T00:00:00"/>
    <n v="45.54"/>
    <n v="10481.76"/>
    <n v="2185.92"/>
    <n v="12"/>
    <n v="0.20854512982552548"/>
  </r>
  <r>
    <s v="PROD-1277"/>
    <s v="Organic Tea"/>
    <x v="3"/>
    <s v="S-105"/>
    <s v="Fresh Mart Logistics"/>
    <n v="310"/>
    <n v="371.75"/>
    <d v="2025-06-17T00:00:00"/>
    <d v="2025-06-21T00:00:00"/>
    <n v="86.31"/>
    <n v="115242.5"/>
    <n v="26756.100000000002"/>
    <n v="4"/>
    <n v="0.23217215870880969"/>
  </r>
  <r>
    <s v="PROD-1278"/>
    <s v="Coffee Beans"/>
    <x v="3"/>
    <s v="S-103"/>
    <s v="Elite Paper Co"/>
    <n v="423"/>
    <n v="84.84"/>
    <d v="2025-01-23T00:00:00"/>
    <d v="2025-02-15T00:00:00"/>
    <n v="14.23"/>
    <n v="35887.32"/>
    <n v="6019.29"/>
    <n v="23"/>
    <n v="0.16772748703441773"/>
  </r>
  <r>
    <s v="PROD-1279"/>
    <s v="Office Chair"/>
    <x v="4"/>
    <s v="S-102"/>
    <s v="Sunrise Industries"/>
    <n v="91"/>
    <n v="472.31"/>
    <d v="2025-06-23T00:00:00"/>
    <d v="2025-07-08T00:00:00"/>
    <n v="136.77000000000001"/>
    <n v="42980.21"/>
    <n v="12446.070000000002"/>
    <n v="15"/>
    <n v="0.2895767610255976"/>
  </r>
  <r>
    <s v="PROD-1280"/>
    <s v="Socks"/>
    <x v="1"/>
    <s v="S-104"/>
    <s v="Modern Home Supplies"/>
    <n v="487"/>
    <n v="404.4"/>
    <d v="2025-03-07T00:00:00"/>
    <d v="2025-04-03T00:00:00"/>
    <n v="89.18"/>
    <n v="196942.8"/>
    <n v="43430.66"/>
    <n v="27"/>
    <n v="0.22052423343224534"/>
  </r>
  <r>
    <s v="PROD-1281"/>
    <s v="Organic Tea"/>
    <x v="3"/>
    <s v="S-104"/>
    <s v="Modern Home Supplies"/>
    <n v="286"/>
    <n v="139.04"/>
    <d v="2025-03-02T00:00:00"/>
    <d v="2025-03-29T00:00:00"/>
    <n v="14.52"/>
    <n v="39765.439999999995"/>
    <n v="4152.72"/>
    <n v="27"/>
    <n v="0.10443037974683544"/>
  </r>
  <r>
    <s v="PROD-1282"/>
    <s v="Desk Lamp"/>
    <x v="4"/>
    <s v="S-104"/>
    <s v="Modern Home Supplies"/>
    <n v="471"/>
    <n v="224.17"/>
    <d v="2025-03-28T00:00:00"/>
    <d v="2025-04-07T00:00:00"/>
    <n v="66.27"/>
    <n v="105584.06999999999"/>
    <n v="31213.17"/>
    <n v="10"/>
    <n v="0.29562385689432125"/>
  </r>
  <r>
    <s v="PROD-1283"/>
    <s v="Marker"/>
    <x v="0"/>
    <s v="S-102"/>
    <s v="Sunrise Industries"/>
    <n v="174"/>
    <n v="103.76"/>
    <d v="2025-01-01T00:00:00"/>
    <d v="2025-01-11T00:00:00"/>
    <n v="12.42"/>
    <n v="18054.240000000002"/>
    <n v="2161.08"/>
    <n v="10"/>
    <n v="0.11969930609097917"/>
  </r>
  <r>
    <s v="PROD-1284"/>
    <s v="Office Chair"/>
    <x v="4"/>
    <s v="S-102"/>
    <s v="Sunrise Industries"/>
    <n v="480"/>
    <n v="399.74"/>
    <d v="2025-05-28T00:00:00"/>
    <d v="2025-06-12T00:00:00"/>
    <n v="70.95"/>
    <n v="191875.20000000001"/>
    <n v="34056"/>
    <n v="15"/>
    <n v="0.1774903687396808"/>
  </r>
  <r>
    <s v="PROD-1285"/>
    <s v="Headphones"/>
    <x v="2"/>
    <s v="S-105"/>
    <s v="Fresh Mart Logistics"/>
    <n v="253"/>
    <n v="441.02"/>
    <d v="2025-02-16T00:00:00"/>
    <d v="2025-03-10T00:00:00"/>
    <n v="123.45"/>
    <n v="111578.06"/>
    <n v="31232.850000000002"/>
    <n v="22"/>
    <n v="0.27991927803727723"/>
  </r>
  <r>
    <s v="PROD-1286"/>
    <s v="Pen Set"/>
    <x v="0"/>
    <s v="S-103"/>
    <s v="Elite Paper Co"/>
    <n v="229"/>
    <n v="130.71"/>
    <d v="2025-02-08T00:00:00"/>
    <d v="2025-02-10T00:00:00"/>
    <n v="36.57"/>
    <n v="29932.59"/>
    <n v="8374.5300000000007"/>
    <n v="2"/>
    <n v="0.27977966490704614"/>
  </r>
  <r>
    <s v="PROD-1287"/>
    <s v="Marker"/>
    <x v="0"/>
    <s v="S-102"/>
    <s v="Sunrise Industries"/>
    <n v="213"/>
    <n v="365.74"/>
    <d v="2025-01-13T00:00:00"/>
    <d v="2025-02-12T00:00:00"/>
    <n v="59.84"/>
    <n v="77902.62"/>
    <n v="12745.92"/>
    <n v="30"/>
    <n v="0.16361349592606769"/>
  </r>
  <r>
    <s v="PROD-1288"/>
    <s v="Coffee Beans"/>
    <x v="3"/>
    <s v="S-102"/>
    <s v="Sunrise Industries"/>
    <n v="274"/>
    <n v="73.48"/>
    <d v="2025-06-16T00:00:00"/>
    <d v="2025-07-05T00:00:00"/>
    <n v="10.11"/>
    <n v="20133.52"/>
    <n v="2770.14"/>
    <n v="19"/>
    <n v="0.13758845944474685"/>
  </r>
  <r>
    <s v="PROD-1289"/>
    <s v="Office Chair"/>
    <x v="4"/>
    <s v="S-101"/>
    <s v="Global Tech Corp"/>
    <n v="307"/>
    <n v="89.3"/>
    <d v="2025-05-26T00:00:00"/>
    <d v="2025-06-23T00:00:00"/>
    <n v="18.41"/>
    <n v="27415.1"/>
    <n v="5651.87"/>
    <n v="28"/>
    <n v="0.20615901455767077"/>
  </r>
  <r>
    <s v="PROD-1290"/>
    <s v="Socks"/>
    <x v="1"/>
    <s v="S-102"/>
    <s v="Sunrise Industries"/>
    <n v="148"/>
    <n v="456.68"/>
    <d v="2025-01-05T00:00:00"/>
    <d v="2025-01-27T00:00:00"/>
    <n v="62.16"/>
    <n v="67588.639999999999"/>
    <n v="9199.68"/>
    <n v="22"/>
    <n v="0.13611281422440219"/>
  </r>
  <r>
    <s v="PROD-1291"/>
    <s v="Coffee Beans"/>
    <x v="3"/>
    <s v="S-104"/>
    <s v="Modern Home Supplies"/>
    <n v="87"/>
    <n v="267.04000000000002"/>
    <d v="2025-04-28T00:00:00"/>
    <d v="2025-05-13T00:00:00"/>
    <n v="60.87"/>
    <n v="23232.480000000003"/>
    <n v="5295.69"/>
    <n v="15"/>
    <n v="0.22794337926902333"/>
  </r>
  <r>
    <s v="PROD-1292"/>
    <s v="T-Shirt"/>
    <x v="1"/>
    <s v="S-105"/>
    <s v="Fresh Mart Logistics"/>
    <n v="18"/>
    <n v="227.71"/>
    <d v="2025-04-11T00:00:00"/>
    <d v="2025-04-16T00:00:00"/>
    <n v="24.39"/>
    <n v="4098.78"/>
    <n v="439.02"/>
    <n v="5"/>
    <n v="0.10710992051293311"/>
  </r>
  <r>
    <s v="PROD-1293"/>
    <s v="Hoodie"/>
    <x v="1"/>
    <s v="S-103"/>
    <s v="Elite Paper Co"/>
    <n v="223"/>
    <n v="5.6"/>
    <d v="2025-01-01T00:00:00"/>
    <d v="2025-01-25T00:00:00"/>
    <n v="1.59"/>
    <n v="1248.8"/>
    <n v="354.57"/>
    <n v="24"/>
    <n v="0.28392857142857147"/>
  </r>
  <r>
    <s v="PROD-1294"/>
    <s v="Stool"/>
    <x v="4"/>
    <s v="S-101"/>
    <s v="Global Tech Corp"/>
    <n v="391"/>
    <n v="493.85"/>
    <d v="2025-03-18T00:00:00"/>
    <d v="2025-03-26T00:00:00"/>
    <n v="83.54"/>
    <n v="193095.35"/>
    <n v="32664.140000000003"/>
    <n v="8"/>
    <n v="0.16916067631872025"/>
  </r>
  <r>
    <s v="PROD-1295"/>
    <s v="Socks"/>
    <x v="1"/>
    <s v="S-104"/>
    <s v="Modern Home Supplies"/>
    <n v="365"/>
    <n v="57.38"/>
    <d v="2025-05-22T00:00:00"/>
    <d v="2025-06-01T00:00:00"/>
    <n v="12.62"/>
    <n v="20943.7"/>
    <n v="4606.2999999999993"/>
    <n v="10"/>
    <n v="0.2199372603694667"/>
  </r>
  <r>
    <s v="PROD-1296"/>
    <s v="Cap"/>
    <x v="1"/>
    <s v="S-105"/>
    <s v="Fresh Mart Logistics"/>
    <n v="303"/>
    <n v="310.73"/>
    <d v="2025-04-21T00:00:00"/>
    <d v="2025-04-23T00:00:00"/>
    <n v="72.44"/>
    <n v="94151.19"/>
    <n v="21949.32"/>
    <n v="2"/>
    <n v="0.23312843948122161"/>
  </r>
  <r>
    <s v="PROD-1297"/>
    <s v="Marker"/>
    <x v="0"/>
    <s v="S-102"/>
    <s v="Sunrise Industries"/>
    <n v="127"/>
    <n v="172.89"/>
    <d v="2025-06-02T00:00:00"/>
    <d v="2025-06-29T00:00:00"/>
    <n v="17.8"/>
    <n v="21957.03"/>
    <n v="2260.6"/>
    <n v="27"/>
    <n v="0.1029556365318989"/>
  </r>
  <r>
    <s v="PROD-1298"/>
    <s v="Organic Tea"/>
    <x v="3"/>
    <s v="S-101"/>
    <s v="Global Tech Corp"/>
    <n v="309"/>
    <n v="369.67"/>
    <d v="2025-06-17T00:00:00"/>
    <d v="2025-06-26T00:00:00"/>
    <n v="108.89"/>
    <n v="114228.03"/>
    <n v="33647.01"/>
    <n v="9"/>
    <n v="0.29456001298455375"/>
  </r>
  <r>
    <s v="PROD-1299"/>
    <s v="Notebook"/>
    <x v="0"/>
    <s v="S-102"/>
    <s v="Sunrise Industries"/>
    <n v="463"/>
    <n v="199.05"/>
    <d v="2025-04-30T00:00:00"/>
    <d v="2025-05-15T00:00:00"/>
    <n v="31.86"/>
    <n v="92160.150000000009"/>
    <n v="14751.18"/>
    <n v="15"/>
    <n v="0.160060286360211"/>
  </r>
  <r>
    <s v="PROD-1300"/>
    <s v="T-Shirt"/>
    <x v="1"/>
    <s v="S-103"/>
    <s v="Elite Paper Co"/>
    <n v="429"/>
    <n v="320.5"/>
    <d v="2025-03-12T00:00:00"/>
    <d v="2025-04-02T00:00:00"/>
    <n v="84.4"/>
    <n v="137494.5"/>
    <n v="36207.600000000006"/>
    <n v="21"/>
    <n v="0.26333853354134168"/>
  </r>
  <r>
    <s v="PROD-1301"/>
    <s v="Bookshelf"/>
    <x v="4"/>
    <s v="S-105"/>
    <s v="Fresh Mart Logistics"/>
    <n v="473"/>
    <n v="452.18"/>
    <d v="2025-04-13T00:00:00"/>
    <d v="2025-04-15T00:00:00"/>
    <n v="111.15"/>
    <n v="213881.14"/>
    <n v="52573.950000000004"/>
    <n v="2"/>
    <n v="0.24580919103012075"/>
  </r>
  <r>
    <s v="PROD-1302"/>
    <s v="Marker"/>
    <x v="0"/>
    <s v="S-102"/>
    <s v="Sunrise Industries"/>
    <n v="467"/>
    <n v="272.27999999999997"/>
    <d v="2025-05-21T00:00:00"/>
    <d v="2025-06-03T00:00:00"/>
    <n v="77.22"/>
    <n v="127154.75999999998"/>
    <n v="36061.74"/>
    <n v="13"/>
    <n v="0.2836051123843103"/>
  </r>
  <r>
    <s v="PROD-1303"/>
    <s v="Organic Tea"/>
    <x v="3"/>
    <s v="S-101"/>
    <s v="Global Tech Corp"/>
    <n v="415"/>
    <n v="327.67"/>
    <d v="2025-03-01T00:00:00"/>
    <d v="2025-03-31T00:00:00"/>
    <n v="74.91"/>
    <n v="135983.05000000002"/>
    <n v="31087.649999999998"/>
    <n v="30"/>
    <n v="0.22861415448469494"/>
  </r>
  <r>
    <s v="PROD-1304"/>
    <s v="Notebook"/>
    <x v="0"/>
    <s v="S-102"/>
    <s v="Sunrise Industries"/>
    <n v="434"/>
    <n v="284.08999999999997"/>
    <d v="2025-02-25T00:00:00"/>
    <d v="2025-03-09T00:00:00"/>
    <n v="55.52"/>
    <n v="123295.05999999998"/>
    <n v="24095.68"/>
    <n v="12"/>
    <n v="0.19543102537928125"/>
  </r>
  <r>
    <s v="PROD-1305"/>
    <s v="Desk Lamp"/>
    <x v="4"/>
    <s v="S-103"/>
    <s v="Elite Paper Co"/>
    <n v="369"/>
    <n v="225.06"/>
    <d v="2025-02-16T00:00:00"/>
    <d v="2025-02-22T00:00:00"/>
    <n v="55.2"/>
    <n v="83047.14"/>
    <n v="20368.8"/>
    <n v="6"/>
    <n v="0.24526792855238605"/>
  </r>
  <r>
    <s v="PROD-1306"/>
    <s v="Desk Organizer"/>
    <x v="0"/>
    <s v="S-103"/>
    <s v="Elite Paper Co"/>
    <n v="470"/>
    <n v="71.53"/>
    <d v="2025-06-09T00:00:00"/>
    <d v="2025-07-05T00:00:00"/>
    <n v="20.52"/>
    <n v="33619.1"/>
    <n v="9644.4"/>
    <n v="26"/>
    <n v="0.28687264084999298"/>
  </r>
  <r>
    <s v="PROD-1307"/>
    <s v="Coffee Beans"/>
    <x v="3"/>
    <s v="S-105"/>
    <s v="Fresh Mart Logistics"/>
    <n v="12"/>
    <n v="110.98"/>
    <d v="2025-02-13T00:00:00"/>
    <d v="2025-03-11T00:00:00"/>
    <n v="26.03"/>
    <n v="1331.76"/>
    <n v="312.36"/>
    <n v="26"/>
    <n v="0.23454676518291584"/>
  </r>
  <r>
    <s v="PROD-1308"/>
    <s v="Organic Tea"/>
    <x v="3"/>
    <s v="S-105"/>
    <s v="Fresh Mart Logistics"/>
    <n v="299"/>
    <n v="372.47"/>
    <d v="2025-01-25T00:00:00"/>
    <d v="2025-02-09T00:00:00"/>
    <n v="65.86"/>
    <n v="111368.53000000001"/>
    <n v="19692.14"/>
    <n v="15"/>
    <n v="0.17681960963299057"/>
  </r>
  <r>
    <s v="PROD-1309"/>
    <s v="Headphones"/>
    <x v="2"/>
    <s v="S-104"/>
    <s v="Modern Home Supplies"/>
    <n v="75"/>
    <n v="57.93"/>
    <d v="2025-05-08T00:00:00"/>
    <d v="2025-05-23T00:00:00"/>
    <n v="8.11"/>
    <n v="4344.75"/>
    <n v="608.25"/>
    <n v="15"/>
    <n v="0.13999654755739685"/>
  </r>
  <r>
    <s v="PROD-1310"/>
    <s v="Office Chair"/>
    <x v="4"/>
    <s v="S-103"/>
    <s v="Elite Paper Co"/>
    <n v="199"/>
    <n v="57.4"/>
    <d v="2025-05-14T00:00:00"/>
    <d v="2025-06-06T00:00:00"/>
    <n v="13.18"/>
    <n v="11422.6"/>
    <n v="2622.82"/>
    <n v="23"/>
    <n v="0.22961672473867595"/>
  </r>
  <r>
    <s v="PROD-1311"/>
    <s v="Smartphone"/>
    <x v="2"/>
    <s v="S-102"/>
    <s v="Sunrise Industries"/>
    <n v="107"/>
    <n v="98.81"/>
    <d v="2025-06-02T00:00:00"/>
    <d v="2025-06-26T00:00:00"/>
    <n v="12.26"/>
    <n v="10572.67"/>
    <n v="1311.82"/>
    <n v="24"/>
    <n v="0.12407651047464831"/>
  </r>
  <r>
    <s v="PROD-1312"/>
    <s v="Desk Lamp"/>
    <x v="4"/>
    <s v="S-104"/>
    <s v="Modern Home Supplies"/>
    <n v="182"/>
    <n v="208.52"/>
    <d v="2025-04-13T00:00:00"/>
    <d v="2025-04-24T00:00:00"/>
    <n v="53.67"/>
    <n v="37950.639999999999"/>
    <n v="9767.94"/>
    <n v="11"/>
    <n v="0.25738538269710337"/>
  </r>
  <r>
    <s v="PROD-1313"/>
    <s v="Almonds"/>
    <x v="3"/>
    <s v="S-102"/>
    <s v="Sunrise Industries"/>
    <n v="382"/>
    <n v="307.14999999999998"/>
    <d v="2025-06-08T00:00:00"/>
    <d v="2025-06-12T00:00:00"/>
    <n v="39.130000000000003"/>
    <n v="117331.29999999999"/>
    <n v="14947.660000000002"/>
    <n v="4"/>
    <n v="0.12739703727820284"/>
  </r>
  <r>
    <s v="PROD-1314"/>
    <s v="Dark Chocolate"/>
    <x v="3"/>
    <s v="S-102"/>
    <s v="Sunrise Industries"/>
    <n v="275"/>
    <n v="402.51"/>
    <d v="2025-04-25T00:00:00"/>
    <d v="2025-05-11T00:00:00"/>
    <n v="86.18"/>
    <n v="110690.25"/>
    <n v="23699.500000000004"/>
    <n v="16"/>
    <n v="0.21410648182653849"/>
  </r>
  <r>
    <s v="PROD-1315"/>
    <s v="Pen Set"/>
    <x v="0"/>
    <s v="S-101"/>
    <s v="Global Tech Corp"/>
    <n v="183"/>
    <n v="31.1"/>
    <d v="2025-01-29T00:00:00"/>
    <d v="2025-02-05T00:00:00"/>
    <n v="5.16"/>
    <n v="5691.3"/>
    <n v="944.28"/>
    <n v="7"/>
    <n v="0.16591639871382635"/>
  </r>
  <r>
    <s v="PROD-1316"/>
    <s v="Bookshelf"/>
    <x v="4"/>
    <s v="S-101"/>
    <s v="Global Tech Corp"/>
    <n v="108"/>
    <n v="387.03"/>
    <d v="2025-03-11T00:00:00"/>
    <d v="2025-04-07T00:00:00"/>
    <n v="78.430000000000007"/>
    <n v="41799.24"/>
    <n v="8470.44"/>
    <n v="27"/>
    <n v="0.20264578973206215"/>
  </r>
  <r>
    <s v="PROD-1317"/>
    <s v="Marker"/>
    <x v="0"/>
    <s v="S-102"/>
    <s v="Sunrise Industries"/>
    <n v="361"/>
    <n v="118.78"/>
    <d v="2025-01-09T00:00:00"/>
    <d v="2025-01-14T00:00:00"/>
    <n v="15.74"/>
    <n v="42879.58"/>
    <n v="5682.14"/>
    <n v="5"/>
    <n v="0.13251389122747936"/>
  </r>
  <r>
    <s v="PROD-1318"/>
    <s v="Socks"/>
    <x v="1"/>
    <s v="S-101"/>
    <s v="Global Tech Corp"/>
    <n v="395"/>
    <n v="40.64"/>
    <d v="2025-04-02T00:00:00"/>
    <d v="2025-04-13T00:00:00"/>
    <n v="6.45"/>
    <n v="16052.800000000001"/>
    <n v="2547.75"/>
    <n v="11"/>
    <n v="0.15871062992125984"/>
  </r>
  <r>
    <s v="PROD-1319"/>
    <s v="Desk Organizer"/>
    <x v="0"/>
    <s v="S-101"/>
    <s v="Global Tech Corp"/>
    <n v="117"/>
    <n v="228.56"/>
    <d v="2025-01-29T00:00:00"/>
    <d v="2025-02-26T00:00:00"/>
    <n v="28.43"/>
    <n v="26741.52"/>
    <n v="3326.31"/>
    <n v="28"/>
    <n v="0.12438746937346867"/>
  </r>
  <r>
    <s v="PROD-1320"/>
    <s v="Bookshelf"/>
    <x v="4"/>
    <s v="S-102"/>
    <s v="Sunrise Industries"/>
    <n v="413"/>
    <n v="223.16"/>
    <d v="2025-04-17T00:00:00"/>
    <d v="2025-04-29T00:00:00"/>
    <n v="42.36"/>
    <n v="92165.08"/>
    <n v="17494.68"/>
    <n v="12"/>
    <n v="0.18981896397203801"/>
  </r>
  <r>
    <s v="PROD-1321"/>
    <s v="Headphones"/>
    <x v="2"/>
    <s v="S-103"/>
    <s v="Elite Paper Co"/>
    <n v="249"/>
    <n v="451.82"/>
    <d v="2025-04-16T00:00:00"/>
    <d v="2025-05-15T00:00:00"/>
    <n v="94.01"/>
    <n v="112503.18"/>
    <n v="23408.49"/>
    <n v="29"/>
    <n v="0.20806958523305744"/>
  </r>
  <r>
    <s v="PROD-1322"/>
    <s v="Laptop"/>
    <x v="2"/>
    <s v="S-105"/>
    <s v="Fresh Mart Logistics"/>
    <n v="179"/>
    <n v="357.64"/>
    <d v="2025-06-16T00:00:00"/>
    <d v="2025-06-19T00:00:00"/>
    <n v="45.07"/>
    <n v="64017.56"/>
    <n v="8067.53"/>
    <n v="3"/>
    <n v="0.12602057935353989"/>
  </r>
  <r>
    <s v="PROD-1323"/>
    <s v="Smartphone"/>
    <x v="2"/>
    <s v="S-101"/>
    <s v="Global Tech Corp"/>
    <n v="39"/>
    <n v="21.94"/>
    <d v="2025-04-29T00:00:00"/>
    <d v="2025-05-04T00:00:00"/>
    <n v="4.58"/>
    <n v="855.66000000000008"/>
    <n v="178.62"/>
    <n v="5"/>
    <n v="0.20875113947128532"/>
  </r>
  <r>
    <s v="PROD-1324"/>
    <s v="Stool"/>
    <x v="4"/>
    <s v="S-102"/>
    <s v="Sunrise Industries"/>
    <n v="67"/>
    <n v="297.14"/>
    <d v="2025-05-10T00:00:00"/>
    <d v="2025-05-12T00:00:00"/>
    <n v="81.760000000000005"/>
    <n v="19908.379999999997"/>
    <n v="5477.92"/>
    <n v="2"/>
    <n v="0.2751564918893451"/>
  </r>
  <r>
    <s v="PROD-1325"/>
    <s v="Dark Chocolate"/>
    <x v="3"/>
    <s v="S-102"/>
    <s v="Sunrise Industries"/>
    <n v="278"/>
    <n v="107.71"/>
    <d v="2025-01-28T00:00:00"/>
    <d v="2025-02-14T00:00:00"/>
    <n v="17.55"/>
    <n v="29943.379999999997"/>
    <n v="4878.9000000000005"/>
    <n v="17"/>
    <n v="0.16293751740785445"/>
  </r>
  <r>
    <s v="PROD-1326"/>
    <s v="Dark Chocolate"/>
    <x v="3"/>
    <s v="S-103"/>
    <s v="Elite Paper Co"/>
    <n v="370"/>
    <n v="471.11"/>
    <d v="2025-01-08T00:00:00"/>
    <d v="2025-01-16T00:00:00"/>
    <n v="93.11"/>
    <n v="174310.7"/>
    <n v="34450.699999999997"/>
    <n v="8"/>
    <n v="0.19763961707456856"/>
  </r>
  <r>
    <s v="PROD-1327"/>
    <s v="Cap"/>
    <x v="1"/>
    <s v="S-104"/>
    <s v="Modern Home Supplies"/>
    <n v="42"/>
    <n v="112.74"/>
    <d v="2025-04-20T00:00:00"/>
    <d v="2025-05-14T00:00:00"/>
    <n v="16.57"/>
    <n v="4735.08"/>
    <n v="695.94"/>
    <n v="24"/>
    <n v="0.14697534149370234"/>
  </r>
  <r>
    <s v="PROD-1328"/>
    <s v="Almonds"/>
    <x v="3"/>
    <s v="S-101"/>
    <s v="Global Tech Corp"/>
    <n v="112"/>
    <n v="163.06"/>
    <d v="2025-03-08T00:00:00"/>
    <d v="2025-03-31T00:00:00"/>
    <n v="28.49"/>
    <n v="18262.72"/>
    <n v="3190.8799999999997"/>
    <n v="23"/>
    <n v="0.1747209616092236"/>
  </r>
  <r>
    <s v="PROD-1329"/>
    <s v="Organic Tea"/>
    <x v="3"/>
    <s v="S-103"/>
    <s v="Elite Paper Co"/>
    <n v="32"/>
    <n v="71.41"/>
    <d v="2025-05-16T00:00:00"/>
    <d v="2025-06-13T00:00:00"/>
    <n v="12.33"/>
    <n v="2285.12"/>
    <n v="394.56"/>
    <n v="28"/>
    <n v="0.17266489287214676"/>
  </r>
  <r>
    <s v="PROD-1330"/>
    <s v="Stool"/>
    <x v="4"/>
    <s v="S-101"/>
    <s v="Global Tech Corp"/>
    <n v="391"/>
    <n v="316.67"/>
    <d v="2025-02-22T00:00:00"/>
    <d v="2025-03-18T00:00:00"/>
    <n v="33.08"/>
    <n v="123817.97"/>
    <n v="12934.279999999999"/>
    <n v="24"/>
    <n v="0.10446205829412321"/>
  </r>
  <r>
    <s v="PROD-1331"/>
    <s v="Pen Set"/>
    <x v="0"/>
    <s v="S-103"/>
    <s v="Elite Paper Co"/>
    <n v="148"/>
    <n v="79.03"/>
    <d v="2025-06-10T00:00:00"/>
    <d v="2025-06-26T00:00:00"/>
    <n v="13.76"/>
    <n v="11696.44"/>
    <n v="2036.48"/>
    <n v="16"/>
    <n v="0.17411109705175248"/>
  </r>
  <r>
    <s v="PROD-1332"/>
    <s v="Almonds"/>
    <x v="3"/>
    <s v="S-105"/>
    <s v="Fresh Mart Logistics"/>
    <n v="80"/>
    <n v="259.41000000000003"/>
    <d v="2025-05-29T00:00:00"/>
    <d v="2025-06-24T00:00:00"/>
    <n v="37.909999999999997"/>
    <n v="20752.800000000003"/>
    <n v="3032.7999999999997"/>
    <n v="26"/>
    <n v="0.1461393161404726"/>
  </r>
  <r>
    <s v="PROD-1333"/>
    <s v="Notebook"/>
    <x v="0"/>
    <s v="S-104"/>
    <s v="Modern Home Supplies"/>
    <n v="415"/>
    <n v="388.53"/>
    <d v="2025-04-22T00:00:00"/>
    <d v="2025-05-21T00:00:00"/>
    <n v="54.89"/>
    <n v="161239.94999999998"/>
    <n v="22779.35"/>
    <n v="29"/>
    <n v="0.14127609193627264"/>
  </r>
  <r>
    <s v="PROD-1334"/>
    <s v="Organic Tea"/>
    <x v="3"/>
    <s v="S-101"/>
    <s v="Global Tech Corp"/>
    <n v="238"/>
    <n v="360.49"/>
    <d v="2025-04-06T00:00:00"/>
    <d v="2025-04-12T00:00:00"/>
    <n v="91.15"/>
    <n v="85796.62"/>
    <n v="21693.7"/>
    <n v="6"/>
    <n v="0.25285028710921248"/>
  </r>
  <r>
    <s v="PROD-1335"/>
    <s v="Dark Chocolate"/>
    <x v="3"/>
    <s v="S-102"/>
    <s v="Sunrise Industries"/>
    <n v="54"/>
    <n v="37.25"/>
    <d v="2025-06-11T00:00:00"/>
    <d v="2025-06-17T00:00:00"/>
    <n v="9.48"/>
    <n v="2011.5"/>
    <n v="511.92"/>
    <n v="6"/>
    <n v="0.254496644295302"/>
  </r>
  <r>
    <s v="PROD-1336"/>
    <s v="Hoodie"/>
    <x v="1"/>
    <s v="S-101"/>
    <s v="Global Tech Corp"/>
    <n v="169"/>
    <n v="144.4"/>
    <d v="2025-02-02T00:00:00"/>
    <d v="2025-02-15T00:00:00"/>
    <n v="32.229999999999997"/>
    <n v="24403.600000000002"/>
    <n v="5446.87"/>
    <n v="13"/>
    <n v="0.22319944598337946"/>
  </r>
  <r>
    <s v="PROD-1337"/>
    <s v="Laptop"/>
    <x v="2"/>
    <s v="S-104"/>
    <s v="Modern Home Supplies"/>
    <n v="280"/>
    <n v="326.27"/>
    <d v="2025-04-03T00:00:00"/>
    <d v="2025-04-24T00:00:00"/>
    <n v="67.989999999999995"/>
    <n v="91355.599999999991"/>
    <n v="19037.199999999997"/>
    <n v="21"/>
    <n v="0.20838569283109082"/>
  </r>
  <r>
    <s v="PROD-1338"/>
    <s v="Cap"/>
    <x v="1"/>
    <s v="S-102"/>
    <s v="Sunrise Industries"/>
    <n v="315"/>
    <n v="84.55"/>
    <d v="2025-02-05T00:00:00"/>
    <d v="2025-02-16T00:00:00"/>
    <n v="17.690000000000001"/>
    <n v="26633.25"/>
    <n v="5572.35"/>
    <n v="11"/>
    <n v="0.20922531046717921"/>
  </r>
  <r>
    <s v="PROD-1339"/>
    <s v="Notebook"/>
    <x v="0"/>
    <s v="S-105"/>
    <s v="Fresh Mart Logistics"/>
    <n v="223"/>
    <n v="478.7"/>
    <d v="2025-04-30T00:00:00"/>
    <d v="2025-05-19T00:00:00"/>
    <n v="140.21"/>
    <n v="106750.09999999999"/>
    <n v="31266.83"/>
    <n v="19"/>
    <n v="0.29289743054104872"/>
  </r>
  <r>
    <s v="PROD-1340"/>
    <s v="Marker"/>
    <x v="0"/>
    <s v="S-105"/>
    <s v="Fresh Mart Logistics"/>
    <n v="84"/>
    <n v="212.23"/>
    <d v="2025-04-23T00:00:00"/>
    <d v="2025-04-30T00:00:00"/>
    <n v="21.31"/>
    <n v="17827.32"/>
    <n v="1790.04"/>
    <n v="7"/>
    <n v="0.10040993262027045"/>
  </r>
  <r>
    <s v="PROD-1341"/>
    <s v="Tablet"/>
    <x v="2"/>
    <s v="S-104"/>
    <s v="Modern Home Supplies"/>
    <n v="447"/>
    <n v="474.45"/>
    <d v="2025-06-11T00:00:00"/>
    <d v="2025-06-14T00:00:00"/>
    <n v="111.51"/>
    <n v="212079.15"/>
    <n v="49844.97"/>
    <n v="3"/>
    <n v="0.23503003477711035"/>
  </r>
  <r>
    <s v="PROD-1342"/>
    <s v="Marker"/>
    <x v="0"/>
    <s v="S-103"/>
    <s v="Elite Paper Co"/>
    <n v="284"/>
    <n v="352.55"/>
    <d v="2025-06-10T00:00:00"/>
    <d v="2025-06-19T00:00:00"/>
    <n v="55.36"/>
    <n v="100124.2"/>
    <n v="15722.24"/>
    <n v="9"/>
    <n v="0.15702737200397107"/>
  </r>
  <r>
    <s v="PROD-1343"/>
    <s v="Desk Organizer"/>
    <x v="0"/>
    <s v="S-101"/>
    <s v="Global Tech Corp"/>
    <n v="33"/>
    <n v="417.47"/>
    <d v="2025-03-26T00:00:00"/>
    <d v="2025-04-20T00:00:00"/>
    <n v="46.5"/>
    <n v="13776.51"/>
    <n v="1534.5"/>
    <n v="25"/>
    <n v="0.1113852492394663"/>
  </r>
  <r>
    <s v="PROD-1344"/>
    <s v="Headphones"/>
    <x v="2"/>
    <s v="S-104"/>
    <s v="Modern Home Supplies"/>
    <n v="109"/>
    <n v="119.93"/>
    <d v="2025-02-06T00:00:00"/>
    <d v="2025-02-14T00:00:00"/>
    <n v="14.88"/>
    <n v="13072.37"/>
    <n v="1621.92"/>
    <n v="8"/>
    <n v="0.12407237555240556"/>
  </r>
  <r>
    <s v="PROD-1345"/>
    <s v="Dark Chocolate"/>
    <x v="3"/>
    <s v="S-105"/>
    <s v="Fresh Mart Logistics"/>
    <n v="292"/>
    <n v="337.85"/>
    <d v="2025-02-23T00:00:00"/>
    <d v="2025-03-17T00:00:00"/>
    <n v="65.23"/>
    <n v="98652.200000000012"/>
    <n v="19047.16"/>
    <n v="22"/>
    <n v="0.19307384934142371"/>
  </r>
  <r>
    <s v="PROD-1346"/>
    <s v="Coffee Beans"/>
    <x v="3"/>
    <s v="S-103"/>
    <s v="Elite Paper Co"/>
    <n v="320"/>
    <n v="495.05"/>
    <d v="2025-03-14T00:00:00"/>
    <d v="2025-03-28T00:00:00"/>
    <n v="50.32"/>
    <n v="158416"/>
    <n v="16102.4"/>
    <n v="14"/>
    <n v="0.10164629835370165"/>
  </r>
  <r>
    <s v="PROD-1347"/>
    <s v="Smartphone"/>
    <x v="2"/>
    <s v="S-103"/>
    <s v="Elite Paper Co"/>
    <n v="139"/>
    <n v="251.48"/>
    <d v="2025-01-29T00:00:00"/>
    <d v="2025-02-02T00:00:00"/>
    <n v="29.87"/>
    <n v="34955.72"/>
    <n v="4151.93"/>
    <n v="4"/>
    <n v="0.11877684110068396"/>
  </r>
  <r>
    <s v="PROD-1348"/>
    <s v="Hoodie"/>
    <x v="1"/>
    <s v="S-102"/>
    <s v="Sunrise Industries"/>
    <n v="93"/>
    <n v="211.55"/>
    <d v="2025-06-27T00:00:00"/>
    <d v="2025-07-08T00:00:00"/>
    <n v="46.74"/>
    <n v="19674.150000000001"/>
    <n v="4346.8200000000006"/>
    <n v="11"/>
    <n v="0.22094067596312927"/>
  </r>
  <r>
    <s v="PROD-1349"/>
    <s v="Tablet"/>
    <x v="2"/>
    <s v="S-101"/>
    <s v="Global Tech Corp"/>
    <n v="314"/>
    <n v="106.58"/>
    <d v="2025-06-20T00:00:00"/>
    <d v="2025-07-01T00:00:00"/>
    <n v="10.93"/>
    <n v="33466.120000000003"/>
    <n v="3432.02"/>
    <n v="11"/>
    <n v="0.10255207355976731"/>
  </r>
  <r>
    <s v="PROD-1350"/>
    <s v="Tablet"/>
    <x v="2"/>
    <s v="S-103"/>
    <s v="Elite Paper Co"/>
    <n v="213"/>
    <n v="216.99"/>
    <d v="2025-05-19T00:00:00"/>
    <d v="2025-06-01T00:00:00"/>
    <n v="55.76"/>
    <n v="46218.87"/>
    <n v="11876.88"/>
    <n v="13"/>
    <n v="0.25697036729803213"/>
  </r>
  <r>
    <s v="PROD-1351"/>
    <s v="Tablet"/>
    <x v="2"/>
    <s v="S-101"/>
    <s v="Global Tech Corp"/>
    <n v="146"/>
    <n v="406.2"/>
    <d v="2025-01-24T00:00:00"/>
    <d v="2025-02-08T00:00:00"/>
    <n v="50.85"/>
    <n v="59305.2"/>
    <n v="7424.1"/>
    <n v="15"/>
    <n v="0.12518463810930577"/>
  </r>
  <r>
    <s v="PROD-1352"/>
    <s v="T-Shirt"/>
    <x v="1"/>
    <s v="S-102"/>
    <s v="Sunrise Industries"/>
    <n v="376"/>
    <n v="261.77999999999997"/>
    <d v="2025-02-15T00:00:00"/>
    <d v="2025-03-09T00:00:00"/>
    <n v="47.33"/>
    <n v="98429.279999999984"/>
    <n v="17796.079999999998"/>
    <n v="22"/>
    <n v="0.18080067232026895"/>
  </r>
  <r>
    <s v="PROD-1353"/>
    <s v="Almonds"/>
    <x v="3"/>
    <s v="S-105"/>
    <s v="Fresh Mart Logistics"/>
    <n v="291"/>
    <n v="444.52"/>
    <d v="2025-01-03T00:00:00"/>
    <d v="2025-01-22T00:00:00"/>
    <n v="63.3"/>
    <n v="129355.31999999999"/>
    <n v="18420.3"/>
    <n v="19"/>
    <n v="0.14240079186538288"/>
  </r>
  <r>
    <s v="PROD-1354"/>
    <s v="Tablet"/>
    <x v="2"/>
    <s v="S-101"/>
    <s v="Global Tech Corp"/>
    <n v="328"/>
    <n v="136.76"/>
    <d v="2025-01-10T00:00:00"/>
    <d v="2025-01-23T00:00:00"/>
    <n v="36.08"/>
    <n v="44857.279999999999"/>
    <n v="11834.24"/>
    <n v="13"/>
    <n v="0.26381983035975431"/>
  </r>
  <r>
    <s v="PROD-1355"/>
    <s v="Almonds"/>
    <x v="3"/>
    <s v="S-101"/>
    <s v="Global Tech Corp"/>
    <n v="391"/>
    <n v="232.02"/>
    <d v="2025-03-03T00:00:00"/>
    <d v="2025-03-21T00:00:00"/>
    <n v="53.97"/>
    <n v="90719.82"/>
    <n v="21102.27"/>
    <n v="18"/>
    <n v="0.23260925782260147"/>
  </r>
  <r>
    <s v="PROD-1356"/>
    <s v="Hoodie"/>
    <x v="1"/>
    <s v="S-102"/>
    <s v="Sunrise Industries"/>
    <n v="27"/>
    <n v="483.96"/>
    <d v="2025-03-25T00:00:00"/>
    <d v="2025-04-07T00:00:00"/>
    <n v="142.69999999999999"/>
    <n v="13066.92"/>
    <n v="3852.8999999999996"/>
    <n v="13"/>
    <n v="0.29485907926274896"/>
  </r>
  <r>
    <s v="PROD-1357"/>
    <s v="Headphones"/>
    <x v="2"/>
    <s v="S-101"/>
    <s v="Global Tech Corp"/>
    <n v="153"/>
    <n v="196.08"/>
    <d v="2025-01-02T00:00:00"/>
    <d v="2025-01-11T00:00:00"/>
    <n v="34.6"/>
    <n v="30000.240000000002"/>
    <n v="5293.8"/>
    <n v="9"/>
    <n v="0.17645858833129335"/>
  </r>
  <r>
    <s v="PROD-1358"/>
    <s v="Pen Set"/>
    <x v="0"/>
    <s v="S-102"/>
    <s v="Sunrise Industries"/>
    <n v="374"/>
    <n v="86.72"/>
    <d v="2025-06-13T00:00:00"/>
    <d v="2025-07-12T00:00:00"/>
    <n v="18.13"/>
    <n v="32433.279999999999"/>
    <n v="6780.62"/>
    <n v="29"/>
    <n v="0.20906365313653136"/>
  </r>
  <r>
    <s v="PROD-1359"/>
    <s v="Laptop"/>
    <x v="2"/>
    <s v="S-102"/>
    <s v="Sunrise Industries"/>
    <n v="246"/>
    <n v="176.95"/>
    <d v="2025-02-27T00:00:00"/>
    <d v="2025-03-05T00:00:00"/>
    <n v="30.7"/>
    <n v="43529.7"/>
    <n v="7552.2"/>
    <n v="6"/>
    <n v="0.17349533766600736"/>
  </r>
  <r>
    <s v="PROD-1360"/>
    <s v="Stool"/>
    <x v="4"/>
    <s v="S-105"/>
    <s v="Fresh Mart Logistics"/>
    <n v="297"/>
    <n v="115.09"/>
    <d v="2025-04-29T00:00:00"/>
    <d v="2025-05-11T00:00:00"/>
    <n v="30.37"/>
    <n v="34181.730000000003"/>
    <n v="9019.89"/>
    <n v="12"/>
    <n v="0.26388044139369188"/>
  </r>
  <r>
    <s v="PROD-1361"/>
    <s v="Hoodie"/>
    <x v="1"/>
    <s v="S-102"/>
    <s v="Sunrise Industries"/>
    <n v="374"/>
    <n v="451.39"/>
    <d v="2025-06-02T00:00:00"/>
    <d v="2025-06-26T00:00:00"/>
    <n v="93.75"/>
    <n v="168819.86"/>
    <n v="35062.5"/>
    <n v="24"/>
    <n v="0.20769179645096258"/>
  </r>
  <r>
    <s v="PROD-1362"/>
    <s v="Desk Lamp"/>
    <x v="4"/>
    <s v="S-104"/>
    <s v="Modern Home Supplies"/>
    <n v="119"/>
    <n v="261.58999999999997"/>
    <d v="2025-05-12T00:00:00"/>
    <d v="2025-06-06T00:00:00"/>
    <n v="62.08"/>
    <n v="31129.209999999995"/>
    <n v="7387.5199999999995"/>
    <n v="25"/>
    <n v="0.23731794028823733"/>
  </r>
  <r>
    <s v="PROD-1363"/>
    <s v="Headphones"/>
    <x v="2"/>
    <s v="S-103"/>
    <s v="Elite Paper Co"/>
    <n v="173"/>
    <n v="444.83"/>
    <d v="2025-05-08T00:00:00"/>
    <d v="2025-05-16T00:00:00"/>
    <n v="51.96"/>
    <n v="76955.59"/>
    <n v="8989.08"/>
    <n v="8"/>
    <n v="0.11680866848009352"/>
  </r>
  <r>
    <s v="PROD-1364"/>
    <s v="Socks"/>
    <x v="1"/>
    <s v="S-103"/>
    <s v="Elite Paper Co"/>
    <n v="467"/>
    <n v="195.43"/>
    <d v="2025-05-20T00:00:00"/>
    <d v="2025-06-18T00:00:00"/>
    <n v="32.67"/>
    <n v="91265.81"/>
    <n v="15256.890000000001"/>
    <n v="29"/>
    <n v="0.16716983062989305"/>
  </r>
  <r>
    <s v="PROD-1365"/>
    <s v="Hoodie"/>
    <x v="1"/>
    <s v="S-103"/>
    <s v="Elite Paper Co"/>
    <n v="126"/>
    <n v="48.07"/>
    <d v="2025-01-11T00:00:00"/>
    <d v="2025-02-04T00:00:00"/>
    <n v="10.38"/>
    <n v="6056.82"/>
    <n v="1307.8800000000001"/>
    <n v="24"/>
    <n v="0.21593509465363014"/>
  </r>
  <r>
    <s v="PROD-1366"/>
    <s v="Bookshelf"/>
    <x v="4"/>
    <s v="S-101"/>
    <s v="Global Tech Corp"/>
    <n v="83"/>
    <n v="309.14999999999998"/>
    <d v="2025-01-14T00:00:00"/>
    <d v="2025-01-16T00:00:00"/>
    <n v="86.92"/>
    <n v="25659.449999999997"/>
    <n v="7214.3600000000006"/>
    <n v="2"/>
    <n v="0.28115801390910566"/>
  </r>
  <r>
    <s v="PROD-1367"/>
    <s v="Hoodie"/>
    <x v="1"/>
    <s v="S-105"/>
    <s v="Fresh Mart Logistics"/>
    <n v="290"/>
    <n v="317.35000000000002"/>
    <d v="2025-04-06T00:00:00"/>
    <d v="2025-04-12T00:00:00"/>
    <n v="49.23"/>
    <n v="92031.5"/>
    <n v="14276.699999999999"/>
    <n v="6"/>
    <n v="0.15512840712147469"/>
  </r>
  <r>
    <s v="PROD-1368"/>
    <s v="Desk Lamp"/>
    <x v="4"/>
    <s v="S-102"/>
    <s v="Sunrise Industries"/>
    <n v="418"/>
    <n v="454.87"/>
    <d v="2025-03-20T00:00:00"/>
    <d v="2025-03-21T00:00:00"/>
    <n v="132.26"/>
    <n v="190135.66"/>
    <n v="55284.679999999993"/>
    <n v="1"/>
    <n v="0.29076439422252509"/>
  </r>
  <r>
    <s v="PROD-1369"/>
    <s v="Cap"/>
    <x v="1"/>
    <s v="S-104"/>
    <s v="Modern Home Supplies"/>
    <n v="408"/>
    <n v="49.98"/>
    <d v="2025-03-19T00:00:00"/>
    <d v="2025-03-31T00:00:00"/>
    <n v="7.56"/>
    <n v="20391.84"/>
    <n v="3084.48"/>
    <n v="12"/>
    <n v="0.15126050420168066"/>
  </r>
  <r>
    <s v="PROD-1370"/>
    <s v="Tablet"/>
    <x v="2"/>
    <s v="S-102"/>
    <s v="Sunrise Industries"/>
    <n v="450"/>
    <n v="468.98"/>
    <d v="2025-03-13T00:00:00"/>
    <d v="2025-04-04T00:00:00"/>
    <n v="101.34"/>
    <n v="211041"/>
    <n v="45603"/>
    <n v="22"/>
    <n v="0.21608597381551453"/>
  </r>
  <r>
    <s v="PROD-1371"/>
    <s v="T-Shirt"/>
    <x v="1"/>
    <s v="S-105"/>
    <s v="Fresh Mart Logistics"/>
    <n v="321"/>
    <n v="46.68"/>
    <d v="2025-02-14T00:00:00"/>
    <d v="2025-02-19T00:00:00"/>
    <n v="6.23"/>
    <n v="14984.28"/>
    <n v="1999.8300000000002"/>
    <n v="5"/>
    <n v="0.13346186803770352"/>
  </r>
  <r>
    <s v="PROD-1372"/>
    <s v="Tablet"/>
    <x v="2"/>
    <s v="S-101"/>
    <s v="Global Tech Corp"/>
    <n v="23"/>
    <n v="404.88"/>
    <d v="2025-06-29T00:00:00"/>
    <d v="2025-07-04T00:00:00"/>
    <n v="70.650000000000006"/>
    <n v="9312.24"/>
    <n v="1624.95"/>
    <n v="5"/>
    <n v="0.17449614700652047"/>
  </r>
  <r>
    <s v="PROD-1373"/>
    <s v="Marker"/>
    <x v="0"/>
    <s v="S-102"/>
    <s v="Sunrise Industries"/>
    <n v="342"/>
    <n v="65.52"/>
    <d v="2025-02-11T00:00:00"/>
    <d v="2025-02-17T00:00:00"/>
    <n v="8.84"/>
    <n v="22407.84"/>
    <n v="3023.2799999999997"/>
    <n v="6"/>
    <n v="0.13492063492063491"/>
  </r>
  <r>
    <s v="PROD-1374"/>
    <s v="Tablet"/>
    <x v="2"/>
    <s v="S-101"/>
    <s v="Global Tech Corp"/>
    <n v="121"/>
    <n v="171.08"/>
    <d v="2025-03-22T00:00:00"/>
    <d v="2025-03-25T00:00:00"/>
    <n v="24.47"/>
    <n v="20700.68"/>
    <n v="2960.87"/>
    <n v="3"/>
    <n v="0.14303249941547813"/>
  </r>
  <r>
    <s v="PROD-1375"/>
    <s v="Cap"/>
    <x v="1"/>
    <s v="S-105"/>
    <s v="Fresh Mart Logistics"/>
    <n v="341"/>
    <n v="150.05000000000001"/>
    <d v="2025-03-08T00:00:00"/>
    <d v="2025-03-31T00:00:00"/>
    <n v="15.31"/>
    <n v="51167.05"/>
    <n v="5220.71"/>
    <n v="23"/>
    <n v="0.10203265578140619"/>
  </r>
  <r>
    <s v="PROD-1376"/>
    <s v="Dark Chocolate"/>
    <x v="3"/>
    <s v="S-105"/>
    <s v="Fresh Mart Logistics"/>
    <n v="371"/>
    <n v="465.63"/>
    <d v="2025-05-27T00:00:00"/>
    <d v="2025-06-12T00:00:00"/>
    <n v="52.09"/>
    <n v="172748.73"/>
    <n v="19325.390000000003"/>
    <n v="16"/>
    <n v="0.11186993965165476"/>
  </r>
  <r>
    <s v="PROD-1377"/>
    <s v="Headphones"/>
    <x v="2"/>
    <s v="S-104"/>
    <s v="Modern Home Supplies"/>
    <n v="336"/>
    <n v="228.71"/>
    <d v="2025-02-22T00:00:00"/>
    <d v="2025-02-25T00:00:00"/>
    <n v="55.85"/>
    <n v="76846.559999999998"/>
    <n v="18765.600000000002"/>
    <n v="3"/>
    <n v="0.24419570635302348"/>
  </r>
  <r>
    <s v="PROD-1378"/>
    <s v="Smartphone"/>
    <x v="2"/>
    <s v="S-103"/>
    <s v="Elite Paper Co"/>
    <n v="353"/>
    <n v="172.33"/>
    <d v="2025-05-28T00:00:00"/>
    <d v="2025-06-20T00:00:00"/>
    <n v="21.45"/>
    <n v="60832.490000000005"/>
    <n v="7571.8499999999995"/>
    <n v="23"/>
    <n v="0.12447049265943247"/>
  </r>
  <r>
    <s v="PROD-1379"/>
    <s v="Desk Organizer"/>
    <x v="0"/>
    <s v="S-101"/>
    <s v="Global Tech Corp"/>
    <n v="235"/>
    <n v="89.2"/>
    <d v="2025-03-17T00:00:00"/>
    <d v="2025-03-19T00:00:00"/>
    <n v="13.91"/>
    <n v="20962"/>
    <n v="3268.85"/>
    <n v="2"/>
    <n v="0.15594170403587443"/>
  </r>
  <r>
    <s v="PROD-1380"/>
    <s v="Stool"/>
    <x v="4"/>
    <s v="S-103"/>
    <s v="Elite Paper Co"/>
    <n v="279"/>
    <n v="248.12"/>
    <d v="2025-04-21T00:00:00"/>
    <d v="2025-05-01T00:00:00"/>
    <n v="29.57"/>
    <n v="69225.48"/>
    <n v="8250.0300000000007"/>
    <n v="10"/>
    <n v="0.11917620506206673"/>
  </r>
  <r>
    <s v="PROD-1381"/>
    <s v="Marker"/>
    <x v="0"/>
    <s v="S-102"/>
    <s v="Sunrise Industries"/>
    <n v="86"/>
    <n v="474.98"/>
    <d v="2025-04-25T00:00:00"/>
    <d v="2025-05-18T00:00:00"/>
    <n v="113.05"/>
    <n v="40848.28"/>
    <n v="9722.2999999999993"/>
    <n v="23"/>
    <n v="0.23801002147458838"/>
  </r>
  <r>
    <s v="PROD-1382"/>
    <s v="Organic Tea"/>
    <x v="3"/>
    <s v="S-104"/>
    <s v="Modern Home Supplies"/>
    <n v="48"/>
    <n v="305.95999999999998"/>
    <d v="2025-04-09T00:00:00"/>
    <d v="2025-04-18T00:00:00"/>
    <n v="64.45"/>
    <n v="14686.079999999998"/>
    <n v="3093.6000000000004"/>
    <n v="9"/>
    <n v="0.2106484507778795"/>
  </r>
  <r>
    <s v="PROD-1383"/>
    <s v="Dark Chocolate"/>
    <x v="3"/>
    <s v="S-101"/>
    <s v="Global Tech Corp"/>
    <n v="339"/>
    <n v="179.49"/>
    <d v="2025-05-06T00:00:00"/>
    <d v="2025-05-26T00:00:00"/>
    <n v="32.83"/>
    <n v="60847.11"/>
    <n v="11129.369999999999"/>
    <n v="20"/>
    <n v="0.18290712574516685"/>
  </r>
  <r>
    <s v="PROD-1384"/>
    <s v="Pen Set"/>
    <x v="0"/>
    <s v="S-101"/>
    <s v="Global Tech Corp"/>
    <n v="139"/>
    <n v="58.04"/>
    <d v="2025-04-14T00:00:00"/>
    <d v="2025-05-09T00:00:00"/>
    <n v="10.58"/>
    <n v="8067.5599999999995"/>
    <n v="1470.6200000000001"/>
    <n v="25"/>
    <n v="0.1822880771881461"/>
  </r>
  <r>
    <s v="PROD-1385"/>
    <s v="Tablet"/>
    <x v="2"/>
    <s v="S-104"/>
    <s v="Modern Home Supplies"/>
    <n v="470"/>
    <n v="257.29000000000002"/>
    <d v="2025-05-01T00:00:00"/>
    <d v="2025-05-08T00:00:00"/>
    <n v="54.03"/>
    <n v="120926.3"/>
    <n v="25394.100000000002"/>
    <n v="7"/>
    <n v="0.20999650200163239"/>
  </r>
  <r>
    <s v="PROD-1386"/>
    <s v="Marker"/>
    <x v="0"/>
    <s v="S-101"/>
    <s v="Global Tech Corp"/>
    <n v="210"/>
    <n v="338.32"/>
    <d v="2025-04-30T00:00:00"/>
    <d v="2025-05-30T00:00:00"/>
    <n v="74.02"/>
    <n v="71047.199999999997"/>
    <n v="15544.199999999999"/>
    <n v="30"/>
    <n v="0.21878694726885789"/>
  </r>
  <r>
    <s v="PROD-1387"/>
    <s v="Notebook"/>
    <x v="0"/>
    <s v="S-104"/>
    <s v="Modern Home Supplies"/>
    <n v="80"/>
    <n v="115.46"/>
    <d v="2025-04-02T00:00:00"/>
    <d v="2025-04-19T00:00:00"/>
    <n v="21.55"/>
    <n v="9236.7999999999993"/>
    <n v="1724"/>
    <n v="17"/>
    <n v="0.18664472544604194"/>
  </r>
  <r>
    <s v="PROD-1388"/>
    <s v="Coffee Beans"/>
    <x v="3"/>
    <s v="S-104"/>
    <s v="Modern Home Supplies"/>
    <n v="45"/>
    <n v="342.3"/>
    <d v="2025-06-07T00:00:00"/>
    <d v="2025-07-04T00:00:00"/>
    <n v="98.59"/>
    <n v="15403.5"/>
    <n v="4436.55"/>
    <n v="27"/>
    <n v="0.28802220274612911"/>
  </r>
  <r>
    <s v="PROD-1389"/>
    <s v="Organic Tea"/>
    <x v="3"/>
    <s v="S-101"/>
    <s v="Global Tech Corp"/>
    <n v="238"/>
    <n v="492.52"/>
    <d v="2025-02-05T00:00:00"/>
    <d v="2025-02-27T00:00:00"/>
    <n v="124.08"/>
    <n v="117219.76"/>
    <n v="29531.040000000001"/>
    <n v="22"/>
    <n v="0.25192885568098761"/>
  </r>
  <r>
    <s v="PROD-1390"/>
    <s v="Desk Lamp"/>
    <x v="4"/>
    <s v="S-105"/>
    <s v="Fresh Mart Logistics"/>
    <n v="337"/>
    <n v="254.72"/>
    <d v="2025-02-22T00:00:00"/>
    <d v="2025-03-16T00:00:00"/>
    <n v="48.86"/>
    <n v="85840.639999999999"/>
    <n v="16465.82"/>
    <n v="22"/>
    <n v="0.19181846733668342"/>
  </r>
  <r>
    <s v="PROD-1391"/>
    <s v="Dark Chocolate"/>
    <x v="3"/>
    <s v="S-104"/>
    <s v="Modern Home Supplies"/>
    <n v="413"/>
    <n v="201.99"/>
    <d v="2025-01-27T00:00:00"/>
    <d v="2025-02-01T00:00:00"/>
    <n v="48.73"/>
    <n v="83421.87000000001"/>
    <n v="20125.489999999998"/>
    <n v="5"/>
    <n v="0.2412495668102381"/>
  </r>
  <r>
    <s v="PROD-1392"/>
    <s v="Hoodie"/>
    <x v="1"/>
    <s v="S-104"/>
    <s v="Modern Home Supplies"/>
    <n v="15"/>
    <n v="473.29"/>
    <d v="2025-06-17T00:00:00"/>
    <d v="2025-06-23T00:00:00"/>
    <n v="135.72"/>
    <n v="7099.35"/>
    <n v="2035.8"/>
    <n v="6"/>
    <n v="0.28675864691837982"/>
  </r>
  <r>
    <s v="PROD-1393"/>
    <s v="Socks"/>
    <x v="1"/>
    <s v="S-102"/>
    <s v="Sunrise Industries"/>
    <n v="170"/>
    <n v="253.49"/>
    <d v="2025-04-19T00:00:00"/>
    <d v="2025-05-09T00:00:00"/>
    <n v="64.61"/>
    <n v="43093.3"/>
    <n v="10983.7"/>
    <n v="20"/>
    <n v="0.25488184938261865"/>
  </r>
  <r>
    <s v="PROD-1394"/>
    <s v="Smartphone"/>
    <x v="2"/>
    <s v="S-104"/>
    <s v="Modern Home Supplies"/>
    <n v="78"/>
    <n v="76.540000000000006"/>
    <d v="2025-02-20T00:00:00"/>
    <d v="2025-03-18T00:00:00"/>
    <n v="21.42"/>
    <n v="5970.1200000000008"/>
    <n v="1670.7600000000002"/>
    <n v="26"/>
    <n v="0.27985367128298927"/>
  </r>
  <r>
    <s v="PROD-1395"/>
    <s v="Headphones"/>
    <x v="2"/>
    <s v="S-102"/>
    <s v="Sunrise Industries"/>
    <n v="33"/>
    <n v="106.42"/>
    <d v="2025-06-11T00:00:00"/>
    <d v="2025-06-26T00:00:00"/>
    <n v="20.8"/>
    <n v="3511.86"/>
    <n v="686.4"/>
    <n v="15"/>
    <n v="0.19545198271001693"/>
  </r>
  <r>
    <s v="PROD-1396"/>
    <s v="Marker"/>
    <x v="0"/>
    <s v="S-105"/>
    <s v="Fresh Mart Logistics"/>
    <n v="142"/>
    <n v="133.15"/>
    <d v="2025-06-23T00:00:00"/>
    <d v="2025-06-30T00:00:00"/>
    <n v="23.43"/>
    <n v="18907.3"/>
    <n v="3327.06"/>
    <n v="7"/>
    <n v="0.17596695456252345"/>
  </r>
  <r>
    <s v="PROD-1397"/>
    <s v="Pen Set"/>
    <x v="0"/>
    <s v="S-101"/>
    <s v="Global Tech Corp"/>
    <n v="374"/>
    <n v="406.41"/>
    <d v="2025-06-28T00:00:00"/>
    <d v="2025-07-17T00:00:00"/>
    <n v="47.92"/>
    <n v="151997.34"/>
    <n v="17922.080000000002"/>
    <n v="19"/>
    <n v="0.11791048448611008"/>
  </r>
  <r>
    <s v="PROD-1398"/>
    <s v="Headphones"/>
    <x v="2"/>
    <s v="S-105"/>
    <s v="Fresh Mart Logistics"/>
    <n v="42"/>
    <n v="10.3"/>
    <d v="2025-02-03T00:00:00"/>
    <d v="2025-02-27T00:00:00"/>
    <n v="3"/>
    <n v="432.6"/>
    <n v="126"/>
    <n v="24"/>
    <n v="0.29126213592233008"/>
  </r>
  <r>
    <s v="PROD-1399"/>
    <s v="Tablet"/>
    <x v="2"/>
    <s v="S-101"/>
    <s v="Global Tech Corp"/>
    <n v="119"/>
    <n v="13.55"/>
    <d v="2025-03-02T00:00:00"/>
    <d v="2025-03-03T00:00:00"/>
    <n v="2.52"/>
    <n v="1612.45"/>
    <n v="299.88"/>
    <n v="1"/>
    <n v="0.18597785977859776"/>
  </r>
  <r>
    <s v="PROD-1400"/>
    <s v="Stool"/>
    <x v="4"/>
    <s v="S-102"/>
    <s v="Sunrise Industries"/>
    <n v="454"/>
    <n v="388.63"/>
    <d v="2025-06-06T00:00:00"/>
    <d v="2025-07-04T00:00:00"/>
    <n v="89.96"/>
    <n v="176438.02"/>
    <n v="40841.839999999997"/>
    <n v="28"/>
    <n v="0.23147981370455187"/>
  </r>
  <r>
    <s v="PROD-1401"/>
    <s v="Laptop"/>
    <x v="2"/>
    <s v="S-104"/>
    <s v="Modern Home Supplies"/>
    <n v="366"/>
    <n v="297.52"/>
    <d v="2025-01-27T00:00:00"/>
    <d v="2025-01-30T00:00:00"/>
    <n v="85.22"/>
    <n v="108892.31999999999"/>
    <n v="31190.52"/>
    <n v="3"/>
    <n v="0.28643452541005648"/>
  </r>
  <r>
    <s v="PROD-1402"/>
    <s v="Dark Chocolate"/>
    <x v="3"/>
    <s v="S-102"/>
    <s v="Sunrise Industries"/>
    <n v="34"/>
    <n v="145.82"/>
    <d v="2025-03-29T00:00:00"/>
    <d v="2025-04-22T00:00:00"/>
    <n v="39.94"/>
    <n v="4957.88"/>
    <n v="1357.96"/>
    <n v="24"/>
    <n v="0.27389932793855437"/>
  </r>
  <r>
    <s v="PROD-1403"/>
    <s v="Headphones"/>
    <x v="2"/>
    <s v="S-101"/>
    <s v="Global Tech Corp"/>
    <n v="198"/>
    <n v="20.66"/>
    <d v="2025-05-21T00:00:00"/>
    <d v="2025-05-24T00:00:00"/>
    <n v="5.37"/>
    <n v="4090.68"/>
    <n v="1063.26"/>
    <n v="3"/>
    <n v="0.25992255566311712"/>
  </r>
  <r>
    <s v="PROD-1404"/>
    <s v="Laptop"/>
    <x v="2"/>
    <s v="S-102"/>
    <s v="Sunrise Industries"/>
    <n v="215"/>
    <n v="25.62"/>
    <d v="2025-02-15T00:00:00"/>
    <d v="2025-02-19T00:00:00"/>
    <n v="4.26"/>
    <n v="5508.3"/>
    <n v="915.9"/>
    <n v="4"/>
    <n v="0.16627634660421545"/>
  </r>
  <r>
    <s v="PROD-1405"/>
    <s v="Bookshelf"/>
    <x v="4"/>
    <s v="S-102"/>
    <s v="Sunrise Industries"/>
    <n v="142"/>
    <n v="466.2"/>
    <d v="2025-05-19T00:00:00"/>
    <d v="2025-06-13T00:00:00"/>
    <n v="49.08"/>
    <n v="66200.399999999994"/>
    <n v="6969.36"/>
    <n v="25"/>
    <n v="0.10527670527670528"/>
  </r>
  <r>
    <s v="PROD-1406"/>
    <s v="Headphones"/>
    <x v="2"/>
    <s v="S-104"/>
    <s v="Modern Home Supplies"/>
    <n v="343"/>
    <n v="410.21"/>
    <d v="2025-02-16T00:00:00"/>
    <d v="2025-03-06T00:00:00"/>
    <n v="113.39"/>
    <n v="140702.03"/>
    <n v="38892.769999999997"/>
    <n v="18"/>
    <n v="0.27641939494405304"/>
  </r>
  <r>
    <s v="PROD-1407"/>
    <s v="Laptop"/>
    <x v="2"/>
    <s v="S-101"/>
    <s v="Global Tech Corp"/>
    <n v="230"/>
    <n v="477.35"/>
    <d v="2025-01-09T00:00:00"/>
    <d v="2025-02-05T00:00:00"/>
    <n v="140.71"/>
    <n v="109790.5"/>
    <n v="32363.300000000003"/>
    <n v="27"/>
    <n v="0.294773227191788"/>
  </r>
  <r>
    <s v="PROD-1408"/>
    <s v="T-Shirt"/>
    <x v="1"/>
    <s v="S-103"/>
    <s v="Elite Paper Co"/>
    <n v="479"/>
    <n v="438.12"/>
    <d v="2025-01-18T00:00:00"/>
    <d v="2025-01-20T00:00:00"/>
    <n v="96.22"/>
    <n v="209859.48"/>
    <n v="46089.38"/>
    <n v="2"/>
    <n v="0.21962019538026112"/>
  </r>
  <r>
    <s v="PROD-1409"/>
    <s v="Smartphone"/>
    <x v="2"/>
    <s v="S-102"/>
    <s v="Sunrise Industries"/>
    <n v="271"/>
    <n v="167.23"/>
    <d v="2025-06-24T00:00:00"/>
    <d v="2025-06-29T00:00:00"/>
    <n v="37.479999999999997"/>
    <n v="45319.329999999994"/>
    <n v="10157.08"/>
    <n v="5"/>
    <n v="0.22412246606470129"/>
  </r>
  <r>
    <s v="PROD-1410"/>
    <s v="Organic Tea"/>
    <x v="3"/>
    <s v="S-104"/>
    <s v="Modern Home Supplies"/>
    <n v="105"/>
    <n v="448.86"/>
    <d v="2025-06-13T00:00:00"/>
    <d v="2025-07-01T00:00:00"/>
    <n v="121.2"/>
    <n v="47130.3"/>
    <n v="12726"/>
    <n v="18"/>
    <n v="0.27001737735596842"/>
  </r>
  <r>
    <s v="PROD-1411"/>
    <s v="Laptop"/>
    <x v="2"/>
    <s v="S-102"/>
    <s v="Sunrise Industries"/>
    <n v="307"/>
    <n v="274.52999999999997"/>
    <d v="2025-03-23T00:00:00"/>
    <d v="2025-03-25T00:00:00"/>
    <n v="74.89"/>
    <n v="84280.709999999992"/>
    <n v="22991.23"/>
    <n v="2"/>
    <n v="0.27279350162095223"/>
  </r>
  <r>
    <s v="PROD-1412"/>
    <s v="Organic Tea"/>
    <x v="3"/>
    <s v="S-101"/>
    <s v="Global Tech Corp"/>
    <n v="255"/>
    <n v="52.97"/>
    <d v="2025-05-23T00:00:00"/>
    <d v="2025-06-02T00:00:00"/>
    <n v="6.26"/>
    <n v="13507.35"/>
    <n v="1596.3"/>
    <n v="10"/>
    <n v="0.11818010194449688"/>
  </r>
  <r>
    <s v="PROD-1413"/>
    <s v="Marker"/>
    <x v="0"/>
    <s v="S-101"/>
    <s v="Global Tech Corp"/>
    <n v="422"/>
    <n v="416.45"/>
    <d v="2025-03-07T00:00:00"/>
    <d v="2025-03-22T00:00:00"/>
    <n v="50.17"/>
    <n v="175741.9"/>
    <n v="21171.74"/>
    <n v="15"/>
    <n v="0.12047064473526234"/>
  </r>
  <r>
    <s v="PROD-1414"/>
    <s v="Cap"/>
    <x v="1"/>
    <s v="S-105"/>
    <s v="Fresh Mart Logistics"/>
    <n v="332"/>
    <n v="249.7"/>
    <d v="2025-02-11T00:00:00"/>
    <d v="2025-02-23T00:00:00"/>
    <n v="38.35"/>
    <n v="82900.399999999994"/>
    <n v="12732.2"/>
    <n v="12"/>
    <n v="0.15358430116139368"/>
  </r>
  <r>
    <s v="PROD-1415"/>
    <s v="Office Chair"/>
    <x v="4"/>
    <s v="S-104"/>
    <s v="Modern Home Supplies"/>
    <n v="264"/>
    <n v="68.55"/>
    <d v="2025-03-24T00:00:00"/>
    <d v="2025-04-01T00:00:00"/>
    <n v="10.87"/>
    <n v="18097.2"/>
    <n v="2869.68"/>
    <n v="8"/>
    <n v="0.1585703865791393"/>
  </r>
  <r>
    <s v="PROD-1416"/>
    <s v="Stool"/>
    <x v="4"/>
    <s v="S-102"/>
    <s v="Sunrise Industries"/>
    <n v="106"/>
    <n v="269.57"/>
    <d v="2025-02-22T00:00:00"/>
    <d v="2025-03-17T00:00:00"/>
    <n v="29.26"/>
    <n v="28574.42"/>
    <n v="3101.56"/>
    <n v="23"/>
    <n v="0.10854323552324073"/>
  </r>
  <r>
    <s v="PROD-1417"/>
    <s v="Tablet"/>
    <x v="2"/>
    <s v="S-102"/>
    <s v="Sunrise Industries"/>
    <n v="146"/>
    <n v="193.93"/>
    <d v="2025-05-16T00:00:00"/>
    <d v="2025-05-21T00:00:00"/>
    <n v="30.14"/>
    <n v="28313.780000000002"/>
    <n v="4400.4400000000005"/>
    <n v="5"/>
    <n v="0.15541690300623937"/>
  </r>
  <r>
    <s v="PROD-1418"/>
    <s v="Cap"/>
    <x v="1"/>
    <s v="S-101"/>
    <s v="Global Tech Corp"/>
    <n v="131"/>
    <n v="449.23"/>
    <d v="2025-04-05T00:00:00"/>
    <d v="2025-04-13T00:00:00"/>
    <n v="52.5"/>
    <n v="58849.130000000005"/>
    <n v="6877.5"/>
    <n v="8"/>
    <n v="0.11686663847027134"/>
  </r>
  <r>
    <s v="PROD-1419"/>
    <s v="T-Shirt"/>
    <x v="1"/>
    <s v="S-105"/>
    <s v="Fresh Mart Logistics"/>
    <n v="430"/>
    <n v="224.25"/>
    <d v="2025-02-05T00:00:00"/>
    <d v="2025-02-25T00:00:00"/>
    <n v="30.75"/>
    <n v="96427.5"/>
    <n v="13222.5"/>
    <n v="20"/>
    <n v="0.13712374581939799"/>
  </r>
  <r>
    <s v="PROD-1420"/>
    <s v="Smartphone"/>
    <x v="2"/>
    <s v="S-105"/>
    <s v="Fresh Mart Logistics"/>
    <n v="345"/>
    <n v="161.94"/>
    <d v="2025-05-07T00:00:00"/>
    <d v="2025-05-28T00:00:00"/>
    <n v="47.59"/>
    <n v="55869.299999999996"/>
    <n v="16418.550000000003"/>
    <n v="21"/>
    <n v="0.2938742744226257"/>
  </r>
  <r>
    <s v="PROD-1421"/>
    <s v="Laptop"/>
    <x v="2"/>
    <s v="S-101"/>
    <s v="Global Tech Corp"/>
    <n v="26"/>
    <n v="14.43"/>
    <d v="2025-06-22T00:00:00"/>
    <d v="2025-06-30T00:00:00"/>
    <n v="4.29"/>
    <n v="375.18"/>
    <n v="111.54"/>
    <n v="8"/>
    <n v="0.29729729729729731"/>
  </r>
  <r>
    <s v="PROD-1422"/>
    <s v="Headphones"/>
    <x v="2"/>
    <s v="S-103"/>
    <s v="Elite Paper Co"/>
    <n v="419"/>
    <n v="6.86"/>
    <d v="2025-03-18T00:00:00"/>
    <d v="2025-04-06T00:00:00"/>
    <n v="1.22"/>
    <n v="2874.34"/>
    <n v="511.18"/>
    <n v="19"/>
    <n v="0.17784256559766762"/>
  </r>
  <r>
    <s v="PROD-1423"/>
    <s v="Socks"/>
    <x v="1"/>
    <s v="S-102"/>
    <s v="Sunrise Industries"/>
    <n v="153"/>
    <n v="15.64"/>
    <d v="2025-01-23T00:00:00"/>
    <d v="2025-02-06T00:00:00"/>
    <n v="2.09"/>
    <n v="2392.92"/>
    <n v="319.77"/>
    <n v="14"/>
    <n v="0.13363171355498721"/>
  </r>
  <r>
    <s v="PROD-1424"/>
    <s v="Office Chair"/>
    <x v="4"/>
    <s v="S-101"/>
    <s v="Global Tech Corp"/>
    <n v="426"/>
    <n v="74.22"/>
    <d v="2025-06-23T00:00:00"/>
    <d v="2025-07-17T00:00:00"/>
    <n v="10.75"/>
    <n v="31617.72"/>
    <n v="4579.5"/>
    <n v="24"/>
    <n v="0.14483966585825922"/>
  </r>
  <r>
    <s v="PROD-1425"/>
    <s v="Almonds"/>
    <x v="3"/>
    <s v="S-102"/>
    <s v="Sunrise Industries"/>
    <n v="364"/>
    <n v="156.38999999999999"/>
    <d v="2025-02-13T00:00:00"/>
    <d v="2025-02-15T00:00:00"/>
    <n v="25.2"/>
    <n v="56925.959999999992"/>
    <n v="9172.7999999999993"/>
    <n v="2"/>
    <n v="0.16113562248225591"/>
  </r>
  <r>
    <s v="PROD-1426"/>
    <s v="Headphones"/>
    <x v="2"/>
    <s v="S-103"/>
    <s v="Elite Paper Co"/>
    <n v="224"/>
    <n v="76.22"/>
    <d v="2025-01-23T00:00:00"/>
    <d v="2025-02-18T00:00:00"/>
    <n v="22.82"/>
    <n v="17073.28"/>
    <n v="5111.68"/>
    <n v="26"/>
    <n v="0.29939648386250328"/>
  </r>
  <r>
    <s v="PROD-1427"/>
    <s v="Office Chair"/>
    <x v="4"/>
    <s v="S-105"/>
    <s v="Fresh Mart Logistics"/>
    <n v="407"/>
    <n v="296.49"/>
    <d v="2025-03-31T00:00:00"/>
    <d v="2025-04-20T00:00:00"/>
    <n v="47.66"/>
    <n v="120671.43000000001"/>
    <n v="19397.62"/>
    <n v="20"/>
    <n v="0.16074741137981044"/>
  </r>
  <r>
    <s v="PROD-1428"/>
    <s v="Dark Chocolate"/>
    <x v="3"/>
    <s v="S-103"/>
    <s v="Elite Paper Co"/>
    <n v="72"/>
    <n v="284.11"/>
    <d v="2025-03-31T00:00:00"/>
    <d v="2025-04-08T00:00:00"/>
    <n v="61.33"/>
    <n v="20455.920000000002"/>
    <n v="4415.76"/>
    <n v="8"/>
    <n v="0.21586709373130125"/>
  </r>
  <r>
    <s v="PROD-1429"/>
    <s v="T-Shirt"/>
    <x v="1"/>
    <s v="S-101"/>
    <s v="Global Tech Corp"/>
    <n v="472"/>
    <n v="179.97"/>
    <d v="2025-01-21T00:00:00"/>
    <d v="2025-02-06T00:00:00"/>
    <n v="36.04"/>
    <n v="84945.84"/>
    <n v="17010.88"/>
    <n v="16"/>
    <n v="0.2002555981552481"/>
  </r>
  <r>
    <s v="PROD-1430"/>
    <s v="Stool"/>
    <x v="4"/>
    <s v="S-105"/>
    <s v="Fresh Mart Logistics"/>
    <n v="455"/>
    <n v="487.06"/>
    <d v="2025-04-06T00:00:00"/>
    <d v="2025-04-25T00:00:00"/>
    <n v="128.9"/>
    <n v="221612.3"/>
    <n v="58649.5"/>
    <n v="19"/>
    <n v="0.2646491192050261"/>
  </r>
  <r>
    <s v="PROD-1431"/>
    <s v="Socks"/>
    <x v="1"/>
    <s v="S-102"/>
    <s v="Sunrise Industries"/>
    <n v="10"/>
    <n v="302.45999999999998"/>
    <d v="2025-04-30T00:00:00"/>
    <d v="2025-05-11T00:00:00"/>
    <n v="69.84"/>
    <n v="3024.6"/>
    <n v="698.40000000000009"/>
    <n v="11"/>
    <n v="0.23090656615750846"/>
  </r>
  <r>
    <s v="PROD-1432"/>
    <s v="Organic Tea"/>
    <x v="3"/>
    <s v="S-102"/>
    <s v="Sunrise Industries"/>
    <n v="51"/>
    <n v="442.98"/>
    <d v="2025-05-09T00:00:00"/>
    <d v="2025-05-17T00:00:00"/>
    <n v="113.43"/>
    <n v="22591.98"/>
    <n v="5784.93"/>
    <n v="8"/>
    <n v="0.25606122172558582"/>
  </r>
  <r>
    <s v="PROD-1433"/>
    <s v="Stool"/>
    <x v="4"/>
    <s v="S-105"/>
    <s v="Fresh Mart Logistics"/>
    <n v="381"/>
    <n v="273.45999999999998"/>
    <d v="2025-06-30T00:00:00"/>
    <d v="2025-07-10T00:00:00"/>
    <n v="61.46"/>
    <n v="104188.26"/>
    <n v="23416.260000000002"/>
    <n v="10"/>
    <n v="0.22474950632633658"/>
  </r>
  <r>
    <s v="PROD-1434"/>
    <s v="T-Shirt"/>
    <x v="1"/>
    <s v="S-103"/>
    <s v="Elite Paper Co"/>
    <n v="481"/>
    <n v="228.05"/>
    <d v="2025-01-27T00:00:00"/>
    <d v="2025-02-22T00:00:00"/>
    <n v="59.24"/>
    <n v="109692.05"/>
    <n v="28494.440000000002"/>
    <n v="26"/>
    <n v="0.25976759482569611"/>
  </r>
  <r>
    <s v="PROD-1435"/>
    <s v="Bookshelf"/>
    <x v="4"/>
    <s v="S-101"/>
    <s v="Global Tech Corp"/>
    <n v="122"/>
    <n v="450.44"/>
    <d v="2025-01-26T00:00:00"/>
    <d v="2025-02-19T00:00:00"/>
    <n v="70.430000000000007"/>
    <n v="54953.68"/>
    <n v="8592.4600000000009"/>
    <n v="24"/>
    <n v="0.15635822751087827"/>
  </r>
  <r>
    <s v="PROD-1436"/>
    <s v="Almonds"/>
    <x v="3"/>
    <s v="S-105"/>
    <s v="Fresh Mart Logistics"/>
    <n v="433"/>
    <n v="489.99"/>
    <d v="2025-05-24T00:00:00"/>
    <d v="2025-05-28T00:00:00"/>
    <n v="69.099999999999994"/>
    <n v="212165.67"/>
    <n v="29920.3"/>
    <n v="4"/>
    <n v="0.14102328618951407"/>
  </r>
  <r>
    <s v="PROD-1437"/>
    <s v="Tablet"/>
    <x v="2"/>
    <s v="S-103"/>
    <s v="Elite Paper Co"/>
    <n v="31"/>
    <n v="204.38"/>
    <d v="2025-03-07T00:00:00"/>
    <d v="2025-03-28T00:00:00"/>
    <n v="52.87"/>
    <n v="6335.78"/>
    <n v="1638.97"/>
    <n v="21"/>
    <n v="0.25868480281827966"/>
  </r>
  <r>
    <s v="PROD-1438"/>
    <s v="Coffee Beans"/>
    <x v="3"/>
    <s v="S-104"/>
    <s v="Modern Home Supplies"/>
    <n v="439"/>
    <n v="390.34"/>
    <d v="2025-01-12T00:00:00"/>
    <d v="2025-02-09T00:00:00"/>
    <n v="92"/>
    <n v="171359.25999999998"/>
    <n v="40388"/>
    <n v="28"/>
    <n v="0.23569196085463956"/>
  </r>
  <r>
    <s v="PROD-1439"/>
    <s v="Marker"/>
    <x v="0"/>
    <s v="S-105"/>
    <s v="Fresh Mart Logistics"/>
    <n v="181"/>
    <n v="167.19"/>
    <d v="2025-06-29T00:00:00"/>
    <d v="2025-07-15T00:00:00"/>
    <n v="44.17"/>
    <n v="30261.39"/>
    <n v="7994.77"/>
    <n v="16"/>
    <n v="0.26419044201208208"/>
  </r>
  <r>
    <s v="PROD-1440"/>
    <s v="Headphones"/>
    <x v="2"/>
    <s v="S-101"/>
    <s v="Global Tech Corp"/>
    <n v="76"/>
    <n v="489.79"/>
    <d v="2025-05-18T00:00:00"/>
    <d v="2025-05-28T00:00:00"/>
    <n v="54.86"/>
    <n v="37224.04"/>
    <n v="4169.3599999999997"/>
    <n v="10"/>
    <n v="0.1120071867535066"/>
  </r>
  <r>
    <s v="PROD-1441"/>
    <s v="Laptop"/>
    <x v="2"/>
    <s v="S-105"/>
    <s v="Fresh Mart Logistics"/>
    <n v="386"/>
    <n v="65.31"/>
    <d v="2025-05-24T00:00:00"/>
    <d v="2025-06-08T00:00:00"/>
    <n v="14.83"/>
    <n v="25209.66"/>
    <n v="5724.38"/>
    <n v="15"/>
    <n v="0.22707089266574795"/>
  </r>
  <r>
    <s v="PROD-1442"/>
    <s v="Pen Set"/>
    <x v="0"/>
    <s v="S-102"/>
    <s v="Sunrise Industries"/>
    <n v="460"/>
    <n v="408.76"/>
    <d v="2025-01-22T00:00:00"/>
    <d v="2025-02-16T00:00:00"/>
    <n v="62.36"/>
    <n v="188029.6"/>
    <n v="28685.599999999999"/>
    <n v="25"/>
    <n v="0.15255895880223114"/>
  </r>
  <r>
    <s v="PROD-1443"/>
    <s v="Desk Organizer"/>
    <x v="0"/>
    <s v="S-104"/>
    <s v="Modern Home Supplies"/>
    <n v="111"/>
    <n v="277.05"/>
    <d v="2025-06-15T00:00:00"/>
    <d v="2025-07-07T00:00:00"/>
    <n v="68.88"/>
    <n v="30752.550000000003"/>
    <n v="7645.6799999999994"/>
    <n v="22"/>
    <n v="0.24861938278289114"/>
  </r>
  <r>
    <s v="PROD-1444"/>
    <s v="Headphones"/>
    <x v="2"/>
    <s v="S-102"/>
    <s v="Sunrise Industries"/>
    <n v="216"/>
    <n v="406.89"/>
    <d v="2025-04-08T00:00:00"/>
    <d v="2025-05-03T00:00:00"/>
    <n v="98.86"/>
    <n v="87888.239999999991"/>
    <n v="21353.759999999998"/>
    <n v="25"/>
    <n v="0.24296492909631595"/>
  </r>
  <r>
    <s v="PROD-1445"/>
    <s v="Socks"/>
    <x v="1"/>
    <s v="S-105"/>
    <s v="Fresh Mart Logistics"/>
    <n v="178"/>
    <n v="193.86"/>
    <d v="2025-03-20T00:00:00"/>
    <d v="2025-04-12T00:00:00"/>
    <n v="49.98"/>
    <n v="34507.08"/>
    <n v="8896.4399999999987"/>
    <n v="23"/>
    <n v="0.25781491798204886"/>
  </r>
  <r>
    <s v="PROD-1446"/>
    <s v="Bookshelf"/>
    <x v="4"/>
    <s v="S-104"/>
    <s v="Modern Home Supplies"/>
    <n v="298"/>
    <n v="84.58"/>
    <d v="2025-05-07T00:00:00"/>
    <d v="2025-06-06T00:00:00"/>
    <n v="13.39"/>
    <n v="25204.84"/>
    <n v="3990.2200000000003"/>
    <n v="30"/>
    <n v="0.15831165760227006"/>
  </r>
  <r>
    <s v="PROD-1447"/>
    <s v="Bookshelf"/>
    <x v="4"/>
    <s v="S-104"/>
    <s v="Modern Home Supplies"/>
    <n v="462"/>
    <n v="35.46"/>
    <d v="2025-01-17T00:00:00"/>
    <d v="2025-02-05T00:00:00"/>
    <n v="9.11"/>
    <n v="16382.52"/>
    <n v="4208.82"/>
    <n v="19"/>
    <n v="0.25690919345741681"/>
  </r>
  <r>
    <s v="PROD-1448"/>
    <s v="Desk Lamp"/>
    <x v="4"/>
    <s v="S-104"/>
    <s v="Modern Home Supplies"/>
    <n v="356"/>
    <n v="120.28"/>
    <d v="2025-04-06T00:00:00"/>
    <d v="2025-04-18T00:00:00"/>
    <n v="15.44"/>
    <n v="42819.68"/>
    <n v="5496.6399999999994"/>
    <n v="12"/>
    <n v="0.12836714333222479"/>
  </r>
  <r>
    <s v="PROD-1449"/>
    <s v="Tablet"/>
    <x v="2"/>
    <s v="S-104"/>
    <s v="Modern Home Supplies"/>
    <n v="38"/>
    <n v="229.51"/>
    <d v="2025-06-24T00:00:00"/>
    <d v="2025-07-19T00:00:00"/>
    <n v="48.24"/>
    <n v="8721.3799999999992"/>
    <n v="1833.1200000000001"/>
    <n v="25"/>
    <n v="0.21018691995991462"/>
  </r>
  <r>
    <s v="PROD-1450"/>
    <s v="Stool"/>
    <x v="4"/>
    <s v="S-102"/>
    <s v="Sunrise Industries"/>
    <n v="498"/>
    <n v="471.21"/>
    <d v="2025-04-05T00:00:00"/>
    <d v="2025-04-17T00:00:00"/>
    <n v="133.25"/>
    <n v="234662.58"/>
    <n v="66358.5"/>
    <n v="12"/>
    <n v="0.28278262345875516"/>
  </r>
  <r>
    <s v="PROD-1451"/>
    <s v="Socks"/>
    <x v="1"/>
    <s v="S-105"/>
    <s v="Fresh Mart Logistics"/>
    <n v="455"/>
    <n v="238.89"/>
    <d v="2025-05-28T00:00:00"/>
    <d v="2025-05-29T00:00:00"/>
    <n v="39.24"/>
    <n v="108694.95"/>
    <n v="17854.2"/>
    <n v="1"/>
    <n v="0.16425970111766924"/>
  </r>
  <r>
    <s v="PROD-1452"/>
    <s v="Notebook"/>
    <x v="0"/>
    <s v="S-101"/>
    <s v="Global Tech Corp"/>
    <n v="349"/>
    <n v="485.88"/>
    <d v="2025-03-23T00:00:00"/>
    <d v="2025-04-14T00:00:00"/>
    <n v="69.8"/>
    <n v="169572.12"/>
    <n v="24360.2"/>
    <n v="22"/>
    <n v="0.14365687000905572"/>
  </r>
  <r>
    <s v="PROD-1453"/>
    <s v="Coffee Beans"/>
    <x v="3"/>
    <s v="S-104"/>
    <s v="Modern Home Supplies"/>
    <n v="121"/>
    <n v="46.75"/>
    <d v="2025-02-23T00:00:00"/>
    <d v="2025-03-06T00:00:00"/>
    <n v="11.42"/>
    <n v="5656.75"/>
    <n v="1381.82"/>
    <n v="11"/>
    <n v="0.24427807486631015"/>
  </r>
  <r>
    <s v="PROD-1454"/>
    <s v="Laptop"/>
    <x v="2"/>
    <s v="S-104"/>
    <s v="Modern Home Supplies"/>
    <n v="401"/>
    <n v="171.75"/>
    <d v="2025-06-19T00:00:00"/>
    <d v="2025-07-09T00:00:00"/>
    <n v="47.18"/>
    <n v="68871.75"/>
    <n v="18919.18"/>
    <n v="20"/>
    <n v="0.27470160116448328"/>
  </r>
  <r>
    <s v="PROD-1455"/>
    <s v="Smartphone"/>
    <x v="2"/>
    <s v="S-105"/>
    <s v="Fresh Mart Logistics"/>
    <n v="232"/>
    <n v="362.87"/>
    <d v="2025-06-17T00:00:00"/>
    <d v="2025-07-17T00:00:00"/>
    <n v="101.88"/>
    <n v="84185.84"/>
    <n v="23636.16"/>
    <n v="30"/>
    <n v="0.28076170529390687"/>
  </r>
  <r>
    <s v="PROD-1456"/>
    <s v="Headphones"/>
    <x v="2"/>
    <s v="S-102"/>
    <s v="Sunrise Industries"/>
    <n v="42"/>
    <n v="232.89"/>
    <d v="2025-04-06T00:00:00"/>
    <d v="2025-04-27T00:00:00"/>
    <n v="57.78"/>
    <n v="9781.3799999999992"/>
    <n v="2426.7600000000002"/>
    <n v="21"/>
    <n v="0.24809996135514623"/>
  </r>
  <r>
    <s v="PROD-1457"/>
    <s v="Marker"/>
    <x v="0"/>
    <s v="S-102"/>
    <s v="Sunrise Industries"/>
    <n v="389"/>
    <n v="40.07"/>
    <d v="2025-06-16T00:00:00"/>
    <d v="2025-07-07T00:00:00"/>
    <n v="5.49"/>
    <n v="15587.23"/>
    <n v="2135.61"/>
    <n v="21"/>
    <n v="0.13701023209383578"/>
  </r>
  <r>
    <s v="PROD-1458"/>
    <s v="T-Shirt"/>
    <x v="1"/>
    <s v="S-105"/>
    <s v="Fresh Mart Logistics"/>
    <n v="92"/>
    <n v="413.81"/>
    <d v="2025-01-16T00:00:00"/>
    <d v="2025-01-23T00:00:00"/>
    <n v="52.91"/>
    <n v="38070.519999999997"/>
    <n v="4867.7199999999993"/>
    <n v="7"/>
    <n v="0.12786061235832868"/>
  </r>
  <r>
    <s v="PROD-1459"/>
    <s v="Laptop"/>
    <x v="2"/>
    <s v="S-102"/>
    <s v="Sunrise Industries"/>
    <n v="465"/>
    <n v="480.01"/>
    <d v="2025-04-06T00:00:00"/>
    <d v="2025-04-27T00:00:00"/>
    <n v="139.31"/>
    <n v="223204.65"/>
    <n v="64779.15"/>
    <n v="21"/>
    <n v="0.29022312035165937"/>
  </r>
  <r>
    <s v="PROD-1460"/>
    <s v="Office Chair"/>
    <x v="4"/>
    <s v="S-103"/>
    <s v="Elite Paper Co"/>
    <n v="429"/>
    <n v="263.36"/>
    <d v="2025-01-08T00:00:00"/>
    <d v="2025-01-28T00:00:00"/>
    <n v="33.119999999999997"/>
    <n v="112981.44"/>
    <n v="14208.48"/>
    <n v="20"/>
    <n v="0.12575941676792221"/>
  </r>
  <r>
    <s v="PROD-1461"/>
    <s v="Hoodie"/>
    <x v="1"/>
    <s v="S-103"/>
    <s v="Elite Paper Co"/>
    <n v="275"/>
    <n v="451.91"/>
    <d v="2025-03-07T00:00:00"/>
    <d v="2025-03-23T00:00:00"/>
    <n v="66.099999999999994"/>
    <n v="124275.25"/>
    <n v="18177.5"/>
    <n v="16"/>
    <n v="0.14626806222477926"/>
  </r>
  <r>
    <s v="PROD-1462"/>
    <s v="Tablet"/>
    <x v="2"/>
    <s v="S-104"/>
    <s v="Modern Home Supplies"/>
    <n v="282"/>
    <n v="129.59"/>
    <d v="2025-04-22T00:00:00"/>
    <d v="2025-05-15T00:00:00"/>
    <n v="30.36"/>
    <n v="36544.379999999997"/>
    <n v="8561.52"/>
    <n v="23"/>
    <n v="0.23427733621421404"/>
  </r>
  <r>
    <s v="PROD-1463"/>
    <s v="Office Chair"/>
    <x v="4"/>
    <s v="S-104"/>
    <s v="Modern Home Supplies"/>
    <n v="434"/>
    <n v="18.79"/>
    <d v="2025-03-29T00:00:00"/>
    <d v="2025-04-02T00:00:00"/>
    <n v="2.93"/>
    <n v="8154.86"/>
    <n v="1271.6200000000001"/>
    <n v="4"/>
    <n v="0.15593400745077171"/>
  </r>
  <r>
    <s v="PROD-1464"/>
    <s v="T-Shirt"/>
    <x v="1"/>
    <s v="S-102"/>
    <s v="Sunrise Industries"/>
    <n v="232"/>
    <n v="357.79"/>
    <d v="2025-05-21T00:00:00"/>
    <d v="2025-06-04T00:00:00"/>
    <n v="36"/>
    <n v="83007.28"/>
    <n v="8352"/>
    <n v="14"/>
    <n v="0.10061768076245842"/>
  </r>
  <r>
    <s v="PROD-1465"/>
    <s v="T-Shirt"/>
    <x v="1"/>
    <s v="S-104"/>
    <s v="Modern Home Supplies"/>
    <n v="496"/>
    <n v="489.64"/>
    <d v="2025-04-15T00:00:00"/>
    <d v="2025-05-10T00:00:00"/>
    <n v="122.68"/>
    <n v="242861.44"/>
    <n v="60849.280000000006"/>
    <n v="25"/>
    <n v="0.25055142553712934"/>
  </r>
  <r>
    <s v="PROD-1466"/>
    <s v="Notebook"/>
    <x v="0"/>
    <s v="S-101"/>
    <s v="Global Tech Corp"/>
    <n v="456"/>
    <n v="361.18"/>
    <d v="2025-05-16T00:00:00"/>
    <d v="2025-05-17T00:00:00"/>
    <n v="57.42"/>
    <n v="164698.08000000002"/>
    <n v="26183.52"/>
    <n v="1"/>
    <n v="0.15897890248629493"/>
  </r>
  <r>
    <s v="PROD-1467"/>
    <s v="Tablet"/>
    <x v="2"/>
    <s v="S-103"/>
    <s v="Elite Paper Co"/>
    <n v="301"/>
    <n v="12.79"/>
    <d v="2025-05-15T00:00:00"/>
    <d v="2025-05-25T00:00:00"/>
    <n v="2.72"/>
    <n v="3849.79"/>
    <n v="818.72"/>
    <n v="10"/>
    <n v="0.21266614542611417"/>
  </r>
  <r>
    <s v="PROD-1468"/>
    <s v="Almonds"/>
    <x v="3"/>
    <s v="S-104"/>
    <s v="Modern Home Supplies"/>
    <n v="380"/>
    <n v="201.18"/>
    <d v="2025-03-28T00:00:00"/>
    <d v="2025-04-10T00:00:00"/>
    <n v="53.59"/>
    <n v="76448.400000000009"/>
    <n v="20364.2"/>
    <n v="13"/>
    <n v="0.26637836763097722"/>
  </r>
  <r>
    <s v="PROD-1469"/>
    <s v="Dark Chocolate"/>
    <x v="3"/>
    <s v="S-101"/>
    <s v="Global Tech Corp"/>
    <n v="345"/>
    <n v="11.44"/>
    <d v="2025-02-11T00:00:00"/>
    <d v="2025-02-17T00:00:00"/>
    <n v="3.39"/>
    <n v="3946.7999999999997"/>
    <n v="1169.55"/>
    <n v="6"/>
    <n v="0.29632867132867136"/>
  </r>
  <r>
    <s v="PROD-1470"/>
    <s v="Marker"/>
    <x v="0"/>
    <s v="S-102"/>
    <s v="Sunrise Industries"/>
    <n v="486"/>
    <n v="478.14"/>
    <d v="2025-06-25T00:00:00"/>
    <d v="2025-07-09T00:00:00"/>
    <n v="63.09"/>
    <n v="232376.03999999998"/>
    <n v="30661.74"/>
    <n v="14"/>
    <n v="0.13194880160622413"/>
  </r>
  <r>
    <s v="PROD-1471"/>
    <s v="Marker"/>
    <x v="0"/>
    <s v="S-101"/>
    <s v="Global Tech Corp"/>
    <n v="120"/>
    <n v="68.5"/>
    <d v="2025-03-20T00:00:00"/>
    <d v="2025-04-09T00:00:00"/>
    <n v="19.78"/>
    <n v="8220"/>
    <n v="2373.6000000000004"/>
    <n v="20"/>
    <n v="0.28875912408759125"/>
  </r>
  <r>
    <s v="PROD-1472"/>
    <s v="Almonds"/>
    <x v="3"/>
    <s v="S-104"/>
    <s v="Modern Home Supplies"/>
    <n v="467"/>
    <n v="421.02"/>
    <d v="2025-06-04T00:00:00"/>
    <d v="2025-06-19T00:00:00"/>
    <n v="81.849999999999994"/>
    <n v="196616.34"/>
    <n v="38223.949999999997"/>
    <n v="15"/>
    <n v="0.19440881668329296"/>
  </r>
  <r>
    <s v="PROD-1473"/>
    <s v="Office Chair"/>
    <x v="4"/>
    <s v="S-105"/>
    <s v="Fresh Mart Logistics"/>
    <n v="150"/>
    <n v="108.59"/>
    <d v="2025-01-30T00:00:00"/>
    <d v="2025-02-18T00:00:00"/>
    <n v="22.21"/>
    <n v="16288.5"/>
    <n v="3331.5"/>
    <n v="19"/>
    <n v="0.20453080394143108"/>
  </r>
  <r>
    <s v="PROD-1474"/>
    <s v="Cap"/>
    <x v="1"/>
    <s v="S-101"/>
    <s v="Global Tech Corp"/>
    <n v="299"/>
    <n v="370.8"/>
    <d v="2025-06-26T00:00:00"/>
    <d v="2025-06-30T00:00:00"/>
    <n v="103.24"/>
    <n v="110869.2"/>
    <n v="30868.76"/>
    <n v="4"/>
    <n v="0.27842502696871629"/>
  </r>
  <r>
    <s v="PROD-1475"/>
    <s v="Marker"/>
    <x v="0"/>
    <s v="S-105"/>
    <s v="Fresh Mart Logistics"/>
    <n v="401"/>
    <n v="79.41"/>
    <d v="2025-05-05T00:00:00"/>
    <d v="2025-05-06T00:00:00"/>
    <n v="8.89"/>
    <n v="31843.41"/>
    <n v="3564.8900000000003"/>
    <n v="1"/>
    <n v="0.11195063594005794"/>
  </r>
  <r>
    <s v="PROD-1476"/>
    <s v="Marker"/>
    <x v="0"/>
    <s v="S-104"/>
    <s v="Modern Home Supplies"/>
    <n v="19"/>
    <n v="180.83"/>
    <d v="2025-01-07T00:00:00"/>
    <d v="2025-01-19T00:00:00"/>
    <n v="50.82"/>
    <n v="3435.7700000000004"/>
    <n v="965.58"/>
    <n v="12"/>
    <n v="0.28103743847812862"/>
  </r>
  <r>
    <s v="PROD-1477"/>
    <s v="Socks"/>
    <x v="1"/>
    <s v="S-104"/>
    <s v="Modern Home Supplies"/>
    <n v="362"/>
    <n v="474.51"/>
    <d v="2025-03-11T00:00:00"/>
    <d v="2025-04-01T00:00:00"/>
    <n v="66.459999999999994"/>
    <n v="171772.62"/>
    <n v="24058.519999999997"/>
    <n v="21"/>
    <n v="0.14006027270236665"/>
  </r>
  <r>
    <s v="PROD-1478"/>
    <s v="Desk Lamp"/>
    <x v="4"/>
    <s v="S-104"/>
    <s v="Modern Home Supplies"/>
    <n v="247"/>
    <n v="61.03"/>
    <d v="2025-03-07T00:00:00"/>
    <d v="2025-03-12T00:00:00"/>
    <n v="15.78"/>
    <n v="15074.41"/>
    <n v="3897.66"/>
    <n v="5"/>
    <n v="0.2585613632639685"/>
  </r>
  <r>
    <s v="PROD-1479"/>
    <s v="Pen Set"/>
    <x v="0"/>
    <s v="S-102"/>
    <s v="Sunrise Industries"/>
    <n v="264"/>
    <n v="356.55"/>
    <d v="2025-01-20T00:00:00"/>
    <d v="2025-02-13T00:00:00"/>
    <n v="43.21"/>
    <n v="94129.2"/>
    <n v="11407.44"/>
    <n v="24"/>
    <n v="0.12118917402888796"/>
  </r>
  <r>
    <s v="PROD-1480"/>
    <s v="Smartphone"/>
    <x v="2"/>
    <s v="S-104"/>
    <s v="Modern Home Supplies"/>
    <n v="485"/>
    <n v="302.26"/>
    <d v="2025-03-17T00:00:00"/>
    <d v="2025-03-30T00:00:00"/>
    <n v="80"/>
    <n v="146596.1"/>
    <n v="38800"/>
    <n v="13"/>
    <n v="0.26467279825315954"/>
  </r>
  <r>
    <s v="PROD-1481"/>
    <s v="Almonds"/>
    <x v="3"/>
    <s v="S-105"/>
    <s v="Fresh Mart Logistics"/>
    <n v="14"/>
    <n v="390.33"/>
    <d v="2025-01-10T00:00:00"/>
    <d v="2025-01-20T00:00:00"/>
    <n v="70.2"/>
    <n v="5464.62"/>
    <n v="982.80000000000007"/>
    <n v="10"/>
    <n v="0.17984782107447544"/>
  </r>
  <r>
    <s v="PROD-1482"/>
    <s v="Bookshelf"/>
    <x v="4"/>
    <s v="S-105"/>
    <s v="Fresh Mart Logistics"/>
    <n v="134"/>
    <n v="495.15"/>
    <d v="2025-05-23T00:00:00"/>
    <d v="2025-06-18T00:00:00"/>
    <n v="76.28"/>
    <n v="66350.099999999991"/>
    <n v="10221.52"/>
    <n v="26"/>
    <n v="0.15405432697162477"/>
  </r>
  <r>
    <s v="PROD-1483"/>
    <s v="Bookshelf"/>
    <x v="4"/>
    <s v="S-102"/>
    <s v="Sunrise Industries"/>
    <n v="363"/>
    <n v="141.28"/>
    <d v="2025-05-19T00:00:00"/>
    <d v="2025-05-27T00:00:00"/>
    <n v="24.69"/>
    <n v="51284.639999999999"/>
    <n v="8962.4700000000012"/>
    <n v="8"/>
    <n v="0.17475934314835787"/>
  </r>
  <r>
    <s v="PROD-1484"/>
    <s v="Notebook"/>
    <x v="0"/>
    <s v="S-105"/>
    <s v="Fresh Mart Logistics"/>
    <n v="208"/>
    <n v="134.72999999999999"/>
    <d v="2025-01-17T00:00:00"/>
    <d v="2025-01-24T00:00:00"/>
    <n v="23.47"/>
    <n v="28023.839999999997"/>
    <n v="4881.76"/>
    <n v="7"/>
    <n v="0.174200252356565"/>
  </r>
  <r>
    <s v="PROD-1485"/>
    <s v="Bookshelf"/>
    <x v="4"/>
    <s v="S-102"/>
    <s v="Sunrise Industries"/>
    <n v="484"/>
    <n v="489.46"/>
    <d v="2025-01-09T00:00:00"/>
    <d v="2025-01-19T00:00:00"/>
    <n v="123.17"/>
    <n v="236898.63999999998"/>
    <n v="59614.28"/>
    <n v="10"/>
    <n v="0.2516446696359253"/>
  </r>
  <r>
    <s v="PROD-1486"/>
    <s v="Pen Set"/>
    <x v="0"/>
    <s v="S-105"/>
    <s v="Fresh Mart Logistics"/>
    <n v="195"/>
    <n v="304.02999999999997"/>
    <d v="2025-02-03T00:00:00"/>
    <d v="2025-02-09T00:00:00"/>
    <n v="72.52"/>
    <n v="59285.849999999991"/>
    <n v="14141.4"/>
    <n v="6"/>
    <n v="0.23852909252376411"/>
  </r>
  <r>
    <s v="PROD-1487"/>
    <s v="Notebook"/>
    <x v="0"/>
    <s v="S-105"/>
    <s v="Fresh Mart Logistics"/>
    <n v="393"/>
    <n v="264.76"/>
    <d v="2025-03-11T00:00:00"/>
    <d v="2025-03-13T00:00:00"/>
    <n v="75.28"/>
    <n v="104050.68"/>
    <n v="29585.040000000001"/>
    <n v="2"/>
    <n v="0.28433298081281161"/>
  </r>
  <r>
    <s v="PROD-1488"/>
    <s v="Cap"/>
    <x v="1"/>
    <s v="S-104"/>
    <s v="Modern Home Supplies"/>
    <n v="416"/>
    <n v="76"/>
    <d v="2025-03-27T00:00:00"/>
    <d v="2025-04-21T00:00:00"/>
    <n v="21.48"/>
    <n v="31616"/>
    <n v="8935.68"/>
    <n v="25"/>
    <n v="0.2826315789473684"/>
  </r>
  <r>
    <s v="PROD-1489"/>
    <s v="Hoodie"/>
    <x v="1"/>
    <s v="S-101"/>
    <s v="Global Tech Corp"/>
    <n v="489"/>
    <n v="191.18"/>
    <d v="2025-02-26T00:00:00"/>
    <d v="2025-03-17T00:00:00"/>
    <n v="27.29"/>
    <n v="93487.02"/>
    <n v="13344.81"/>
    <n v="19"/>
    <n v="0.14274505701433204"/>
  </r>
  <r>
    <s v="PROD-1490"/>
    <s v="Office Chair"/>
    <x v="4"/>
    <s v="S-104"/>
    <s v="Modern Home Supplies"/>
    <n v="407"/>
    <n v="46.47"/>
    <d v="2025-03-04T00:00:00"/>
    <d v="2025-03-24T00:00:00"/>
    <n v="13.45"/>
    <n v="18913.29"/>
    <n v="5474.15"/>
    <n v="20"/>
    <n v="0.28943404346890467"/>
  </r>
  <r>
    <s v="PROD-1491"/>
    <s v="Coffee Beans"/>
    <x v="3"/>
    <s v="S-102"/>
    <s v="Sunrise Industries"/>
    <n v="159"/>
    <n v="96.15"/>
    <d v="2025-04-08T00:00:00"/>
    <d v="2025-05-04T00:00:00"/>
    <n v="17.05"/>
    <n v="15287.85"/>
    <n v="2710.9500000000003"/>
    <n v="26"/>
    <n v="0.17732709308372335"/>
  </r>
  <r>
    <s v="PROD-1492"/>
    <s v="Almonds"/>
    <x v="3"/>
    <s v="S-105"/>
    <s v="Fresh Mart Logistics"/>
    <n v="387"/>
    <n v="79.2"/>
    <d v="2025-02-20T00:00:00"/>
    <d v="2025-03-02T00:00:00"/>
    <n v="19.86"/>
    <n v="30650.400000000001"/>
    <n v="7685.82"/>
    <n v="10"/>
    <n v="0.25075757575757573"/>
  </r>
  <r>
    <s v="PROD-1493"/>
    <s v="Coffee Beans"/>
    <x v="3"/>
    <s v="S-105"/>
    <s v="Fresh Mart Logistics"/>
    <n v="148"/>
    <n v="256.61"/>
    <d v="2025-05-27T00:00:00"/>
    <d v="2025-05-31T00:00:00"/>
    <n v="75.95"/>
    <n v="37978.28"/>
    <n v="11240.6"/>
    <n v="4"/>
    <n v="0.29597443591442268"/>
  </r>
  <r>
    <s v="PROD-1494"/>
    <s v="T-Shirt"/>
    <x v="1"/>
    <s v="S-101"/>
    <s v="Global Tech Corp"/>
    <n v="395"/>
    <n v="247.77"/>
    <d v="2025-03-21T00:00:00"/>
    <d v="2025-04-16T00:00:00"/>
    <n v="58.79"/>
    <n v="97869.150000000009"/>
    <n v="23222.05"/>
    <n v="26"/>
    <n v="0.23727650643742179"/>
  </r>
  <r>
    <s v="PROD-1495"/>
    <s v="Notebook"/>
    <x v="0"/>
    <s v="S-103"/>
    <s v="Elite Paper Co"/>
    <n v="147"/>
    <n v="420.31"/>
    <d v="2025-04-18T00:00:00"/>
    <d v="2025-05-15T00:00:00"/>
    <n v="84.44"/>
    <n v="61785.57"/>
    <n v="12412.68"/>
    <n v="27"/>
    <n v="0.2008993362042302"/>
  </r>
  <r>
    <s v="PROD-1496"/>
    <s v="Tablet"/>
    <x v="2"/>
    <s v="S-105"/>
    <s v="Fresh Mart Logistics"/>
    <n v="398"/>
    <n v="366.75"/>
    <d v="2025-06-18T00:00:00"/>
    <d v="2025-06-19T00:00:00"/>
    <n v="56.75"/>
    <n v="145966.5"/>
    <n v="22586.5"/>
    <n v="1"/>
    <n v="0.15473755964553509"/>
  </r>
  <r>
    <s v="PROD-1497"/>
    <s v="Notebook"/>
    <x v="0"/>
    <s v="S-105"/>
    <s v="Fresh Mart Logistics"/>
    <n v="339"/>
    <n v="90.73"/>
    <d v="2025-06-03T00:00:00"/>
    <d v="2025-06-16T00:00:00"/>
    <n v="9.2799999999999994"/>
    <n v="30757.47"/>
    <n v="3145.9199999999996"/>
    <n v="13"/>
    <n v="0.10228149454425217"/>
  </r>
  <r>
    <s v="PROD-1498"/>
    <s v="Hoodie"/>
    <x v="1"/>
    <s v="S-101"/>
    <s v="Global Tech Corp"/>
    <n v="466"/>
    <n v="103"/>
    <d v="2025-01-08T00:00:00"/>
    <d v="2025-01-17T00:00:00"/>
    <n v="30.75"/>
    <n v="47998"/>
    <n v="14329.5"/>
    <n v="9"/>
    <n v="0.29854368932038833"/>
  </r>
  <r>
    <s v="PROD-1499"/>
    <s v="Laptop"/>
    <x v="2"/>
    <s v="S-102"/>
    <s v="Sunrise Industries"/>
    <n v="394"/>
    <n v="49.43"/>
    <d v="2025-05-07T00:00:00"/>
    <d v="2025-05-22T00:00:00"/>
    <n v="9.5500000000000007"/>
    <n v="19475.419999999998"/>
    <n v="3762.7000000000003"/>
    <n v="15"/>
    <n v="0.19320250859801741"/>
  </r>
  <r>
    <s v="PROD-1500"/>
    <s v="Headphones"/>
    <x v="2"/>
    <s v="S-101"/>
    <s v="Global Tech Corp"/>
    <n v="71"/>
    <n v="264.48"/>
    <d v="2025-03-29T00:00:00"/>
    <d v="2025-04-10T00:00:00"/>
    <n v="33.619999999999997"/>
    <n v="18778.080000000002"/>
    <n v="2387.02"/>
    <n v="12"/>
    <n v="0.12711736237144583"/>
  </r>
  <r>
    <s v="PROD-1501"/>
    <s v="Dark Chocolate"/>
    <x v="3"/>
    <s v="S-102"/>
    <s v="Sunrise Industries"/>
    <n v="494"/>
    <n v="298.39"/>
    <d v="2025-04-20T00:00:00"/>
    <d v="2025-04-25T00:00:00"/>
    <n v="36.200000000000003"/>
    <n v="147404.66"/>
    <n v="17882.800000000003"/>
    <n v="5"/>
    <n v="0.12131773853011162"/>
  </r>
  <r>
    <s v="PROD-1502"/>
    <s v="Tablet"/>
    <x v="2"/>
    <s v="S-104"/>
    <s v="Modern Home Supplies"/>
    <n v="296"/>
    <n v="205.49"/>
    <d v="2025-04-11T00:00:00"/>
    <d v="2025-04-25T00:00:00"/>
    <n v="38.36"/>
    <n v="60825.04"/>
    <n v="11354.56"/>
    <n v="14"/>
    <n v="0.18667575064480021"/>
  </r>
  <r>
    <s v="PROD-1503"/>
    <s v="Socks"/>
    <x v="1"/>
    <s v="S-104"/>
    <s v="Modern Home Supplies"/>
    <n v="214"/>
    <n v="174.47"/>
    <d v="2025-03-02T00:00:00"/>
    <d v="2025-03-19T00:00:00"/>
    <n v="44.3"/>
    <n v="37336.58"/>
    <n v="9480.1999999999989"/>
    <n v="17"/>
    <n v="0.25391184730899291"/>
  </r>
  <r>
    <s v="PROD-1504"/>
    <s v="Bookshelf"/>
    <x v="4"/>
    <s v="S-103"/>
    <s v="Elite Paper Co"/>
    <n v="487"/>
    <n v="444.07"/>
    <d v="2025-06-18T00:00:00"/>
    <d v="2025-06-19T00:00:00"/>
    <n v="45.77"/>
    <n v="216262.09"/>
    <n v="22289.99"/>
    <n v="1"/>
    <n v="0.10306933591550882"/>
  </r>
  <r>
    <s v="PROD-1505"/>
    <s v="Headphones"/>
    <x v="2"/>
    <s v="S-103"/>
    <s v="Elite Paper Co"/>
    <n v="111"/>
    <n v="150.99"/>
    <d v="2025-01-27T00:00:00"/>
    <d v="2025-02-17T00:00:00"/>
    <n v="44.76"/>
    <n v="16759.89"/>
    <n v="4968.3599999999997"/>
    <n v="21"/>
    <n v="0.29644347307768726"/>
  </r>
  <r>
    <s v="PROD-1506"/>
    <s v="Cap"/>
    <x v="1"/>
    <s v="S-101"/>
    <s v="Global Tech Corp"/>
    <n v="369"/>
    <n v="432.52"/>
    <d v="2025-06-14T00:00:00"/>
    <d v="2025-07-12T00:00:00"/>
    <n v="110.55"/>
    <n v="159599.88"/>
    <n v="40792.949999999997"/>
    <n v="28"/>
    <n v="0.25559511698880977"/>
  </r>
  <r>
    <s v="PROD-1507"/>
    <s v="Smartphone"/>
    <x v="2"/>
    <s v="S-105"/>
    <s v="Fresh Mart Logistics"/>
    <n v="403"/>
    <n v="289.01"/>
    <d v="2025-02-06T00:00:00"/>
    <d v="2025-02-08T00:00:00"/>
    <n v="70.319999999999993"/>
    <n v="116471.03"/>
    <n v="28338.959999999995"/>
    <n v="2"/>
    <n v="0.24331338015985604"/>
  </r>
  <r>
    <s v="PROD-1508"/>
    <s v="Office Chair"/>
    <x v="4"/>
    <s v="S-103"/>
    <s v="Elite Paper Co"/>
    <n v="33"/>
    <n v="341.57"/>
    <d v="2025-02-07T00:00:00"/>
    <d v="2025-03-01T00:00:00"/>
    <n v="45.16"/>
    <n v="11271.81"/>
    <n v="1490.28"/>
    <n v="22"/>
    <n v="0.13221301636560587"/>
  </r>
  <r>
    <s v="PROD-1509"/>
    <s v="Desk Lamp"/>
    <x v="4"/>
    <s v="S-105"/>
    <s v="Fresh Mart Logistics"/>
    <n v="302"/>
    <n v="257.55"/>
    <d v="2025-03-16T00:00:00"/>
    <d v="2025-03-25T00:00:00"/>
    <n v="71.03"/>
    <n v="77780.100000000006"/>
    <n v="21451.06"/>
    <n v="9"/>
    <n v="0.27579110852261696"/>
  </r>
  <r>
    <s v="PROD-1510"/>
    <s v="Pen Set"/>
    <x v="0"/>
    <s v="S-104"/>
    <s v="Modern Home Supplies"/>
    <n v="271"/>
    <n v="285.69"/>
    <d v="2025-03-14T00:00:00"/>
    <d v="2025-04-03T00:00:00"/>
    <n v="30.12"/>
    <n v="77421.990000000005"/>
    <n v="8162.52"/>
    <n v="20"/>
    <n v="0.10542896146172426"/>
  </r>
  <r>
    <s v="PROD-1511"/>
    <s v="Hoodie"/>
    <x v="1"/>
    <s v="S-105"/>
    <s v="Fresh Mart Logistics"/>
    <n v="488"/>
    <n v="122.32"/>
    <d v="2025-05-07T00:00:00"/>
    <d v="2025-05-31T00:00:00"/>
    <n v="18.79"/>
    <n v="59692.159999999996"/>
    <n v="9169.52"/>
    <n v="24"/>
    <n v="0.15361347285807717"/>
  </r>
  <r>
    <s v="PROD-1512"/>
    <s v="Laptop"/>
    <x v="2"/>
    <s v="S-103"/>
    <s v="Elite Paper Co"/>
    <n v="494"/>
    <n v="111.13"/>
    <d v="2025-05-29T00:00:00"/>
    <d v="2025-06-18T00:00:00"/>
    <n v="26.65"/>
    <n v="54898.22"/>
    <n v="13165.099999999999"/>
    <n v="20"/>
    <n v="0.23980923243048682"/>
  </r>
  <r>
    <s v="PROD-1513"/>
    <s v="Desk Lamp"/>
    <x v="4"/>
    <s v="S-103"/>
    <s v="Elite Paper Co"/>
    <n v="224"/>
    <n v="400.73"/>
    <d v="2025-06-20T00:00:00"/>
    <d v="2025-07-17T00:00:00"/>
    <n v="40.840000000000003"/>
    <n v="89763.520000000004"/>
    <n v="9148.16"/>
    <n v="27"/>
    <n v="0.10191400693733936"/>
  </r>
  <r>
    <s v="PROD-1514"/>
    <s v="Pen Set"/>
    <x v="0"/>
    <s v="S-102"/>
    <s v="Sunrise Industries"/>
    <n v="86"/>
    <n v="426.04"/>
    <d v="2025-01-14T00:00:00"/>
    <d v="2025-01-31T00:00:00"/>
    <n v="94.51"/>
    <n v="36639.440000000002"/>
    <n v="8127.8600000000006"/>
    <n v="17"/>
    <n v="0.22183363064500985"/>
  </r>
  <r>
    <s v="PROD-1515"/>
    <s v="Cap"/>
    <x v="1"/>
    <s v="S-101"/>
    <s v="Global Tech Corp"/>
    <n v="327"/>
    <n v="484.99"/>
    <d v="2025-05-20T00:00:00"/>
    <d v="2025-06-18T00:00:00"/>
    <n v="70.25"/>
    <n v="158591.73000000001"/>
    <n v="22971.75"/>
    <n v="29"/>
    <n v="0.14484834738860594"/>
  </r>
  <r>
    <s v="PROD-1516"/>
    <s v="Desk Lamp"/>
    <x v="4"/>
    <s v="S-101"/>
    <s v="Global Tech Corp"/>
    <n v="396"/>
    <n v="231.09"/>
    <d v="2025-03-07T00:00:00"/>
    <d v="2025-03-24T00:00:00"/>
    <n v="69.239999999999995"/>
    <n v="91511.64"/>
    <n v="27419.039999999997"/>
    <n v="17"/>
    <n v="0.29962352330260933"/>
  </r>
  <r>
    <s v="PROD-1517"/>
    <s v="Dark Chocolate"/>
    <x v="3"/>
    <s v="S-104"/>
    <s v="Modern Home Supplies"/>
    <n v="171"/>
    <n v="139.97"/>
    <d v="2025-02-05T00:00:00"/>
    <d v="2025-02-24T00:00:00"/>
    <n v="27.41"/>
    <n v="23934.87"/>
    <n v="4687.1099999999997"/>
    <n v="19"/>
    <n v="0.19582767735943415"/>
  </r>
  <r>
    <s v="PROD-1518"/>
    <s v="Desk Organizer"/>
    <x v="0"/>
    <s v="S-103"/>
    <s v="Elite Paper Co"/>
    <n v="242"/>
    <n v="480.6"/>
    <d v="2025-04-16T00:00:00"/>
    <d v="2025-04-22T00:00:00"/>
    <n v="59.49"/>
    <n v="116305.20000000001"/>
    <n v="14396.58"/>
    <n v="6"/>
    <n v="0.12378277153558052"/>
  </r>
  <r>
    <s v="PROD-1519"/>
    <s v="Almonds"/>
    <x v="3"/>
    <s v="S-102"/>
    <s v="Sunrise Industries"/>
    <n v="239"/>
    <n v="499.25"/>
    <d v="2025-06-06T00:00:00"/>
    <d v="2025-06-09T00:00:00"/>
    <n v="146.88"/>
    <n v="119320.75"/>
    <n v="35104.32"/>
    <n v="3"/>
    <n v="0.29420130195292937"/>
  </r>
  <r>
    <s v="PROD-1520"/>
    <s v="Organic Tea"/>
    <x v="3"/>
    <s v="S-103"/>
    <s v="Elite Paper Co"/>
    <n v="369"/>
    <n v="28.34"/>
    <d v="2025-05-12T00:00:00"/>
    <d v="2025-06-06T00:00:00"/>
    <n v="3.67"/>
    <n v="10457.459999999999"/>
    <n v="1354.23"/>
    <n v="25"/>
    <n v="0.12949894142554694"/>
  </r>
  <r>
    <s v="PROD-1521"/>
    <s v="Stool"/>
    <x v="4"/>
    <s v="S-102"/>
    <s v="Sunrise Industries"/>
    <n v="56"/>
    <n v="166.1"/>
    <d v="2025-05-22T00:00:00"/>
    <d v="2025-06-19T00:00:00"/>
    <n v="17.37"/>
    <n v="9301.6"/>
    <n v="972.72"/>
    <n v="28"/>
    <n v="0.1045755568934377"/>
  </r>
  <r>
    <s v="PROD-1522"/>
    <s v="Stool"/>
    <x v="4"/>
    <s v="S-102"/>
    <s v="Sunrise Industries"/>
    <n v="107"/>
    <n v="107.23"/>
    <d v="2025-03-27T00:00:00"/>
    <d v="2025-04-21T00:00:00"/>
    <n v="24.7"/>
    <n v="11473.61"/>
    <n v="2642.9"/>
    <n v="25"/>
    <n v="0.23034598526531752"/>
  </r>
  <r>
    <s v="PROD-1523"/>
    <s v="Almonds"/>
    <x v="3"/>
    <s v="S-104"/>
    <s v="Modern Home Supplies"/>
    <n v="431"/>
    <n v="491.34"/>
    <d v="2025-04-17T00:00:00"/>
    <d v="2025-05-07T00:00:00"/>
    <n v="116.97"/>
    <n v="211767.53999999998"/>
    <n v="50414.07"/>
    <n v="20"/>
    <n v="0.23806325558676275"/>
  </r>
  <r>
    <s v="PROD-1524"/>
    <s v="Dark Chocolate"/>
    <x v="3"/>
    <s v="S-103"/>
    <s v="Elite Paper Co"/>
    <n v="413"/>
    <n v="428.25"/>
    <d v="2025-04-04T00:00:00"/>
    <d v="2025-04-28T00:00:00"/>
    <n v="95.22"/>
    <n v="176867.25"/>
    <n v="39325.86"/>
    <n v="24"/>
    <n v="0.22234676007005252"/>
  </r>
  <r>
    <s v="PROD-1525"/>
    <s v="Desk Lamp"/>
    <x v="4"/>
    <s v="S-105"/>
    <s v="Fresh Mart Logistics"/>
    <n v="279"/>
    <n v="360.32"/>
    <d v="2025-01-03T00:00:00"/>
    <d v="2025-01-23T00:00:00"/>
    <n v="61.74"/>
    <n v="100529.28"/>
    <n v="17225.46"/>
    <n v="20"/>
    <n v="0.17134769094138544"/>
  </r>
  <r>
    <s v="PROD-1526"/>
    <s v="Office Chair"/>
    <x v="4"/>
    <s v="S-104"/>
    <s v="Modern Home Supplies"/>
    <n v="141"/>
    <n v="192.61"/>
    <d v="2025-02-17T00:00:00"/>
    <d v="2025-02-23T00:00:00"/>
    <n v="23.35"/>
    <n v="27158.010000000002"/>
    <n v="3292.3500000000004"/>
    <n v="6"/>
    <n v="0.12122942734022117"/>
  </r>
  <r>
    <s v="PROD-1527"/>
    <s v="Notebook"/>
    <x v="0"/>
    <s v="S-102"/>
    <s v="Sunrise Industries"/>
    <n v="299"/>
    <n v="180.82"/>
    <d v="2025-04-27T00:00:00"/>
    <d v="2025-05-14T00:00:00"/>
    <n v="21.01"/>
    <n v="54065.18"/>
    <n v="6281.9900000000007"/>
    <n v="17"/>
    <n v="0.11619289901559564"/>
  </r>
  <r>
    <s v="PROD-1528"/>
    <s v="Notebook"/>
    <x v="0"/>
    <s v="S-103"/>
    <s v="Elite Paper Co"/>
    <n v="34"/>
    <n v="25.25"/>
    <d v="2025-02-10T00:00:00"/>
    <d v="2025-02-28T00:00:00"/>
    <n v="4.3499999999999996"/>
    <n v="858.5"/>
    <n v="147.89999999999998"/>
    <n v="18"/>
    <n v="0.17227722772277226"/>
  </r>
  <r>
    <s v="PROD-1529"/>
    <s v="Notebook"/>
    <x v="0"/>
    <s v="S-105"/>
    <s v="Fresh Mart Logistics"/>
    <n v="59"/>
    <n v="300.45"/>
    <d v="2025-02-19T00:00:00"/>
    <d v="2025-02-24T00:00:00"/>
    <n v="47.02"/>
    <n v="17726.55"/>
    <n v="2774.1800000000003"/>
    <n v="5"/>
    <n v="0.15649858545515064"/>
  </r>
  <r>
    <s v="PROD-1530"/>
    <s v="Socks"/>
    <x v="1"/>
    <s v="S-102"/>
    <s v="Sunrise Industries"/>
    <n v="433"/>
    <n v="497.73"/>
    <d v="2025-05-04T00:00:00"/>
    <d v="2025-05-05T00:00:00"/>
    <n v="59.6"/>
    <n v="215517.09"/>
    <n v="25806.799999999999"/>
    <n v="1"/>
    <n v="0.11974363610793"/>
  </r>
  <r>
    <s v="PROD-1531"/>
    <s v="Stool"/>
    <x v="4"/>
    <s v="S-104"/>
    <s v="Modern Home Supplies"/>
    <n v="21"/>
    <n v="109.29"/>
    <d v="2025-06-05T00:00:00"/>
    <d v="2025-06-13T00:00:00"/>
    <n v="22.75"/>
    <n v="2295.09"/>
    <n v="477.75"/>
    <n v="8"/>
    <n v="0.20816177143379996"/>
  </r>
  <r>
    <s v="PROD-1532"/>
    <s v="Cap"/>
    <x v="1"/>
    <s v="S-102"/>
    <s v="Sunrise Industries"/>
    <n v="279"/>
    <n v="194.62"/>
    <d v="2025-06-14T00:00:00"/>
    <d v="2025-06-17T00:00:00"/>
    <n v="50.41"/>
    <n v="54298.98"/>
    <n v="14064.39"/>
    <n v="3"/>
    <n v="0.25901757270578563"/>
  </r>
  <r>
    <s v="PROD-1533"/>
    <s v="Desk Lamp"/>
    <x v="4"/>
    <s v="S-101"/>
    <s v="Global Tech Corp"/>
    <n v="426"/>
    <n v="337.91"/>
    <d v="2025-05-09T00:00:00"/>
    <d v="2025-05-14T00:00:00"/>
    <n v="87.18"/>
    <n v="143949.66"/>
    <n v="37138.68"/>
    <n v="5"/>
    <n v="0.25799769169305437"/>
  </r>
  <r>
    <s v="PROD-1534"/>
    <s v="Organic Tea"/>
    <x v="3"/>
    <s v="S-104"/>
    <s v="Modern Home Supplies"/>
    <n v="477"/>
    <n v="38.01"/>
    <d v="2025-04-25T00:00:00"/>
    <d v="2025-05-19T00:00:00"/>
    <n v="6.02"/>
    <n v="18130.77"/>
    <n v="2871.54"/>
    <n v="24"/>
    <n v="0.15837937384898709"/>
  </r>
  <r>
    <s v="PROD-1535"/>
    <s v="Notebook"/>
    <x v="0"/>
    <s v="S-103"/>
    <s v="Elite Paper Co"/>
    <n v="357"/>
    <n v="167.5"/>
    <d v="2025-02-08T00:00:00"/>
    <d v="2025-02-12T00:00:00"/>
    <n v="31.49"/>
    <n v="59797.5"/>
    <n v="11241.93"/>
    <n v="4"/>
    <n v="0.188"/>
  </r>
  <r>
    <s v="PROD-1536"/>
    <s v="Marker"/>
    <x v="0"/>
    <s v="S-105"/>
    <s v="Fresh Mart Logistics"/>
    <n v="412"/>
    <n v="130.79"/>
    <d v="2025-05-16T00:00:00"/>
    <d v="2025-05-27T00:00:00"/>
    <n v="38.6"/>
    <n v="53885.479999999996"/>
    <n v="15903.2"/>
    <n v="11"/>
    <n v="0.29512959706399577"/>
  </r>
  <r>
    <s v="PROD-1537"/>
    <s v="Socks"/>
    <x v="1"/>
    <s v="S-102"/>
    <s v="Sunrise Industries"/>
    <n v="87"/>
    <n v="358.36"/>
    <d v="2025-02-25T00:00:00"/>
    <d v="2025-03-17T00:00:00"/>
    <n v="103.23"/>
    <n v="31177.32"/>
    <n v="8981.01"/>
    <n v="20"/>
    <n v="0.28806228373702419"/>
  </r>
  <r>
    <s v="PROD-1538"/>
    <s v="Organic Tea"/>
    <x v="3"/>
    <s v="S-102"/>
    <s v="Sunrise Industries"/>
    <n v="452"/>
    <n v="475.1"/>
    <d v="2025-02-05T00:00:00"/>
    <d v="2025-02-19T00:00:00"/>
    <n v="97.51"/>
    <n v="214745.2"/>
    <n v="44074.520000000004"/>
    <n v="14"/>
    <n v="0.20524100189433803"/>
  </r>
  <r>
    <s v="PROD-1539"/>
    <s v="Office Chair"/>
    <x v="4"/>
    <s v="S-102"/>
    <s v="Sunrise Industries"/>
    <n v="358"/>
    <n v="351.43"/>
    <d v="2025-06-02T00:00:00"/>
    <d v="2025-06-12T00:00:00"/>
    <n v="64.72"/>
    <n v="125811.94"/>
    <n v="23169.759999999998"/>
    <n v="10"/>
    <n v="0.18416185300059756"/>
  </r>
  <r>
    <s v="PROD-1540"/>
    <s v="Pen Set"/>
    <x v="0"/>
    <s v="S-104"/>
    <s v="Modern Home Supplies"/>
    <n v="351"/>
    <n v="104.31"/>
    <d v="2025-05-15T00:00:00"/>
    <d v="2025-06-03T00:00:00"/>
    <n v="26.7"/>
    <n v="36612.81"/>
    <n v="9371.6999999999989"/>
    <n v="19"/>
    <n v="0.25596778832326716"/>
  </r>
  <r>
    <s v="PROD-1541"/>
    <s v="Smartphone"/>
    <x v="2"/>
    <s v="S-102"/>
    <s v="Sunrise Industries"/>
    <n v="307"/>
    <n v="154.22"/>
    <d v="2025-03-08T00:00:00"/>
    <d v="2025-04-07T00:00:00"/>
    <n v="31.71"/>
    <n v="47345.54"/>
    <n v="9734.9700000000012"/>
    <n v="30"/>
    <n v="0.2056153546881079"/>
  </r>
  <r>
    <s v="PROD-1542"/>
    <s v="Almonds"/>
    <x v="3"/>
    <s v="S-102"/>
    <s v="Sunrise Industries"/>
    <n v="141"/>
    <n v="254.32"/>
    <d v="2025-01-25T00:00:00"/>
    <d v="2025-01-29T00:00:00"/>
    <n v="53.77"/>
    <n v="35859.120000000003"/>
    <n v="7581.5700000000006"/>
    <n v="4"/>
    <n v="0.21142654922931742"/>
  </r>
  <r>
    <s v="PROD-1543"/>
    <s v="Hoodie"/>
    <x v="1"/>
    <s v="S-103"/>
    <s v="Elite Paper Co"/>
    <n v="255"/>
    <n v="7.9"/>
    <d v="2025-02-04T00:00:00"/>
    <d v="2025-02-21T00:00:00"/>
    <n v="1.52"/>
    <n v="2014.5"/>
    <n v="387.6"/>
    <n v="17"/>
    <n v="0.19240506329113924"/>
  </r>
  <r>
    <s v="PROD-1544"/>
    <s v="Hoodie"/>
    <x v="1"/>
    <s v="S-103"/>
    <s v="Elite Paper Co"/>
    <n v="249"/>
    <n v="425.62"/>
    <d v="2025-02-23T00:00:00"/>
    <d v="2025-03-16T00:00:00"/>
    <n v="62.79"/>
    <n v="105979.38"/>
    <n v="15634.71"/>
    <n v="21"/>
    <n v="0.14752596212583996"/>
  </r>
  <r>
    <s v="PROD-1545"/>
    <s v="Marker"/>
    <x v="0"/>
    <s v="S-105"/>
    <s v="Fresh Mart Logistics"/>
    <n v="362"/>
    <n v="425.5"/>
    <d v="2025-01-17T00:00:00"/>
    <d v="2025-01-23T00:00:00"/>
    <n v="119.59"/>
    <n v="154031"/>
    <n v="43291.58"/>
    <n v="6"/>
    <n v="0.28105757931844888"/>
  </r>
  <r>
    <s v="PROD-1546"/>
    <s v="Laptop"/>
    <x v="2"/>
    <s v="S-104"/>
    <s v="Modern Home Supplies"/>
    <n v="375"/>
    <n v="182.69"/>
    <d v="2025-05-22T00:00:00"/>
    <d v="2025-06-17T00:00:00"/>
    <n v="21.01"/>
    <n v="68508.75"/>
    <n v="7878.7500000000009"/>
    <n v="26"/>
    <n v="0.11500355793967924"/>
  </r>
  <r>
    <s v="PROD-1547"/>
    <s v="Tablet"/>
    <x v="2"/>
    <s v="S-103"/>
    <s v="Elite Paper Co"/>
    <n v="128"/>
    <n v="424.62"/>
    <d v="2025-05-28T00:00:00"/>
    <d v="2025-06-13T00:00:00"/>
    <n v="90.37"/>
    <n v="54351.360000000001"/>
    <n v="11567.36"/>
    <n v="16"/>
    <n v="0.21282558522914607"/>
  </r>
  <r>
    <s v="PROD-1548"/>
    <s v="Headphones"/>
    <x v="2"/>
    <s v="S-104"/>
    <s v="Modern Home Supplies"/>
    <n v="223"/>
    <n v="181.99"/>
    <d v="2025-03-18T00:00:00"/>
    <d v="2025-04-09T00:00:00"/>
    <n v="20.96"/>
    <n v="40583.770000000004"/>
    <n v="4674.08"/>
    <n v="22"/>
    <n v="0.11517116325072806"/>
  </r>
  <r>
    <s v="PROD-1549"/>
    <s v="Coffee Beans"/>
    <x v="3"/>
    <s v="S-105"/>
    <s v="Fresh Mart Logistics"/>
    <n v="85"/>
    <n v="219.85"/>
    <d v="2025-04-03T00:00:00"/>
    <d v="2025-04-28T00:00:00"/>
    <n v="52.16"/>
    <n v="18687.25"/>
    <n v="4433.5999999999995"/>
    <n v="25"/>
    <n v="0.2372526722765522"/>
  </r>
  <r>
    <s v="PROD-1550"/>
    <s v="Organic Tea"/>
    <x v="3"/>
    <s v="S-102"/>
    <s v="Sunrise Industries"/>
    <n v="250"/>
    <n v="488.13"/>
    <d v="2025-05-27T00:00:00"/>
    <d v="2025-06-13T00:00:00"/>
    <n v="80.86"/>
    <n v="122032.5"/>
    <n v="20215"/>
    <n v="17"/>
    <n v="0.16565259254706738"/>
  </r>
  <r>
    <s v="PROD-1551"/>
    <s v="Marker"/>
    <x v="0"/>
    <s v="S-102"/>
    <s v="Sunrise Industries"/>
    <n v="481"/>
    <n v="372.42"/>
    <d v="2025-01-24T00:00:00"/>
    <d v="2025-02-02T00:00:00"/>
    <n v="42.08"/>
    <n v="179134.02000000002"/>
    <n v="20240.48"/>
    <n v="9"/>
    <n v="0.11299070941410234"/>
  </r>
  <r>
    <s v="PROD-1552"/>
    <s v="Marker"/>
    <x v="0"/>
    <s v="S-105"/>
    <s v="Fresh Mart Logistics"/>
    <n v="304"/>
    <n v="316.06"/>
    <d v="2025-06-09T00:00:00"/>
    <d v="2025-06-30T00:00:00"/>
    <n v="65.319999999999993"/>
    <n v="96082.240000000005"/>
    <n v="19857.28"/>
    <n v="21"/>
    <n v="0.20666961969246345"/>
  </r>
  <r>
    <s v="PROD-1553"/>
    <s v="Cap"/>
    <x v="1"/>
    <s v="S-103"/>
    <s v="Elite Paper Co"/>
    <n v="229"/>
    <n v="357.25"/>
    <d v="2025-06-04T00:00:00"/>
    <d v="2025-06-25T00:00:00"/>
    <n v="85.69"/>
    <n v="81810.25"/>
    <n v="19623.009999999998"/>
    <n v="21"/>
    <n v="0.23986004198740377"/>
  </r>
  <r>
    <s v="PROD-1554"/>
    <s v="Almonds"/>
    <x v="3"/>
    <s v="S-101"/>
    <s v="Global Tech Corp"/>
    <n v="149"/>
    <n v="352.66"/>
    <d v="2025-02-11T00:00:00"/>
    <d v="2025-02-28T00:00:00"/>
    <n v="102.24"/>
    <n v="52546.340000000004"/>
    <n v="15233.759999999998"/>
    <n v="17"/>
    <n v="0.28991096240004532"/>
  </r>
  <r>
    <s v="PROD-1555"/>
    <s v="Laptop"/>
    <x v="2"/>
    <s v="S-104"/>
    <s v="Modern Home Supplies"/>
    <n v="194"/>
    <n v="316.49"/>
    <d v="2025-01-17T00:00:00"/>
    <d v="2025-01-25T00:00:00"/>
    <n v="73.61"/>
    <n v="61399.060000000005"/>
    <n v="14280.34"/>
    <n v="8"/>
    <n v="0.23258238806913331"/>
  </r>
  <r>
    <s v="PROD-1556"/>
    <s v="Dark Chocolate"/>
    <x v="3"/>
    <s v="S-103"/>
    <s v="Elite Paper Co"/>
    <n v="292"/>
    <n v="412.7"/>
    <d v="2025-02-23T00:00:00"/>
    <d v="2025-03-12T00:00:00"/>
    <n v="59.82"/>
    <n v="120508.4"/>
    <n v="17467.439999999999"/>
    <n v="17"/>
    <n v="0.14494790404652291"/>
  </r>
  <r>
    <s v="PROD-1557"/>
    <s v="Notebook"/>
    <x v="0"/>
    <s v="S-101"/>
    <s v="Global Tech Corp"/>
    <n v="451"/>
    <n v="6.1"/>
    <d v="2025-03-14T00:00:00"/>
    <d v="2025-04-03T00:00:00"/>
    <n v="0.88"/>
    <n v="2751.1"/>
    <n v="396.88"/>
    <n v="20"/>
    <n v="0.14426229508196722"/>
  </r>
  <r>
    <s v="PROD-1558"/>
    <s v="Notebook"/>
    <x v="0"/>
    <s v="S-103"/>
    <s v="Elite Paper Co"/>
    <n v="346"/>
    <n v="406.48"/>
    <d v="2025-02-23T00:00:00"/>
    <d v="2025-03-11T00:00:00"/>
    <n v="48.57"/>
    <n v="140642.08000000002"/>
    <n v="16805.22"/>
    <n v="16"/>
    <n v="0.11948927376500688"/>
  </r>
  <r>
    <s v="PROD-1559"/>
    <s v="Almonds"/>
    <x v="3"/>
    <s v="S-105"/>
    <s v="Fresh Mart Logistics"/>
    <n v="120"/>
    <n v="229.36"/>
    <d v="2025-06-21T00:00:00"/>
    <d v="2025-06-22T00:00:00"/>
    <n v="46.8"/>
    <n v="27523.200000000001"/>
    <n v="5616"/>
    <n v="1"/>
    <n v="0.20404604115800487"/>
  </r>
  <r>
    <s v="PROD-1560"/>
    <s v="Cap"/>
    <x v="1"/>
    <s v="S-102"/>
    <s v="Sunrise Industries"/>
    <n v="98"/>
    <n v="483.95"/>
    <d v="2025-04-08T00:00:00"/>
    <d v="2025-04-30T00:00:00"/>
    <n v="59.28"/>
    <n v="47427.1"/>
    <n v="5809.4400000000005"/>
    <n v="22"/>
    <n v="0.12249199297448084"/>
  </r>
  <r>
    <s v="PROD-1561"/>
    <s v="Desk Lamp"/>
    <x v="4"/>
    <s v="S-102"/>
    <s v="Sunrise Industries"/>
    <n v="30"/>
    <n v="282.06"/>
    <d v="2025-01-19T00:00:00"/>
    <d v="2025-02-06T00:00:00"/>
    <n v="82.67"/>
    <n v="8461.7999999999993"/>
    <n v="2480.1"/>
    <n v="18"/>
    <n v="0.29309366801389775"/>
  </r>
  <r>
    <s v="PROD-1562"/>
    <s v="Organic Tea"/>
    <x v="3"/>
    <s v="S-104"/>
    <s v="Modern Home Supplies"/>
    <n v="426"/>
    <n v="40.159999999999997"/>
    <d v="2025-02-03T00:00:00"/>
    <d v="2025-02-15T00:00:00"/>
    <n v="9.18"/>
    <n v="17108.16"/>
    <n v="3910.68"/>
    <n v="12"/>
    <n v="0.22858565737051795"/>
  </r>
  <r>
    <s v="PROD-1563"/>
    <s v="Desk Organizer"/>
    <x v="0"/>
    <s v="S-102"/>
    <s v="Sunrise Industries"/>
    <n v="390"/>
    <n v="314.87"/>
    <d v="2025-02-09T00:00:00"/>
    <d v="2025-03-05T00:00:00"/>
    <n v="77.489999999999995"/>
    <n v="122799.3"/>
    <n v="30221.1"/>
    <n v="24"/>
    <n v="0.24610156572553751"/>
  </r>
  <r>
    <s v="PROD-1564"/>
    <s v="Desk Organizer"/>
    <x v="0"/>
    <s v="S-103"/>
    <s v="Elite Paper Co"/>
    <n v="182"/>
    <n v="351.87"/>
    <d v="2025-04-13T00:00:00"/>
    <d v="2025-04-23T00:00:00"/>
    <n v="102.03"/>
    <n v="64040.340000000004"/>
    <n v="18569.46"/>
    <n v="10"/>
    <n v="0.28996504390826155"/>
  </r>
  <r>
    <s v="PROD-1565"/>
    <s v="Bookshelf"/>
    <x v="4"/>
    <s v="S-102"/>
    <s v="Sunrise Industries"/>
    <n v="49"/>
    <n v="440.41"/>
    <d v="2025-03-03T00:00:00"/>
    <d v="2025-03-19T00:00:00"/>
    <n v="109.11"/>
    <n v="21580.09"/>
    <n v="5346.39"/>
    <n v="16"/>
    <n v="0.2477464181103971"/>
  </r>
  <r>
    <s v="PROD-1566"/>
    <s v="Hoodie"/>
    <x v="1"/>
    <s v="S-105"/>
    <s v="Fresh Mart Logistics"/>
    <n v="252"/>
    <n v="438.37"/>
    <d v="2025-04-06T00:00:00"/>
    <d v="2025-04-11T00:00:00"/>
    <n v="58.02"/>
    <n v="110469.24"/>
    <n v="14621.04"/>
    <n v="5"/>
    <n v="0.13235394757852956"/>
  </r>
  <r>
    <s v="PROD-1567"/>
    <s v="Coffee Beans"/>
    <x v="3"/>
    <s v="S-102"/>
    <s v="Sunrise Industries"/>
    <n v="169"/>
    <n v="199.09"/>
    <d v="2025-02-23T00:00:00"/>
    <d v="2025-02-25T00:00:00"/>
    <n v="36.78"/>
    <n v="33646.21"/>
    <n v="6215.8200000000006"/>
    <n v="2"/>
    <n v="0.18474056959164198"/>
  </r>
  <r>
    <s v="PROD-1568"/>
    <s v="Office Chair"/>
    <x v="4"/>
    <s v="S-104"/>
    <s v="Modern Home Supplies"/>
    <n v="65"/>
    <n v="387.69"/>
    <d v="2025-05-24T00:00:00"/>
    <d v="2025-05-26T00:00:00"/>
    <n v="55.19"/>
    <n v="25199.85"/>
    <n v="3587.35"/>
    <n v="2"/>
    <n v="0.14235600608733781"/>
  </r>
  <r>
    <s v="PROD-1569"/>
    <s v="Cap"/>
    <x v="1"/>
    <s v="S-105"/>
    <s v="Fresh Mart Logistics"/>
    <n v="343"/>
    <n v="484.89"/>
    <d v="2025-05-26T00:00:00"/>
    <d v="2025-06-17T00:00:00"/>
    <n v="102.37"/>
    <n v="166317.26999999999"/>
    <n v="35112.910000000003"/>
    <n v="22"/>
    <n v="0.21112004784590321"/>
  </r>
  <r>
    <s v="PROD-1570"/>
    <s v="Socks"/>
    <x v="1"/>
    <s v="S-103"/>
    <s v="Elite Paper Co"/>
    <n v="410"/>
    <n v="262.77"/>
    <d v="2025-03-21T00:00:00"/>
    <d v="2025-03-23T00:00:00"/>
    <n v="45.19"/>
    <n v="107735.7"/>
    <n v="18527.899999999998"/>
    <n v="2"/>
    <n v="0.17197549187502378"/>
  </r>
  <r>
    <s v="PROD-1571"/>
    <s v="Office Chair"/>
    <x v="4"/>
    <s v="S-104"/>
    <s v="Modern Home Supplies"/>
    <n v="387"/>
    <n v="497.46"/>
    <d v="2025-03-25T00:00:00"/>
    <d v="2025-04-13T00:00:00"/>
    <n v="132.94"/>
    <n v="192517.02"/>
    <n v="51447.78"/>
    <n v="19"/>
    <n v="0.26723756683954492"/>
  </r>
  <r>
    <s v="PROD-1572"/>
    <s v="Bookshelf"/>
    <x v="4"/>
    <s v="S-105"/>
    <s v="Fresh Mart Logistics"/>
    <n v="377"/>
    <n v="268.48"/>
    <d v="2025-06-28T00:00:00"/>
    <d v="2025-06-30T00:00:00"/>
    <n v="70.150000000000006"/>
    <n v="101216.96000000001"/>
    <n v="26446.550000000003"/>
    <n v="2"/>
    <n v="0.26128575685339689"/>
  </r>
  <r>
    <s v="PROD-1573"/>
    <s v="Laptop"/>
    <x v="2"/>
    <s v="S-103"/>
    <s v="Elite Paper Co"/>
    <n v="453"/>
    <n v="121.21"/>
    <d v="2025-06-22T00:00:00"/>
    <d v="2025-07-12T00:00:00"/>
    <n v="28.84"/>
    <n v="54908.13"/>
    <n v="13064.52"/>
    <n v="20"/>
    <n v="0.23793416384786734"/>
  </r>
  <r>
    <s v="PROD-1574"/>
    <s v="Headphones"/>
    <x v="2"/>
    <s v="S-104"/>
    <s v="Modern Home Supplies"/>
    <n v="432"/>
    <n v="70.5"/>
    <d v="2025-01-04T00:00:00"/>
    <d v="2025-01-27T00:00:00"/>
    <n v="10.37"/>
    <n v="30456"/>
    <n v="4479.8399999999992"/>
    <n v="23"/>
    <n v="0.14709219858156028"/>
  </r>
  <r>
    <s v="PROD-1575"/>
    <s v="Bookshelf"/>
    <x v="4"/>
    <s v="S-103"/>
    <s v="Elite Paper Co"/>
    <n v="205"/>
    <n v="152.08000000000001"/>
    <d v="2025-03-25T00:00:00"/>
    <d v="2025-04-22T00:00:00"/>
    <n v="26.39"/>
    <n v="31176.400000000001"/>
    <n v="5409.95"/>
    <n v="28"/>
    <n v="0.17352709100473435"/>
  </r>
  <r>
    <s v="PROD-1576"/>
    <s v="Pen Set"/>
    <x v="0"/>
    <s v="S-105"/>
    <s v="Fresh Mart Logistics"/>
    <n v="150"/>
    <n v="461.73"/>
    <d v="2025-05-30T00:00:00"/>
    <d v="2025-06-16T00:00:00"/>
    <n v="67.5"/>
    <n v="69259.5"/>
    <n v="10125"/>
    <n v="17"/>
    <n v="0.1461893314274576"/>
  </r>
  <r>
    <s v="PROD-1577"/>
    <s v="Almonds"/>
    <x v="3"/>
    <s v="S-101"/>
    <s v="Global Tech Corp"/>
    <n v="266"/>
    <n v="9.74"/>
    <d v="2025-01-31T00:00:00"/>
    <d v="2025-02-07T00:00:00"/>
    <n v="1.8"/>
    <n v="2590.84"/>
    <n v="478.8"/>
    <n v="7"/>
    <n v="0.18480492813141683"/>
  </r>
  <r>
    <s v="PROD-1578"/>
    <s v="Stool"/>
    <x v="4"/>
    <s v="S-101"/>
    <s v="Global Tech Corp"/>
    <n v="136"/>
    <n v="184.4"/>
    <d v="2025-03-05T00:00:00"/>
    <d v="2025-03-25T00:00:00"/>
    <n v="32.729999999999997"/>
    <n v="25078.400000000001"/>
    <n v="4451.28"/>
    <n v="20"/>
    <n v="0.17749457700650756"/>
  </r>
  <r>
    <s v="PROD-1579"/>
    <s v="Office Chair"/>
    <x v="4"/>
    <s v="S-102"/>
    <s v="Sunrise Industries"/>
    <n v="103"/>
    <n v="84.97"/>
    <d v="2025-01-10T00:00:00"/>
    <d v="2025-01-30T00:00:00"/>
    <n v="13.24"/>
    <n v="8751.91"/>
    <n v="1363.72"/>
    <n v="20"/>
    <n v="0.15581970107096624"/>
  </r>
  <r>
    <s v="PROD-1580"/>
    <s v="Bookshelf"/>
    <x v="4"/>
    <s v="S-105"/>
    <s v="Fresh Mart Logistics"/>
    <n v="199"/>
    <n v="33.32"/>
    <d v="2025-01-02T00:00:00"/>
    <d v="2025-01-24T00:00:00"/>
    <n v="8.92"/>
    <n v="6630.68"/>
    <n v="1775.08"/>
    <n v="22"/>
    <n v="0.26770708283313327"/>
  </r>
  <r>
    <s v="PROD-1581"/>
    <s v="Laptop"/>
    <x v="2"/>
    <s v="S-105"/>
    <s v="Fresh Mart Logistics"/>
    <n v="43"/>
    <n v="106.93"/>
    <d v="2025-04-17T00:00:00"/>
    <d v="2025-04-27T00:00:00"/>
    <n v="15.08"/>
    <n v="4597.9900000000007"/>
    <n v="648.44000000000005"/>
    <n v="10"/>
    <n v="0.14102683998877769"/>
  </r>
  <r>
    <s v="PROD-1582"/>
    <s v="Desk Organizer"/>
    <x v="0"/>
    <s v="S-104"/>
    <s v="Modern Home Supplies"/>
    <n v="272"/>
    <n v="263.61"/>
    <d v="2025-05-19T00:00:00"/>
    <d v="2025-06-01T00:00:00"/>
    <n v="77.61"/>
    <n v="71701.919999999998"/>
    <n v="21109.919999999998"/>
    <n v="13"/>
    <n v="0.29441219984067368"/>
  </r>
  <r>
    <s v="PROD-1583"/>
    <s v="Desk Lamp"/>
    <x v="4"/>
    <s v="S-104"/>
    <s v="Modern Home Supplies"/>
    <n v="57"/>
    <n v="425.48"/>
    <d v="2025-06-27T00:00:00"/>
    <d v="2025-07-17T00:00:00"/>
    <n v="65.25"/>
    <n v="24252.36"/>
    <n v="3719.25"/>
    <n v="20"/>
    <n v="0.15335620945755382"/>
  </r>
  <r>
    <s v="PROD-1584"/>
    <s v="Headphones"/>
    <x v="2"/>
    <s v="S-104"/>
    <s v="Modern Home Supplies"/>
    <n v="443"/>
    <n v="7.99"/>
    <d v="2025-01-11T00:00:00"/>
    <d v="2025-01-20T00:00:00"/>
    <n v="2.02"/>
    <n v="3539.57"/>
    <n v="894.86"/>
    <n v="9"/>
    <n v="0.25281602002503129"/>
  </r>
  <r>
    <s v="PROD-1585"/>
    <s v="Cap"/>
    <x v="1"/>
    <s v="S-102"/>
    <s v="Sunrise Industries"/>
    <n v="60"/>
    <n v="348.74"/>
    <d v="2025-04-14T00:00:00"/>
    <d v="2025-04-21T00:00:00"/>
    <n v="79.290000000000006"/>
    <n v="20924.400000000001"/>
    <n v="4757.4000000000005"/>
    <n v="7"/>
    <n v="0.22736135803177154"/>
  </r>
  <r>
    <s v="PROD-1586"/>
    <s v="Cap"/>
    <x v="1"/>
    <s v="S-104"/>
    <s v="Modern Home Supplies"/>
    <n v="300"/>
    <n v="371.43"/>
    <d v="2025-05-10T00:00:00"/>
    <d v="2025-06-03T00:00:00"/>
    <n v="78.09"/>
    <n v="111429"/>
    <n v="23427"/>
    <n v="24"/>
    <n v="0.21024149907115741"/>
  </r>
  <r>
    <s v="PROD-1587"/>
    <s v="Bookshelf"/>
    <x v="4"/>
    <s v="S-105"/>
    <s v="Fresh Mart Logistics"/>
    <n v="432"/>
    <n v="407.65"/>
    <d v="2025-04-27T00:00:00"/>
    <d v="2025-05-25T00:00:00"/>
    <n v="93.19"/>
    <n v="176104.8"/>
    <n v="40258.080000000002"/>
    <n v="28"/>
    <n v="0.22860296823255244"/>
  </r>
  <r>
    <s v="PROD-1588"/>
    <s v="Hoodie"/>
    <x v="1"/>
    <s v="S-104"/>
    <s v="Modern Home Supplies"/>
    <n v="368"/>
    <n v="418.08"/>
    <d v="2025-01-04T00:00:00"/>
    <d v="2025-01-25T00:00:00"/>
    <n v="105.44"/>
    <n v="153853.44"/>
    <n v="38801.919999999998"/>
    <n v="21"/>
    <n v="0.25220053578262536"/>
  </r>
  <r>
    <s v="PROD-1589"/>
    <s v="T-Shirt"/>
    <x v="1"/>
    <s v="S-104"/>
    <s v="Modern Home Supplies"/>
    <n v="220"/>
    <n v="369.57"/>
    <d v="2025-01-06T00:00:00"/>
    <d v="2025-01-15T00:00:00"/>
    <n v="77.040000000000006"/>
    <n v="81305.399999999994"/>
    <n v="16948.800000000003"/>
    <n v="9"/>
    <n v="0.20845847877262766"/>
  </r>
  <r>
    <s v="PROD-1590"/>
    <s v="Headphones"/>
    <x v="2"/>
    <s v="S-102"/>
    <s v="Sunrise Industries"/>
    <n v="404"/>
    <n v="413.13"/>
    <d v="2025-02-26T00:00:00"/>
    <d v="2025-03-18T00:00:00"/>
    <n v="56.11"/>
    <n v="166904.51999999999"/>
    <n v="22668.44"/>
    <n v="20"/>
    <n v="0.13581681310967492"/>
  </r>
  <r>
    <s v="PROD-1591"/>
    <s v="Marker"/>
    <x v="0"/>
    <s v="S-101"/>
    <s v="Global Tech Corp"/>
    <n v="198"/>
    <n v="135.91999999999999"/>
    <d v="2025-02-12T00:00:00"/>
    <d v="2025-03-02T00:00:00"/>
    <n v="37"/>
    <n v="26912.159999999996"/>
    <n v="7326"/>
    <n v="18"/>
    <n v="0.27221895232489701"/>
  </r>
  <r>
    <s v="PROD-1592"/>
    <s v="Hoodie"/>
    <x v="1"/>
    <s v="S-102"/>
    <s v="Sunrise Industries"/>
    <n v="195"/>
    <n v="484.31"/>
    <d v="2025-01-14T00:00:00"/>
    <d v="2025-02-04T00:00:00"/>
    <n v="126.13"/>
    <n v="94440.45"/>
    <n v="24595.35"/>
    <n v="21"/>
    <n v="0.26043236769837502"/>
  </r>
  <r>
    <s v="PROD-1593"/>
    <s v="Dark Chocolate"/>
    <x v="3"/>
    <s v="S-103"/>
    <s v="Elite Paper Co"/>
    <n v="344"/>
    <n v="9.32"/>
    <d v="2025-02-14T00:00:00"/>
    <d v="2025-03-03T00:00:00"/>
    <n v="1.97"/>
    <n v="3206.08"/>
    <n v="677.68"/>
    <n v="17"/>
    <n v="0.21137339055793991"/>
  </r>
  <r>
    <s v="PROD-1594"/>
    <s v="Marker"/>
    <x v="0"/>
    <s v="S-104"/>
    <s v="Modern Home Supplies"/>
    <n v="68"/>
    <n v="419.01"/>
    <d v="2025-06-08T00:00:00"/>
    <d v="2025-06-27T00:00:00"/>
    <n v="55.56"/>
    <n v="28492.68"/>
    <n v="3778.08"/>
    <n v="19"/>
    <n v="0.13259826734445479"/>
  </r>
  <r>
    <s v="PROD-1595"/>
    <s v="Almonds"/>
    <x v="3"/>
    <s v="S-103"/>
    <s v="Elite Paper Co"/>
    <n v="388"/>
    <n v="197.07"/>
    <d v="2025-06-12T00:00:00"/>
    <d v="2025-06-29T00:00:00"/>
    <n v="19.88"/>
    <n v="76463.16"/>
    <n v="7713.44"/>
    <n v="17"/>
    <n v="0.1008778606586492"/>
  </r>
  <r>
    <s v="PROD-1596"/>
    <s v="Laptop"/>
    <x v="2"/>
    <s v="S-102"/>
    <s v="Sunrise Industries"/>
    <n v="45"/>
    <n v="25.83"/>
    <d v="2025-06-13T00:00:00"/>
    <d v="2025-07-10T00:00:00"/>
    <n v="6.94"/>
    <n v="1162.3499999999999"/>
    <n v="312.3"/>
    <n v="27"/>
    <n v="0.26867982965543946"/>
  </r>
  <r>
    <s v="PROD-1597"/>
    <s v="Coffee Beans"/>
    <x v="3"/>
    <s v="S-102"/>
    <s v="Sunrise Industries"/>
    <n v="335"/>
    <n v="11"/>
    <d v="2025-03-10T00:00:00"/>
    <d v="2025-04-06T00:00:00"/>
    <n v="2.19"/>
    <n v="3685"/>
    <n v="733.65"/>
    <n v="27"/>
    <n v="0.1990909090909091"/>
  </r>
  <r>
    <s v="PROD-1598"/>
    <s v="Notebook"/>
    <x v="0"/>
    <s v="S-101"/>
    <s v="Global Tech Corp"/>
    <n v="81"/>
    <n v="280.47000000000003"/>
    <d v="2025-05-08T00:00:00"/>
    <d v="2025-05-25T00:00:00"/>
    <n v="57.08"/>
    <n v="22718.070000000003"/>
    <n v="4623.4799999999996"/>
    <n v="17"/>
    <n v="0.20351552750739826"/>
  </r>
  <r>
    <s v="PROD-1599"/>
    <s v="Stool"/>
    <x v="4"/>
    <s v="S-105"/>
    <s v="Fresh Mart Logistics"/>
    <n v="357"/>
    <n v="168.62"/>
    <d v="2025-05-12T00:00:00"/>
    <d v="2025-06-06T00:00:00"/>
    <n v="37.590000000000003"/>
    <n v="60197.340000000004"/>
    <n v="13419.630000000001"/>
    <n v="25"/>
    <n v="0.22292729213616416"/>
  </r>
  <r>
    <s v="PROD-1600"/>
    <s v="Laptop"/>
    <x v="2"/>
    <s v="S-105"/>
    <s v="Fresh Mart Logistics"/>
    <n v="105"/>
    <n v="50.79"/>
    <d v="2025-02-06T00:00:00"/>
    <d v="2025-03-01T00:00:00"/>
    <n v="15.23"/>
    <n v="5332.95"/>
    <n v="1599.15"/>
    <n v="23"/>
    <n v="0.29986217759401457"/>
  </r>
  <r>
    <s v="PROD-1601"/>
    <s v="Tablet"/>
    <x v="2"/>
    <s v="S-105"/>
    <s v="Fresh Mart Logistics"/>
    <n v="159"/>
    <n v="345.7"/>
    <d v="2025-01-30T00:00:00"/>
    <d v="2025-02-23T00:00:00"/>
    <n v="53.55"/>
    <n v="54966.299999999996"/>
    <n v="8514.4499999999989"/>
    <n v="24"/>
    <n v="0.15490309516922188"/>
  </r>
  <r>
    <s v="PROD-1602"/>
    <s v="Laptop"/>
    <x v="2"/>
    <s v="S-104"/>
    <s v="Modern Home Supplies"/>
    <n v="346"/>
    <n v="154.27000000000001"/>
    <d v="2025-04-05T00:00:00"/>
    <d v="2025-04-22T00:00:00"/>
    <n v="41.89"/>
    <n v="53377.420000000006"/>
    <n v="14493.94"/>
    <n v="17"/>
    <n v="0.27153691579697931"/>
  </r>
  <r>
    <s v="PROD-1603"/>
    <s v="Desk Lamp"/>
    <x v="4"/>
    <s v="S-102"/>
    <s v="Sunrise Industries"/>
    <n v="115"/>
    <n v="466.95"/>
    <d v="2025-05-06T00:00:00"/>
    <d v="2025-05-19T00:00:00"/>
    <n v="53"/>
    <n v="53699.25"/>
    <n v="6095"/>
    <n v="13"/>
    <n v="0.11350251632937146"/>
  </r>
  <r>
    <s v="PROD-1604"/>
    <s v="Marker"/>
    <x v="0"/>
    <s v="S-104"/>
    <s v="Modern Home Supplies"/>
    <n v="68"/>
    <n v="261.70999999999998"/>
    <d v="2025-06-19T00:00:00"/>
    <d v="2025-06-20T00:00:00"/>
    <n v="51.06"/>
    <n v="17796.28"/>
    <n v="3472.08"/>
    <n v="1"/>
    <n v="0.19510144816781935"/>
  </r>
  <r>
    <s v="PROD-1605"/>
    <s v="Cap"/>
    <x v="1"/>
    <s v="S-105"/>
    <s v="Fresh Mart Logistics"/>
    <n v="358"/>
    <n v="208.98"/>
    <d v="2025-01-27T00:00:00"/>
    <d v="2025-02-23T00:00:00"/>
    <n v="60.4"/>
    <n v="74814.84"/>
    <n v="21623.200000000001"/>
    <n v="27"/>
    <n v="0.2890228730022012"/>
  </r>
  <r>
    <s v="PROD-1606"/>
    <s v="Pen Set"/>
    <x v="0"/>
    <s v="S-101"/>
    <s v="Global Tech Corp"/>
    <n v="357"/>
    <n v="227.65"/>
    <d v="2025-04-30T00:00:00"/>
    <d v="2025-05-06T00:00:00"/>
    <n v="52.36"/>
    <n v="81271.05"/>
    <n v="18692.52"/>
    <n v="6"/>
    <n v="0.23000219635405225"/>
  </r>
  <r>
    <s v="PROD-1607"/>
    <s v="Office Chair"/>
    <x v="4"/>
    <s v="S-102"/>
    <s v="Sunrise Industries"/>
    <n v="276"/>
    <n v="10.76"/>
    <d v="2025-05-31T00:00:00"/>
    <d v="2025-06-16T00:00:00"/>
    <n v="2.38"/>
    <n v="2969.7599999999998"/>
    <n v="656.88"/>
    <n v="16"/>
    <n v="0.22118959107806691"/>
  </r>
  <r>
    <s v="PROD-1608"/>
    <s v="Organic Tea"/>
    <x v="3"/>
    <s v="S-104"/>
    <s v="Modern Home Supplies"/>
    <n v="281"/>
    <n v="26.21"/>
    <d v="2025-02-08T00:00:00"/>
    <d v="2025-02-11T00:00:00"/>
    <n v="6.63"/>
    <n v="7365.01"/>
    <n v="1863.03"/>
    <n v="3"/>
    <n v="0.25295688668447158"/>
  </r>
  <r>
    <s v="PROD-1609"/>
    <s v="T-Shirt"/>
    <x v="1"/>
    <s v="S-103"/>
    <s v="Elite Paper Co"/>
    <n v="398"/>
    <n v="336.98"/>
    <d v="2025-06-27T00:00:00"/>
    <d v="2025-07-11T00:00:00"/>
    <n v="40.26"/>
    <n v="134118.04"/>
    <n v="16023.48"/>
    <n v="14"/>
    <n v="0.11947296575464418"/>
  </r>
  <r>
    <s v="PROD-1610"/>
    <s v="Almonds"/>
    <x v="3"/>
    <s v="S-105"/>
    <s v="Fresh Mart Logistics"/>
    <n v="90"/>
    <n v="213.15"/>
    <d v="2025-03-11T00:00:00"/>
    <d v="2025-03-17T00:00:00"/>
    <n v="50.79"/>
    <n v="19183.5"/>
    <n v="4571.1000000000004"/>
    <n v="6"/>
    <n v="0.23828289936664321"/>
  </r>
  <r>
    <s v="PROD-1611"/>
    <s v="Almonds"/>
    <x v="3"/>
    <s v="S-103"/>
    <s v="Elite Paper Co"/>
    <n v="391"/>
    <n v="328.98"/>
    <d v="2025-05-29T00:00:00"/>
    <d v="2025-06-24T00:00:00"/>
    <n v="81.150000000000006"/>
    <n v="128631.18000000001"/>
    <n v="31729.65"/>
    <n v="26"/>
    <n v="0.24667153018420573"/>
  </r>
  <r>
    <s v="PROD-1612"/>
    <s v="Socks"/>
    <x v="1"/>
    <s v="S-105"/>
    <s v="Fresh Mart Logistics"/>
    <n v="382"/>
    <n v="211.29"/>
    <d v="2025-06-26T00:00:00"/>
    <d v="2025-07-22T00:00:00"/>
    <n v="58.47"/>
    <n v="80712.78"/>
    <n v="22335.54"/>
    <n v="26"/>
    <n v="0.27672866676132329"/>
  </r>
  <r>
    <s v="PROD-1613"/>
    <s v="Almonds"/>
    <x v="3"/>
    <s v="S-103"/>
    <s v="Elite Paper Co"/>
    <n v="240"/>
    <n v="346.55"/>
    <d v="2025-06-25T00:00:00"/>
    <d v="2025-07-07T00:00:00"/>
    <n v="54.57"/>
    <n v="83172"/>
    <n v="13096.8"/>
    <n v="12"/>
    <n v="0.15746645505699033"/>
  </r>
  <r>
    <s v="PROD-1614"/>
    <s v="Coffee Beans"/>
    <x v="3"/>
    <s v="S-101"/>
    <s v="Global Tech Corp"/>
    <n v="232"/>
    <n v="355.71"/>
    <d v="2025-04-30T00:00:00"/>
    <d v="2025-05-27T00:00:00"/>
    <n v="43.72"/>
    <n v="82524.72"/>
    <n v="10143.039999999999"/>
    <n v="27"/>
    <n v="0.12290911135475528"/>
  </r>
  <r>
    <s v="PROD-1615"/>
    <s v="Almonds"/>
    <x v="3"/>
    <s v="S-103"/>
    <s v="Elite Paper Co"/>
    <n v="104"/>
    <n v="14.7"/>
    <d v="2025-01-28T00:00:00"/>
    <d v="2025-02-20T00:00:00"/>
    <n v="2.19"/>
    <n v="1528.8"/>
    <n v="227.76"/>
    <n v="23"/>
    <n v="0.1489795918367347"/>
  </r>
  <r>
    <s v="PROD-1616"/>
    <s v="Dark Chocolate"/>
    <x v="3"/>
    <s v="S-103"/>
    <s v="Elite Paper Co"/>
    <n v="321"/>
    <n v="499.72"/>
    <d v="2025-04-06T00:00:00"/>
    <d v="2025-05-05T00:00:00"/>
    <n v="91.14"/>
    <n v="160410.12"/>
    <n v="29255.94"/>
    <n v="29"/>
    <n v="0.18238213399503722"/>
  </r>
  <r>
    <s v="PROD-1617"/>
    <s v="Pen Set"/>
    <x v="0"/>
    <s v="S-102"/>
    <s v="Sunrise Industries"/>
    <n v="317"/>
    <n v="453.56"/>
    <d v="2025-03-29T00:00:00"/>
    <d v="2025-04-10T00:00:00"/>
    <n v="110.21"/>
    <n v="143778.51999999999"/>
    <n v="34936.57"/>
    <n v="12"/>
    <n v="0.24298879971778814"/>
  </r>
  <r>
    <s v="PROD-1618"/>
    <s v="Laptop"/>
    <x v="2"/>
    <s v="S-103"/>
    <s v="Elite Paper Co"/>
    <n v="102"/>
    <n v="363.98"/>
    <d v="2025-04-26T00:00:00"/>
    <d v="2025-05-14T00:00:00"/>
    <n v="58.49"/>
    <n v="37125.96"/>
    <n v="5965.9800000000005"/>
    <n v="18"/>
    <n v="0.16069564261772626"/>
  </r>
  <r>
    <s v="PROD-1619"/>
    <s v="Laptop"/>
    <x v="2"/>
    <s v="S-101"/>
    <s v="Global Tech Corp"/>
    <n v="101"/>
    <n v="315.62"/>
    <d v="2025-03-23T00:00:00"/>
    <d v="2025-03-30T00:00:00"/>
    <n v="70.22"/>
    <n v="31877.62"/>
    <n v="7092.22"/>
    <n v="7"/>
    <n v="0.22248273239972119"/>
  </r>
  <r>
    <s v="PROD-1620"/>
    <s v="Office Chair"/>
    <x v="4"/>
    <s v="S-101"/>
    <s v="Global Tech Corp"/>
    <n v="80"/>
    <n v="26.32"/>
    <d v="2025-01-15T00:00:00"/>
    <d v="2025-01-22T00:00:00"/>
    <n v="4.04"/>
    <n v="2105.6"/>
    <n v="323.2"/>
    <n v="7"/>
    <n v="0.15349544072948329"/>
  </r>
  <r>
    <s v="PROD-1621"/>
    <s v="Almonds"/>
    <x v="3"/>
    <s v="S-104"/>
    <s v="Modern Home Supplies"/>
    <n v="122"/>
    <n v="454.24"/>
    <d v="2025-04-01T00:00:00"/>
    <d v="2025-04-12T00:00:00"/>
    <n v="135.19999999999999"/>
    <n v="55417.279999999999"/>
    <n v="16494.399999999998"/>
    <n v="11"/>
    <n v="0.29764001408946811"/>
  </r>
  <r>
    <s v="PROD-1622"/>
    <s v="Headphones"/>
    <x v="2"/>
    <s v="S-103"/>
    <s v="Elite Paper Co"/>
    <n v="11"/>
    <n v="332.67"/>
    <d v="2025-06-03T00:00:00"/>
    <d v="2025-06-22T00:00:00"/>
    <n v="41.15"/>
    <n v="3659.3700000000003"/>
    <n v="452.65"/>
    <n v="19"/>
    <n v="0.12369615534914478"/>
  </r>
  <r>
    <s v="PROD-1623"/>
    <s v="Socks"/>
    <x v="1"/>
    <s v="S-104"/>
    <s v="Modern Home Supplies"/>
    <n v="346"/>
    <n v="226.13"/>
    <d v="2025-02-13T00:00:00"/>
    <d v="2025-03-14T00:00:00"/>
    <n v="25.81"/>
    <n v="78240.98"/>
    <n v="8930.26"/>
    <n v="29"/>
    <n v="0.11413788528722416"/>
  </r>
  <r>
    <s v="PROD-1624"/>
    <s v="Office Chair"/>
    <x v="4"/>
    <s v="S-103"/>
    <s v="Elite Paper Co"/>
    <n v="372"/>
    <n v="231.33"/>
    <d v="2025-05-07T00:00:00"/>
    <d v="2025-06-03T00:00:00"/>
    <n v="24.05"/>
    <n v="86054.760000000009"/>
    <n v="8946.6"/>
    <n v="27"/>
    <n v="0.1039640340638914"/>
  </r>
  <r>
    <s v="PROD-1625"/>
    <s v="Stool"/>
    <x v="4"/>
    <s v="S-103"/>
    <s v="Elite Paper Co"/>
    <n v="421"/>
    <n v="144.24"/>
    <d v="2025-04-06T00:00:00"/>
    <d v="2025-04-24T00:00:00"/>
    <n v="40.75"/>
    <n v="60725.04"/>
    <n v="17155.75"/>
    <n v="18"/>
    <n v="0.28251525235718244"/>
  </r>
  <r>
    <s v="PROD-1626"/>
    <s v="T-Shirt"/>
    <x v="1"/>
    <s v="S-105"/>
    <s v="Fresh Mart Logistics"/>
    <n v="202"/>
    <n v="289.63"/>
    <d v="2025-02-16T00:00:00"/>
    <d v="2025-02-28T00:00:00"/>
    <n v="43.72"/>
    <n v="58505.26"/>
    <n v="8831.44"/>
    <n v="12"/>
    <n v="0.1509512136173739"/>
  </r>
  <r>
    <s v="PROD-1627"/>
    <s v="Desk Organizer"/>
    <x v="0"/>
    <s v="S-102"/>
    <s v="Sunrise Industries"/>
    <n v="378"/>
    <n v="154"/>
    <d v="2025-03-17T00:00:00"/>
    <d v="2025-04-12T00:00:00"/>
    <n v="37.96"/>
    <n v="58212"/>
    <n v="14348.880000000001"/>
    <n v="26"/>
    <n v="0.24649350649350649"/>
  </r>
  <r>
    <s v="PROD-1628"/>
    <s v="Marker"/>
    <x v="0"/>
    <s v="S-101"/>
    <s v="Global Tech Corp"/>
    <n v="490"/>
    <n v="269.92"/>
    <d v="2025-01-14T00:00:00"/>
    <d v="2025-02-04T00:00:00"/>
    <n v="69.2"/>
    <n v="132260.80000000002"/>
    <n v="33908"/>
    <n v="21"/>
    <n v="0.25637225844694722"/>
  </r>
  <r>
    <s v="PROD-1629"/>
    <s v="Marker"/>
    <x v="0"/>
    <s v="S-105"/>
    <s v="Fresh Mart Logistics"/>
    <n v="458"/>
    <n v="468.4"/>
    <d v="2025-05-29T00:00:00"/>
    <d v="2025-06-13T00:00:00"/>
    <n v="122.4"/>
    <n v="214527.19999999998"/>
    <n v="56059.200000000004"/>
    <n v="15"/>
    <n v="0.26131511528608031"/>
  </r>
  <r>
    <s v="PROD-1630"/>
    <s v="Smartphone"/>
    <x v="2"/>
    <s v="S-104"/>
    <s v="Modern Home Supplies"/>
    <n v="242"/>
    <n v="239.53"/>
    <d v="2025-06-16T00:00:00"/>
    <d v="2025-07-03T00:00:00"/>
    <n v="61.1"/>
    <n v="57966.26"/>
    <n v="14786.2"/>
    <n v="17"/>
    <n v="0.25508287062163404"/>
  </r>
  <r>
    <s v="PROD-1631"/>
    <s v="Notebook"/>
    <x v="0"/>
    <s v="S-105"/>
    <s v="Fresh Mart Logistics"/>
    <n v="116"/>
    <n v="380.08"/>
    <d v="2025-05-27T00:00:00"/>
    <d v="2025-06-14T00:00:00"/>
    <n v="75.400000000000006"/>
    <n v="44089.279999999999"/>
    <n v="8746.4000000000015"/>
    <n v="18"/>
    <n v="0.19837928857082721"/>
  </r>
  <r>
    <s v="PROD-1632"/>
    <s v="Coffee Beans"/>
    <x v="3"/>
    <s v="S-104"/>
    <s v="Modern Home Supplies"/>
    <n v="463"/>
    <n v="199.72"/>
    <d v="2025-02-12T00:00:00"/>
    <d v="2025-03-02T00:00:00"/>
    <n v="34.020000000000003"/>
    <n v="92470.36"/>
    <n v="15751.260000000002"/>
    <n v="18"/>
    <n v="0.17033847386340878"/>
  </r>
  <r>
    <s v="PROD-1633"/>
    <s v="Organic Tea"/>
    <x v="3"/>
    <s v="S-102"/>
    <s v="Sunrise Industries"/>
    <n v="151"/>
    <n v="394.17"/>
    <d v="2025-04-13T00:00:00"/>
    <d v="2025-05-01T00:00:00"/>
    <n v="69.63"/>
    <n v="59519.670000000006"/>
    <n v="10514.13"/>
    <n v="18"/>
    <n v="0.17664966892457568"/>
  </r>
  <r>
    <s v="PROD-1634"/>
    <s v="Office Chair"/>
    <x v="4"/>
    <s v="S-104"/>
    <s v="Modern Home Supplies"/>
    <n v="370"/>
    <n v="274.79000000000002"/>
    <d v="2025-02-13T00:00:00"/>
    <d v="2025-02-28T00:00:00"/>
    <n v="61.65"/>
    <n v="101672.3"/>
    <n v="22810.5"/>
    <n v="15"/>
    <n v="0.22435314239965062"/>
  </r>
  <r>
    <s v="PROD-1635"/>
    <s v="Desk Lamp"/>
    <x v="4"/>
    <s v="S-102"/>
    <s v="Sunrise Industries"/>
    <n v="104"/>
    <n v="207.62"/>
    <d v="2025-02-07T00:00:00"/>
    <d v="2025-02-22T00:00:00"/>
    <n v="42.03"/>
    <n v="21592.48"/>
    <n v="4371.12"/>
    <n v="15"/>
    <n v="0.20243714478373953"/>
  </r>
  <r>
    <s v="PROD-1636"/>
    <s v="Desk Lamp"/>
    <x v="4"/>
    <s v="S-105"/>
    <s v="Fresh Mart Logistics"/>
    <n v="93"/>
    <n v="355.82"/>
    <d v="2025-06-24T00:00:00"/>
    <d v="2025-07-21T00:00:00"/>
    <n v="75.59"/>
    <n v="33091.26"/>
    <n v="7029.87"/>
    <n v="27"/>
    <n v="0.21243887358776911"/>
  </r>
  <r>
    <s v="PROD-1637"/>
    <s v="Dark Chocolate"/>
    <x v="3"/>
    <s v="S-105"/>
    <s v="Fresh Mart Logistics"/>
    <n v="268"/>
    <n v="46.62"/>
    <d v="2025-04-24T00:00:00"/>
    <d v="2025-05-09T00:00:00"/>
    <n v="5.71"/>
    <n v="12494.16"/>
    <n v="1530.28"/>
    <n v="15"/>
    <n v="0.12247962247962249"/>
  </r>
  <r>
    <s v="PROD-1638"/>
    <s v="Laptop"/>
    <x v="2"/>
    <s v="S-101"/>
    <s v="Global Tech Corp"/>
    <n v="311"/>
    <n v="84.77"/>
    <d v="2025-03-05T00:00:00"/>
    <d v="2025-03-17T00:00:00"/>
    <n v="8.9600000000000009"/>
    <n v="26363.469999999998"/>
    <n v="2786.5600000000004"/>
    <n v="12"/>
    <n v="0.10569777043765484"/>
  </r>
  <r>
    <s v="PROD-1639"/>
    <s v="Desk Lamp"/>
    <x v="4"/>
    <s v="S-101"/>
    <s v="Global Tech Corp"/>
    <n v="55"/>
    <n v="491.88"/>
    <d v="2025-06-10T00:00:00"/>
    <d v="2025-06-14T00:00:00"/>
    <n v="100.85"/>
    <n v="27053.4"/>
    <n v="5546.75"/>
    <n v="4"/>
    <n v="0.20502968203626901"/>
  </r>
  <r>
    <s v="PROD-1640"/>
    <s v="Desk Lamp"/>
    <x v="4"/>
    <s v="S-101"/>
    <s v="Global Tech Corp"/>
    <n v="343"/>
    <n v="424.17"/>
    <d v="2025-05-07T00:00:00"/>
    <d v="2025-05-30T00:00:00"/>
    <n v="110.64"/>
    <n v="145490.31"/>
    <n v="37949.519999999997"/>
    <n v="23"/>
    <n v="0.26083881462621117"/>
  </r>
  <r>
    <s v="PROD-1641"/>
    <s v="T-Shirt"/>
    <x v="1"/>
    <s v="S-104"/>
    <s v="Modern Home Supplies"/>
    <n v="326"/>
    <n v="30.38"/>
    <d v="2025-05-20T00:00:00"/>
    <d v="2025-05-26T00:00:00"/>
    <n v="7.41"/>
    <n v="9903.8799999999992"/>
    <n v="2415.66"/>
    <n v="6"/>
    <n v="0.24391046741277159"/>
  </r>
  <r>
    <s v="PROD-1642"/>
    <s v="Socks"/>
    <x v="1"/>
    <s v="S-105"/>
    <s v="Fresh Mart Logistics"/>
    <n v="354"/>
    <n v="137.19"/>
    <d v="2025-02-15T00:00:00"/>
    <d v="2025-02-21T00:00:00"/>
    <n v="36.14"/>
    <n v="48565.26"/>
    <n v="12793.56"/>
    <n v="6"/>
    <n v="0.263430279174867"/>
  </r>
  <r>
    <s v="PROD-1643"/>
    <s v="Almonds"/>
    <x v="3"/>
    <s v="S-103"/>
    <s v="Elite Paper Co"/>
    <n v="478"/>
    <n v="169.57"/>
    <d v="2025-06-03T00:00:00"/>
    <d v="2025-06-10T00:00:00"/>
    <n v="22.61"/>
    <n v="81054.459999999992"/>
    <n v="10807.58"/>
    <n v="7"/>
    <n v="0.13333726484637612"/>
  </r>
  <r>
    <s v="PROD-1644"/>
    <s v="Desk Lamp"/>
    <x v="4"/>
    <s v="S-105"/>
    <s v="Fresh Mart Logistics"/>
    <n v="429"/>
    <n v="380.39"/>
    <d v="2025-01-04T00:00:00"/>
    <d v="2025-01-06T00:00:00"/>
    <n v="113.77"/>
    <n v="163187.31"/>
    <n v="48807.33"/>
    <n v="2"/>
    <n v="0.29908777833276373"/>
  </r>
  <r>
    <s v="PROD-1645"/>
    <s v="Organic Tea"/>
    <x v="3"/>
    <s v="S-101"/>
    <s v="Global Tech Corp"/>
    <n v="213"/>
    <n v="121.45"/>
    <d v="2025-04-09T00:00:00"/>
    <d v="2025-04-17T00:00:00"/>
    <n v="23.08"/>
    <n v="25868.850000000002"/>
    <n v="4916.04"/>
    <n v="8"/>
    <n v="0.19003705228489087"/>
  </r>
  <r>
    <s v="PROD-1646"/>
    <s v="Desk Organizer"/>
    <x v="0"/>
    <s v="S-105"/>
    <s v="Fresh Mart Logistics"/>
    <n v="322"/>
    <n v="320.86"/>
    <d v="2025-05-23T00:00:00"/>
    <d v="2025-05-31T00:00:00"/>
    <n v="63.32"/>
    <n v="103316.92"/>
    <n v="20389.04"/>
    <n v="8"/>
    <n v="0.1973446362899707"/>
  </r>
  <r>
    <s v="PROD-1647"/>
    <s v="Almonds"/>
    <x v="3"/>
    <s v="S-103"/>
    <s v="Elite Paper Co"/>
    <n v="99"/>
    <n v="394.89"/>
    <d v="2025-03-12T00:00:00"/>
    <d v="2025-03-23T00:00:00"/>
    <n v="101.62"/>
    <n v="39094.11"/>
    <n v="10060.380000000001"/>
    <n v="11"/>
    <n v="0.25733748638861459"/>
  </r>
  <r>
    <s v="PROD-1648"/>
    <s v="Pen Set"/>
    <x v="0"/>
    <s v="S-103"/>
    <s v="Elite Paper Co"/>
    <n v="189"/>
    <n v="374.99"/>
    <d v="2025-03-12T00:00:00"/>
    <d v="2025-03-23T00:00:00"/>
    <n v="44.93"/>
    <n v="70873.11"/>
    <n v="8491.77"/>
    <n v="11"/>
    <n v="0.11981652844075842"/>
  </r>
  <r>
    <s v="PROD-1649"/>
    <s v="Socks"/>
    <x v="1"/>
    <s v="S-101"/>
    <s v="Global Tech Corp"/>
    <n v="189"/>
    <n v="461.91"/>
    <d v="2025-06-13T00:00:00"/>
    <d v="2025-06-21T00:00:00"/>
    <n v="76.98"/>
    <n v="87300.99"/>
    <n v="14549.220000000001"/>
    <n v="8"/>
    <n v="0.16665584204715203"/>
  </r>
  <r>
    <s v="PROD-1650"/>
    <s v="Stool"/>
    <x v="4"/>
    <s v="S-102"/>
    <s v="Sunrise Industries"/>
    <n v="237"/>
    <n v="404.1"/>
    <d v="2025-04-27T00:00:00"/>
    <d v="2025-04-29T00:00:00"/>
    <n v="89.63"/>
    <n v="95771.700000000012"/>
    <n v="21242.309999999998"/>
    <n v="2"/>
    <n v="0.22180153427369462"/>
  </r>
  <r>
    <s v="PROD-1651"/>
    <s v="Tablet"/>
    <x v="2"/>
    <s v="S-105"/>
    <s v="Fresh Mart Logistics"/>
    <n v="178"/>
    <n v="129.06"/>
    <d v="2025-05-22T00:00:00"/>
    <d v="2025-06-19T00:00:00"/>
    <n v="25.65"/>
    <n v="22972.68"/>
    <n v="4565.7"/>
    <n v="28"/>
    <n v="0.19874476987447698"/>
  </r>
  <r>
    <s v="PROD-1652"/>
    <s v="Laptop"/>
    <x v="2"/>
    <s v="S-101"/>
    <s v="Global Tech Corp"/>
    <n v="81"/>
    <n v="410.45"/>
    <d v="2025-04-19T00:00:00"/>
    <d v="2025-05-01T00:00:00"/>
    <n v="96.66"/>
    <n v="33246.449999999997"/>
    <n v="7829.46"/>
    <n v="12"/>
    <n v="0.2354976245584115"/>
  </r>
  <r>
    <s v="PROD-1653"/>
    <s v="Tablet"/>
    <x v="2"/>
    <s v="S-102"/>
    <s v="Sunrise Industries"/>
    <n v="356"/>
    <n v="132.37"/>
    <d v="2025-04-15T00:00:00"/>
    <d v="2025-04-23T00:00:00"/>
    <n v="38.4"/>
    <n v="47123.72"/>
    <n v="13670.4"/>
    <n v="8"/>
    <n v="0.29009594318954446"/>
  </r>
  <r>
    <s v="PROD-1654"/>
    <s v="Cap"/>
    <x v="1"/>
    <s v="S-104"/>
    <s v="Modern Home Supplies"/>
    <n v="153"/>
    <n v="347.02"/>
    <d v="2025-02-23T00:00:00"/>
    <d v="2025-03-07T00:00:00"/>
    <n v="83.56"/>
    <n v="53094.06"/>
    <n v="12784.68"/>
    <n v="12"/>
    <n v="0.24079303786525275"/>
  </r>
  <r>
    <s v="PROD-1655"/>
    <s v="Laptop"/>
    <x v="2"/>
    <s v="S-102"/>
    <s v="Sunrise Industries"/>
    <n v="223"/>
    <n v="314.98"/>
    <d v="2025-02-13T00:00:00"/>
    <d v="2025-02-25T00:00:00"/>
    <n v="69.489999999999995"/>
    <n v="70240.540000000008"/>
    <n v="15496.269999999999"/>
    <n v="12"/>
    <n v="0.2206171820433043"/>
  </r>
  <r>
    <s v="PROD-1656"/>
    <s v="Headphones"/>
    <x v="2"/>
    <s v="S-105"/>
    <s v="Fresh Mart Logistics"/>
    <n v="143"/>
    <n v="256.25"/>
    <d v="2025-05-27T00:00:00"/>
    <d v="2025-06-18T00:00:00"/>
    <n v="63.56"/>
    <n v="36643.75"/>
    <n v="9089.08"/>
    <n v="22"/>
    <n v="0.24803902439024392"/>
  </r>
  <r>
    <s v="PROD-1657"/>
    <s v="Marker"/>
    <x v="0"/>
    <s v="S-105"/>
    <s v="Fresh Mart Logistics"/>
    <n v="259"/>
    <n v="35.06"/>
    <d v="2025-02-14T00:00:00"/>
    <d v="2025-02-26T00:00:00"/>
    <n v="7.41"/>
    <n v="9080.5400000000009"/>
    <n v="1919.19"/>
    <n v="12"/>
    <n v="0.21135196805476325"/>
  </r>
  <r>
    <s v="PROD-1658"/>
    <s v="Desk Lamp"/>
    <x v="4"/>
    <s v="S-102"/>
    <s v="Sunrise Industries"/>
    <n v="52"/>
    <n v="85.56"/>
    <d v="2025-01-16T00:00:00"/>
    <d v="2025-01-31T00:00:00"/>
    <n v="15.46"/>
    <n v="4449.12"/>
    <n v="803.92000000000007"/>
    <n v="15"/>
    <n v="0.18069191210846192"/>
  </r>
  <r>
    <s v="PROD-1659"/>
    <s v="Desk Lamp"/>
    <x v="4"/>
    <s v="S-104"/>
    <s v="Modern Home Supplies"/>
    <n v="153"/>
    <n v="112.4"/>
    <d v="2025-03-16T00:00:00"/>
    <d v="2025-03-19T00:00:00"/>
    <n v="15.35"/>
    <n v="17197.2"/>
    <n v="2348.5499999999997"/>
    <n v="3"/>
    <n v="0.13656583629893237"/>
  </r>
  <r>
    <s v="PROD-1660"/>
    <s v="Pen Set"/>
    <x v="0"/>
    <s v="S-102"/>
    <s v="Sunrise Industries"/>
    <n v="426"/>
    <n v="322.38"/>
    <d v="2025-02-19T00:00:00"/>
    <d v="2025-03-07T00:00:00"/>
    <n v="48.66"/>
    <n v="137333.88"/>
    <n v="20729.16"/>
    <n v="16"/>
    <n v="0.1509398846082263"/>
  </r>
  <r>
    <s v="PROD-1661"/>
    <s v="Desk Organizer"/>
    <x v="0"/>
    <s v="S-104"/>
    <s v="Modern Home Supplies"/>
    <n v="37"/>
    <n v="413.14"/>
    <d v="2025-05-22T00:00:00"/>
    <d v="2025-05-31T00:00:00"/>
    <n v="109.15"/>
    <n v="15286.18"/>
    <n v="4038.55"/>
    <n v="9"/>
    <n v="0.26419615626664089"/>
  </r>
  <r>
    <s v="PROD-1662"/>
    <s v="Tablet"/>
    <x v="2"/>
    <s v="S-105"/>
    <s v="Fresh Mart Logistics"/>
    <n v="347"/>
    <n v="43.57"/>
    <d v="2025-02-11T00:00:00"/>
    <d v="2025-02-14T00:00:00"/>
    <n v="4.91"/>
    <n v="15118.79"/>
    <n v="1703.77"/>
    <n v="3"/>
    <n v="0.11269221941703007"/>
  </r>
  <r>
    <s v="PROD-1663"/>
    <s v="Desk Lamp"/>
    <x v="4"/>
    <s v="S-103"/>
    <s v="Elite Paper Co"/>
    <n v="228"/>
    <n v="339.45"/>
    <d v="2025-06-13T00:00:00"/>
    <d v="2025-07-05T00:00:00"/>
    <n v="57.58"/>
    <n v="77394.599999999991"/>
    <n v="13128.24"/>
    <n v="22"/>
    <n v="0.16962733834143467"/>
  </r>
  <r>
    <s v="PROD-1664"/>
    <s v="Bookshelf"/>
    <x v="4"/>
    <s v="S-102"/>
    <s v="Sunrise Industries"/>
    <n v="264"/>
    <n v="452.35"/>
    <d v="2025-01-08T00:00:00"/>
    <d v="2025-01-13T00:00:00"/>
    <n v="53"/>
    <n v="119420.40000000001"/>
    <n v="13992"/>
    <n v="5"/>
    <n v="0.11716591135182933"/>
  </r>
  <r>
    <s v="PROD-1665"/>
    <s v="Headphones"/>
    <x v="2"/>
    <s v="S-102"/>
    <s v="Sunrise Industries"/>
    <n v="238"/>
    <n v="458"/>
    <d v="2025-01-11T00:00:00"/>
    <d v="2025-02-09T00:00:00"/>
    <n v="135.02000000000001"/>
    <n v="109004"/>
    <n v="32134.760000000002"/>
    <n v="29"/>
    <n v="0.29480349344978168"/>
  </r>
  <r>
    <s v="PROD-1666"/>
    <s v="Notebook"/>
    <x v="0"/>
    <s v="S-102"/>
    <s v="Sunrise Industries"/>
    <n v="315"/>
    <n v="166.61"/>
    <d v="2025-03-08T00:00:00"/>
    <d v="2025-04-06T00:00:00"/>
    <n v="48.49"/>
    <n v="52482.15"/>
    <n v="15274.35"/>
    <n v="29"/>
    <n v="0.291038953244103"/>
  </r>
  <r>
    <s v="PROD-1667"/>
    <s v="Organic Tea"/>
    <x v="3"/>
    <s v="S-101"/>
    <s v="Global Tech Corp"/>
    <n v="429"/>
    <n v="472.89"/>
    <d v="2025-05-17T00:00:00"/>
    <d v="2025-05-26T00:00:00"/>
    <n v="93.45"/>
    <n v="202869.81"/>
    <n v="40090.050000000003"/>
    <n v="9"/>
    <n v="0.19761466725877055"/>
  </r>
  <r>
    <s v="PROD-1668"/>
    <s v="Desk Organizer"/>
    <x v="0"/>
    <s v="S-101"/>
    <s v="Global Tech Corp"/>
    <n v="69"/>
    <n v="372.62"/>
    <d v="2025-01-18T00:00:00"/>
    <d v="2025-02-02T00:00:00"/>
    <n v="46.92"/>
    <n v="25710.78"/>
    <n v="3237.48"/>
    <n v="15"/>
    <n v="0.12591916697976491"/>
  </r>
  <r>
    <s v="PROD-1669"/>
    <s v="Organic Tea"/>
    <x v="3"/>
    <s v="S-101"/>
    <s v="Global Tech Corp"/>
    <n v="137"/>
    <n v="407.6"/>
    <d v="2025-03-06T00:00:00"/>
    <d v="2025-03-27T00:00:00"/>
    <n v="90.89"/>
    <n v="55841.200000000004"/>
    <n v="12451.93"/>
    <n v="21"/>
    <n v="0.22298822374877331"/>
  </r>
  <r>
    <s v="PROD-1670"/>
    <s v="Office Chair"/>
    <x v="4"/>
    <s v="S-105"/>
    <s v="Fresh Mart Logistics"/>
    <n v="375"/>
    <n v="437.33"/>
    <d v="2025-05-06T00:00:00"/>
    <d v="2025-05-20T00:00:00"/>
    <n v="87.91"/>
    <n v="163998.75"/>
    <n v="32966.25"/>
    <n v="14"/>
    <n v="0.20101525164063749"/>
  </r>
  <r>
    <s v="PROD-1671"/>
    <s v="Organic Tea"/>
    <x v="3"/>
    <s v="S-102"/>
    <s v="Sunrise Industries"/>
    <n v="372"/>
    <n v="224.08"/>
    <d v="2025-05-19T00:00:00"/>
    <d v="2025-05-29T00:00:00"/>
    <n v="44.5"/>
    <n v="83357.760000000009"/>
    <n v="16554"/>
    <n v="10"/>
    <n v="0.19858978936094251"/>
  </r>
  <r>
    <s v="PROD-1672"/>
    <s v="Office Chair"/>
    <x v="4"/>
    <s v="S-102"/>
    <s v="Sunrise Industries"/>
    <n v="453"/>
    <n v="194.76"/>
    <d v="2025-02-24T00:00:00"/>
    <d v="2025-02-25T00:00:00"/>
    <n v="42.96"/>
    <n v="88226.28"/>
    <n v="19460.88"/>
    <n v="1"/>
    <n v="0.22057917436845351"/>
  </r>
  <r>
    <s v="PROD-1673"/>
    <s v="Coffee Beans"/>
    <x v="3"/>
    <s v="S-103"/>
    <s v="Elite Paper Co"/>
    <n v="440"/>
    <n v="257.33999999999997"/>
    <d v="2025-01-13T00:00:00"/>
    <d v="2025-01-17T00:00:00"/>
    <n v="45.03"/>
    <n v="113229.59999999999"/>
    <n v="19813.2"/>
    <n v="4"/>
    <n v="0.17498251340638846"/>
  </r>
  <r>
    <s v="PROD-1674"/>
    <s v="Socks"/>
    <x v="1"/>
    <s v="S-101"/>
    <s v="Global Tech Corp"/>
    <n v="394"/>
    <n v="60.27"/>
    <d v="2025-01-07T00:00:00"/>
    <d v="2025-01-17T00:00:00"/>
    <n v="16.059999999999999"/>
    <n v="23746.38"/>
    <n v="6327.6399999999994"/>
    <n v="10"/>
    <n v="0.26646756263480997"/>
  </r>
  <r>
    <s v="PROD-1675"/>
    <s v="Almonds"/>
    <x v="3"/>
    <s v="S-105"/>
    <s v="Fresh Mart Logistics"/>
    <n v="476"/>
    <n v="157.54"/>
    <d v="2025-02-22T00:00:00"/>
    <d v="2025-03-05T00:00:00"/>
    <n v="43.46"/>
    <n v="74989.039999999994"/>
    <n v="20686.96"/>
    <n v="11"/>
    <n v="0.27586644661673226"/>
  </r>
  <r>
    <s v="PROD-1676"/>
    <s v="Stool"/>
    <x v="4"/>
    <s v="S-105"/>
    <s v="Fresh Mart Logistics"/>
    <n v="163"/>
    <n v="399.32"/>
    <d v="2025-01-25T00:00:00"/>
    <d v="2025-02-13T00:00:00"/>
    <n v="71.58"/>
    <n v="65089.159999999996"/>
    <n v="11667.539999999999"/>
    <n v="19"/>
    <n v="0.1792547330461785"/>
  </r>
  <r>
    <s v="PROD-1677"/>
    <s v="Desk Organizer"/>
    <x v="0"/>
    <s v="S-103"/>
    <s v="Elite Paper Co"/>
    <n v="135"/>
    <n v="352.4"/>
    <d v="2025-03-03T00:00:00"/>
    <d v="2025-03-12T00:00:00"/>
    <n v="101.8"/>
    <n v="47574"/>
    <n v="13743"/>
    <n v="9"/>
    <n v="0.28887627695800228"/>
  </r>
  <r>
    <s v="PROD-1678"/>
    <s v="Socks"/>
    <x v="1"/>
    <s v="S-103"/>
    <s v="Elite Paper Co"/>
    <n v="481"/>
    <n v="191.05"/>
    <d v="2025-03-14T00:00:00"/>
    <d v="2025-03-15T00:00:00"/>
    <n v="28.5"/>
    <n v="91895.05"/>
    <n v="13708.5"/>
    <n v="1"/>
    <n v="0.14917560847945563"/>
  </r>
  <r>
    <s v="PROD-1679"/>
    <s v="Office Chair"/>
    <x v="4"/>
    <s v="S-102"/>
    <s v="Sunrise Industries"/>
    <n v="257"/>
    <n v="449.13"/>
    <d v="2025-06-07T00:00:00"/>
    <d v="2025-06-30T00:00:00"/>
    <n v="122.02"/>
    <n v="115426.41"/>
    <n v="31359.14"/>
    <n v="23"/>
    <n v="0.27168080511210563"/>
  </r>
  <r>
    <s v="PROD-1680"/>
    <s v="Stool"/>
    <x v="4"/>
    <s v="S-105"/>
    <s v="Fresh Mart Logistics"/>
    <n v="338"/>
    <n v="432.1"/>
    <d v="2025-05-03T00:00:00"/>
    <d v="2025-05-20T00:00:00"/>
    <n v="82.14"/>
    <n v="146049.80000000002"/>
    <n v="27763.32"/>
    <n v="17"/>
    <n v="0.19009488544318445"/>
  </r>
  <r>
    <s v="PROD-1681"/>
    <s v="T-Shirt"/>
    <x v="1"/>
    <s v="S-101"/>
    <s v="Global Tech Corp"/>
    <n v="245"/>
    <n v="218.03"/>
    <d v="2025-06-25T00:00:00"/>
    <d v="2025-07-08T00:00:00"/>
    <n v="64.55"/>
    <n v="53417.35"/>
    <n v="15814.75"/>
    <n v="13"/>
    <n v="0.29606017520524697"/>
  </r>
  <r>
    <s v="PROD-1682"/>
    <s v="Organic Tea"/>
    <x v="3"/>
    <s v="S-105"/>
    <s v="Fresh Mart Logistics"/>
    <n v="92"/>
    <n v="398.9"/>
    <d v="2025-02-12T00:00:00"/>
    <d v="2025-03-11T00:00:00"/>
    <n v="112.73"/>
    <n v="36698.799999999996"/>
    <n v="10371.16"/>
    <n v="27"/>
    <n v="0.28260215592880422"/>
  </r>
  <r>
    <s v="PROD-1683"/>
    <s v="Desk Lamp"/>
    <x v="4"/>
    <s v="S-105"/>
    <s v="Fresh Mart Logistics"/>
    <n v="307"/>
    <n v="290.3"/>
    <d v="2025-06-30T00:00:00"/>
    <d v="2025-07-30T00:00:00"/>
    <n v="30.73"/>
    <n v="89122.1"/>
    <n v="9434.11"/>
    <n v="30"/>
    <n v="0.10585601102307957"/>
  </r>
  <r>
    <s v="PROD-1684"/>
    <s v="Coffee Beans"/>
    <x v="3"/>
    <s v="S-103"/>
    <s v="Elite Paper Co"/>
    <n v="12"/>
    <n v="420.08"/>
    <d v="2025-01-25T00:00:00"/>
    <d v="2025-02-11T00:00:00"/>
    <n v="48.66"/>
    <n v="5040.96"/>
    <n v="583.91999999999996"/>
    <n v="17"/>
    <n v="0.11583507903256522"/>
  </r>
  <r>
    <s v="PROD-1685"/>
    <s v="Almonds"/>
    <x v="3"/>
    <s v="S-102"/>
    <s v="Sunrise Industries"/>
    <n v="389"/>
    <n v="5.63"/>
    <d v="2025-02-17T00:00:00"/>
    <d v="2025-02-20T00:00:00"/>
    <n v="1.58"/>
    <n v="2190.0700000000002"/>
    <n v="614.62"/>
    <n v="3"/>
    <n v="0.28063943161634103"/>
  </r>
  <r>
    <s v="PROD-1686"/>
    <s v="Cap"/>
    <x v="1"/>
    <s v="S-103"/>
    <s v="Elite Paper Co"/>
    <n v="185"/>
    <n v="161.61000000000001"/>
    <d v="2025-03-07T00:00:00"/>
    <d v="2025-03-26T00:00:00"/>
    <n v="18.97"/>
    <n v="29897.850000000002"/>
    <n v="3509.45"/>
    <n v="19"/>
    <n v="0.11738135016397498"/>
  </r>
  <r>
    <s v="PROD-1687"/>
    <s v="Desk Lamp"/>
    <x v="4"/>
    <s v="S-105"/>
    <s v="Fresh Mart Logistics"/>
    <n v="162"/>
    <n v="493.55"/>
    <d v="2025-04-28T00:00:00"/>
    <d v="2025-05-04T00:00:00"/>
    <n v="82.83"/>
    <n v="79955.100000000006"/>
    <n v="13418.46"/>
    <n v="6"/>
    <n v="0.16782494174855636"/>
  </r>
  <r>
    <s v="PROD-1688"/>
    <s v="Desk Lamp"/>
    <x v="4"/>
    <s v="S-105"/>
    <s v="Fresh Mart Logistics"/>
    <n v="236"/>
    <n v="104.77"/>
    <d v="2025-03-27T00:00:00"/>
    <d v="2025-04-05T00:00:00"/>
    <n v="15.7"/>
    <n v="24725.719999999998"/>
    <n v="3705.2"/>
    <n v="9"/>
    <n v="0.14985205688651332"/>
  </r>
  <r>
    <s v="PROD-1689"/>
    <s v="Desk Lamp"/>
    <x v="4"/>
    <s v="S-101"/>
    <s v="Global Tech Corp"/>
    <n v="128"/>
    <n v="121.61"/>
    <d v="2025-05-07T00:00:00"/>
    <d v="2025-05-10T00:00:00"/>
    <n v="26.49"/>
    <n v="15566.08"/>
    <n v="3390.72"/>
    <n v="3"/>
    <n v="0.21782748129265683"/>
  </r>
  <r>
    <s v="PROD-1690"/>
    <s v="Desk Lamp"/>
    <x v="4"/>
    <s v="S-105"/>
    <s v="Fresh Mart Logistics"/>
    <n v="264"/>
    <n v="209.61"/>
    <d v="2025-05-17T00:00:00"/>
    <d v="2025-06-13T00:00:00"/>
    <n v="55.1"/>
    <n v="55337.04"/>
    <n v="14546.4"/>
    <n v="27"/>
    <n v="0.26286913792280903"/>
  </r>
  <r>
    <s v="PROD-1691"/>
    <s v="Office Chair"/>
    <x v="4"/>
    <s v="S-103"/>
    <s v="Elite Paper Co"/>
    <n v="30"/>
    <n v="125.93"/>
    <d v="2025-02-05T00:00:00"/>
    <d v="2025-02-11T00:00:00"/>
    <n v="18.23"/>
    <n v="3777.9"/>
    <n v="546.9"/>
    <n v="6"/>
    <n v="0.14476296355117924"/>
  </r>
  <r>
    <s v="PROD-1692"/>
    <s v="Cap"/>
    <x v="1"/>
    <s v="S-104"/>
    <s v="Modern Home Supplies"/>
    <n v="133"/>
    <n v="112.95"/>
    <d v="2025-03-04T00:00:00"/>
    <d v="2025-03-05T00:00:00"/>
    <n v="23.66"/>
    <n v="15022.35"/>
    <n v="3146.78"/>
    <n v="1"/>
    <n v="0.20947321823815848"/>
  </r>
  <r>
    <s v="PROD-1693"/>
    <s v="Desk Lamp"/>
    <x v="4"/>
    <s v="S-102"/>
    <s v="Sunrise Industries"/>
    <n v="336"/>
    <n v="407.73"/>
    <d v="2025-03-30T00:00:00"/>
    <d v="2025-04-08T00:00:00"/>
    <n v="90.24"/>
    <n v="136997.28"/>
    <n v="30320.639999999999"/>
    <n v="9"/>
    <n v="0.22132293429475386"/>
  </r>
  <r>
    <s v="PROD-1694"/>
    <s v="Cap"/>
    <x v="1"/>
    <s v="S-102"/>
    <s v="Sunrise Industries"/>
    <n v="226"/>
    <n v="157.85"/>
    <d v="2025-01-21T00:00:00"/>
    <d v="2025-02-18T00:00:00"/>
    <n v="26.62"/>
    <n v="35674.1"/>
    <n v="6016.12"/>
    <n v="28"/>
    <n v="0.16864111498257842"/>
  </r>
  <r>
    <s v="PROD-1695"/>
    <s v="Coffee Beans"/>
    <x v="3"/>
    <s v="S-105"/>
    <s v="Fresh Mart Logistics"/>
    <n v="251"/>
    <n v="436.77"/>
    <d v="2025-01-24T00:00:00"/>
    <d v="2025-02-01T00:00:00"/>
    <n v="69.12"/>
    <n v="109629.26999999999"/>
    <n v="17349.120000000003"/>
    <n v="8"/>
    <n v="0.15825262724088193"/>
  </r>
  <r>
    <s v="PROD-1696"/>
    <s v="Pen Set"/>
    <x v="0"/>
    <s v="S-101"/>
    <s v="Global Tech Corp"/>
    <n v="287"/>
    <n v="236.16"/>
    <d v="2025-01-12T00:00:00"/>
    <d v="2025-01-16T00:00:00"/>
    <n v="52.57"/>
    <n v="67777.919999999998"/>
    <n v="15087.59"/>
    <n v="4"/>
    <n v="0.22260331978319783"/>
  </r>
  <r>
    <s v="PROD-1697"/>
    <s v="Smartphone"/>
    <x v="2"/>
    <s v="S-104"/>
    <s v="Modern Home Supplies"/>
    <n v="412"/>
    <n v="280.67"/>
    <d v="2025-05-14T00:00:00"/>
    <d v="2025-06-06T00:00:00"/>
    <n v="50.5"/>
    <n v="115636.04000000001"/>
    <n v="20806"/>
    <n v="23"/>
    <n v="0.1799266041970998"/>
  </r>
  <r>
    <s v="PROD-1698"/>
    <s v="Desk Lamp"/>
    <x v="4"/>
    <s v="S-105"/>
    <s v="Fresh Mart Logistics"/>
    <n v="386"/>
    <n v="438.99"/>
    <d v="2025-06-15T00:00:00"/>
    <d v="2025-07-04T00:00:00"/>
    <n v="113.54"/>
    <n v="169450.14"/>
    <n v="43826.44"/>
    <n v="19"/>
    <n v="0.25863914895555706"/>
  </r>
  <r>
    <s v="PROD-1699"/>
    <s v="Pen Set"/>
    <x v="0"/>
    <s v="S-103"/>
    <s v="Elite Paper Co"/>
    <n v="297"/>
    <n v="448.78"/>
    <d v="2025-03-16T00:00:00"/>
    <d v="2025-03-22T00:00:00"/>
    <n v="115.38"/>
    <n v="133287.66"/>
    <n v="34267.86"/>
    <n v="6"/>
    <n v="0.25709701858371586"/>
  </r>
  <r>
    <s v="PROD-1700"/>
    <s v="Smartphone"/>
    <x v="2"/>
    <s v="S-102"/>
    <s v="Sunrise Industries"/>
    <n v="166"/>
    <n v="446.91"/>
    <d v="2025-05-01T00:00:00"/>
    <d v="2025-05-04T00:00:00"/>
    <n v="48.83"/>
    <n v="74187.06"/>
    <n v="8105.78"/>
    <n v="3"/>
    <n v="0.10926137253585733"/>
  </r>
  <r>
    <s v="PROD-1701"/>
    <s v="T-Shirt"/>
    <x v="1"/>
    <s v="S-105"/>
    <s v="Fresh Mart Logistics"/>
    <n v="83"/>
    <n v="365.95"/>
    <d v="2025-01-26T00:00:00"/>
    <d v="2025-02-09T00:00:00"/>
    <n v="46"/>
    <n v="30373.85"/>
    <n v="3818"/>
    <n v="14"/>
    <n v="0.12570023227216834"/>
  </r>
  <r>
    <s v="PROD-1702"/>
    <s v="Hoodie"/>
    <x v="1"/>
    <s v="S-101"/>
    <s v="Global Tech Corp"/>
    <n v="478"/>
    <n v="207.93"/>
    <d v="2025-05-01T00:00:00"/>
    <d v="2025-05-16T00:00:00"/>
    <n v="31.32"/>
    <n v="99390.540000000008"/>
    <n v="14970.960000000001"/>
    <n v="15"/>
    <n v="0.15062761506276151"/>
  </r>
  <r>
    <s v="PROD-1703"/>
    <s v="Almonds"/>
    <x v="3"/>
    <s v="S-102"/>
    <s v="Sunrise Industries"/>
    <n v="185"/>
    <n v="60.32"/>
    <d v="2025-06-17T00:00:00"/>
    <d v="2025-06-25T00:00:00"/>
    <n v="15.74"/>
    <n v="11159.2"/>
    <n v="2911.9"/>
    <n v="8"/>
    <n v="0.26094164456233421"/>
  </r>
  <r>
    <s v="PROD-1704"/>
    <s v="T-Shirt"/>
    <x v="1"/>
    <s v="S-104"/>
    <s v="Modern Home Supplies"/>
    <n v="284"/>
    <n v="416.67"/>
    <d v="2025-05-12T00:00:00"/>
    <d v="2025-05-22T00:00:00"/>
    <n v="46.96"/>
    <n v="118334.28"/>
    <n v="13336.64"/>
    <n v="10"/>
    <n v="0.112703098375213"/>
  </r>
  <r>
    <s v="PROD-1705"/>
    <s v="Marker"/>
    <x v="0"/>
    <s v="S-104"/>
    <s v="Modern Home Supplies"/>
    <n v="116"/>
    <n v="105.37"/>
    <d v="2025-06-29T00:00:00"/>
    <d v="2025-07-12T00:00:00"/>
    <n v="29.24"/>
    <n v="12222.92"/>
    <n v="3391.8399999999997"/>
    <n v="13"/>
    <n v="0.27749833918572647"/>
  </r>
  <r>
    <s v="PROD-1706"/>
    <s v="Bookshelf"/>
    <x v="4"/>
    <s v="S-101"/>
    <s v="Global Tech Corp"/>
    <n v="323"/>
    <n v="64.45"/>
    <d v="2025-02-05T00:00:00"/>
    <d v="2025-03-01T00:00:00"/>
    <n v="12.23"/>
    <n v="20817.350000000002"/>
    <n v="3950.29"/>
    <n v="24"/>
    <n v="0.18975950349107834"/>
  </r>
  <r>
    <s v="PROD-1707"/>
    <s v="Pen Set"/>
    <x v="0"/>
    <s v="S-101"/>
    <s v="Global Tech Corp"/>
    <n v="236"/>
    <n v="225.1"/>
    <d v="2025-03-15T00:00:00"/>
    <d v="2025-03-25T00:00:00"/>
    <n v="29.54"/>
    <n v="53123.6"/>
    <n v="6971.44"/>
    <n v="10"/>
    <n v="0.1312305641936917"/>
  </r>
  <r>
    <s v="PROD-1708"/>
    <s v="Stool"/>
    <x v="4"/>
    <s v="S-102"/>
    <s v="Sunrise Industries"/>
    <n v="60"/>
    <n v="91.38"/>
    <d v="2025-03-11T00:00:00"/>
    <d v="2025-04-03T00:00:00"/>
    <n v="12.16"/>
    <n v="5482.7999999999993"/>
    <n v="729.6"/>
    <n v="23"/>
    <n v="0.13307069380608449"/>
  </r>
  <r>
    <s v="PROD-1709"/>
    <s v="Organic Tea"/>
    <x v="3"/>
    <s v="S-102"/>
    <s v="Sunrise Industries"/>
    <n v="240"/>
    <n v="413.2"/>
    <d v="2025-01-22T00:00:00"/>
    <d v="2025-01-29T00:00:00"/>
    <n v="104.17"/>
    <n v="99168"/>
    <n v="25000.799999999999"/>
    <n v="7"/>
    <n v="0.25210551790900293"/>
  </r>
  <r>
    <s v="PROD-1710"/>
    <s v="Office Chair"/>
    <x v="4"/>
    <s v="S-101"/>
    <s v="Global Tech Corp"/>
    <n v="375"/>
    <n v="318.57"/>
    <d v="2025-01-29T00:00:00"/>
    <d v="2025-02-05T00:00:00"/>
    <n v="62.99"/>
    <n v="119463.75"/>
    <n v="23621.25"/>
    <n v="7"/>
    <n v="0.19772734406880749"/>
  </r>
  <r>
    <s v="PROD-1711"/>
    <s v="Marker"/>
    <x v="0"/>
    <s v="S-102"/>
    <s v="Sunrise Industries"/>
    <n v="434"/>
    <n v="351.72"/>
    <d v="2025-02-23T00:00:00"/>
    <d v="2025-03-10T00:00:00"/>
    <n v="67.25"/>
    <n v="152646.48000000001"/>
    <n v="29186.5"/>
    <n v="15"/>
    <n v="0.1912032298419197"/>
  </r>
  <r>
    <s v="PROD-1712"/>
    <s v="Pen Set"/>
    <x v="0"/>
    <s v="S-101"/>
    <s v="Global Tech Corp"/>
    <n v="401"/>
    <n v="458.36"/>
    <d v="2025-02-03T00:00:00"/>
    <d v="2025-02-14T00:00:00"/>
    <n v="90.66"/>
    <n v="183802.36000000002"/>
    <n v="36354.659999999996"/>
    <n v="11"/>
    <n v="0.19779212845798061"/>
  </r>
  <r>
    <s v="PROD-1713"/>
    <s v="Dark Chocolate"/>
    <x v="3"/>
    <s v="S-104"/>
    <s v="Modern Home Supplies"/>
    <n v="132"/>
    <n v="314.86"/>
    <d v="2025-01-04T00:00:00"/>
    <d v="2025-01-11T00:00:00"/>
    <n v="59.95"/>
    <n v="41561.520000000004"/>
    <n v="7913.4000000000005"/>
    <n v="7"/>
    <n v="0.19040208346566728"/>
  </r>
  <r>
    <s v="PROD-1714"/>
    <s v="Socks"/>
    <x v="1"/>
    <s v="S-101"/>
    <s v="Global Tech Corp"/>
    <n v="380"/>
    <n v="442.21"/>
    <d v="2025-06-22T00:00:00"/>
    <d v="2025-07-19T00:00:00"/>
    <n v="115.66"/>
    <n v="168039.8"/>
    <n v="43950.799999999996"/>
    <n v="27"/>
    <n v="0.26154994233508966"/>
  </r>
  <r>
    <s v="PROD-1715"/>
    <s v="Notebook"/>
    <x v="0"/>
    <s v="S-105"/>
    <s v="Fresh Mart Logistics"/>
    <n v="347"/>
    <n v="186.59"/>
    <d v="2025-02-19T00:00:00"/>
    <d v="2025-03-08T00:00:00"/>
    <n v="44.96"/>
    <n v="64746.73"/>
    <n v="15601.12"/>
    <n v="17"/>
    <n v="0.24095610697250658"/>
  </r>
  <r>
    <s v="PROD-1716"/>
    <s v="Socks"/>
    <x v="1"/>
    <s v="S-103"/>
    <s v="Elite Paper Co"/>
    <n v="199"/>
    <n v="297.14"/>
    <d v="2025-02-18T00:00:00"/>
    <d v="2025-02-25T00:00:00"/>
    <n v="54.87"/>
    <n v="59130.86"/>
    <n v="10919.13"/>
    <n v="7"/>
    <n v="0.18466042942720604"/>
  </r>
  <r>
    <s v="PROD-1717"/>
    <s v="Desk Organizer"/>
    <x v="0"/>
    <s v="S-104"/>
    <s v="Modern Home Supplies"/>
    <n v="428"/>
    <n v="240.15"/>
    <d v="2025-06-18T00:00:00"/>
    <d v="2025-07-17T00:00:00"/>
    <n v="53.44"/>
    <n v="102784.2"/>
    <n v="22872.32"/>
    <n v="29"/>
    <n v="0.22252758692483862"/>
  </r>
  <r>
    <s v="PROD-1718"/>
    <s v="Tablet"/>
    <x v="2"/>
    <s v="S-104"/>
    <s v="Modern Home Supplies"/>
    <n v="294"/>
    <n v="269.91000000000003"/>
    <d v="2025-06-06T00:00:00"/>
    <d v="2025-06-17T00:00:00"/>
    <n v="29.21"/>
    <n v="79353.540000000008"/>
    <n v="8587.74"/>
    <n v="11"/>
    <n v="0.10822125893816456"/>
  </r>
  <r>
    <s v="PROD-1719"/>
    <s v="Hoodie"/>
    <x v="1"/>
    <s v="S-101"/>
    <s v="Global Tech Corp"/>
    <n v="299"/>
    <n v="72.39"/>
    <d v="2025-06-16T00:00:00"/>
    <d v="2025-07-07T00:00:00"/>
    <n v="17"/>
    <n v="21644.61"/>
    <n v="5083"/>
    <n v="21"/>
    <n v="0.2348390661693604"/>
  </r>
  <r>
    <s v="PROD-1720"/>
    <s v="Marker"/>
    <x v="0"/>
    <s v="S-105"/>
    <s v="Fresh Mart Logistics"/>
    <n v="149"/>
    <n v="182.18"/>
    <d v="2025-04-17T00:00:00"/>
    <d v="2025-05-09T00:00:00"/>
    <n v="45.55"/>
    <n v="27144.82"/>
    <n v="6786.95"/>
    <n v="22"/>
    <n v="0.25002744538368643"/>
  </r>
  <r>
    <s v="PROD-1721"/>
    <s v="Stool"/>
    <x v="4"/>
    <s v="S-102"/>
    <s v="Sunrise Industries"/>
    <n v="204"/>
    <n v="228.39"/>
    <d v="2025-01-18T00:00:00"/>
    <d v="2025-01-31T00:00:00"/>
    <n v="29.82"/>
    <n v="46591.56"/>
    <n v="6083.28"/>
    <n v="13"/>
    <n v="0.13056613687114146"/>
  </r>
  <r>
    <s v="PROD-1722"/>
    <s v="Desk Organizer"/>
    <x v="0"/>
    <s v="S-103"/>
    <s v="Elite Paper Co"/>
    <n v="104"/>
    <n v="241.89"/>
    <d v="2025-03-03T00:00:00"/>
    <d v="2025-03-27T00:00:00"/>
    <n v="64.77"/>
    <n v="25156.559999999998"/>
    <n v="6736.08"/>
    <n v="24"/>
    <n v="0.26776634007193351"/>
  </r>
  <r>
    <s v="PROD-1723"/>
    <s v="Marker"/>
    <x v="0"/>
    <s v="S-101"/>
    <s v="Global Tech Corp"/>
    <n v="311"/>
    <n v="125.86"/>
    <d v="2025-01-17T00:00:00"/>
    <d v="2025-02-16T00:00:00"/>
    <n v="27.27"/>
    <n v="39142.46"/>
    <n v="8480.9699999999993"/>
    <n v="30"/>
    <n v="0.21666931511202925"/>
  </r>
  <r>
    <s v="PROD-1724"/>
    <s v="Cap"/>
    <x v="1"/>
    <s v="S-101"/>
    <s v="Global Tech Corp"/>
    <n v="497"/>
    <n v="265.02"/>
    <d v="2025-02-01T00:00:00"/>
    <d v="2025-02-14T00:00:00"/>
    <n v="69.7"/>
    <n v="131714.94"/>
    <n v="34640.9"/>
    <n v="13"/>
    <n v="0.2629990189419667"/>
  </r>
  <r>
    <s v="PROD-1725"/>
    <s v="Smartphone"/>
    <x v="2"/>
    <s v="S-101"/>
    <s v="Global Tech Corp"/>
    <n v="429"/>
    <n v="109.36"/>
    <d v="2025-06-02T00:00:00"/>
    <d v="2025-06-05T00:00:00"/>
    <n v="13.47"/>
    <n v="46915.44"/>
    <n v="5778.63"/>
    <n v="3"/>
    <n v="0.12317117776152159"/>
  </r>
  <r>
    <s v="PROD-1726"/>
    <s v="Marker"/>
    <x v="0"/>
    <s v="S-104"/>
    <s v="Modern Home Supplies"/>
    <n v="330"/>
    <n v="143.36000000000001"/>
    <d v="2025-05-22T00:00:00"/>
    <d v="2025-05-25T00:00:00"/>
    <n v="38.31"/>
    <n v="47308.800000000003"/>
    <n v="12642.300000000001"/>
    <n v="3"/>
    <n v="0.2672293526785714"/>
  </r>
  <r>
    <s v="PROD-1727"/>
    <s v="Headphones"/>
    <x v="2"/>
    <s v="S-105"/>
    <s v="Fresh Mart Logistics"/>
    <n v="214"/>
    <n v="315.26"/>
    <d v="2025-06-26T00:00:00"/>
    <d v="2025-07-14T00:00:00"/>
    <n v="44.99"/>
    <n v="67465.64"/>
    <n v="9627.86"/>
    <n v="18"/>
    <n v="0.14270760642009772"/>
  </r>
  <r>
    <s v="PROD-1728"/>
    <s v="Marker"/>
    <x v="0"/>
    <s v="S-101"/>
    <s v="Global Tech Corp"/>
    <n v="330"/>
    <n v="118.2"/>
    <d v="2025-03-20T00:00:00"/>
    <d v="2025-04-13T00:00:00"/>
    <n v="25.28"/>
    <n v="39006"/>
    <n v="8342.4"/>
    <n v="24"/>
    <n v="0.21387478849407784"/>
  </r>
  <r>
    <s v="PROD-1729"/>
    <s v="Smartphone"/>
    <x v="2"/>
    <s v="S-102"/>
    <s v="Sunrise Industries"/>
    <n v="371"/>
    <n v="204.88"/>
    <d v="2025-06-11T00:00:00"/>
    <d v="2025-06-30T00:00:00"/>
    <n v="24.98"/>
    <n v="76010.48"/>
    <n v="9267.58"/>
    <n v="19"/>
    <n v="0.12192502928543539"/>
  </r>
  <r>
    <s v="PROD-1730"/>
    <s v="Stool"/>
    <x v="4"/>
    <s v="S-102"/>
    <s v="Sunrise Industries"/>
    <n v="345"/>
    <n v="491.76"/>
    <d v="2025-01-09T00:00:00"/>
    <d v="2025-02-03T00:00:00"/>
    <n v="116.32"/>
    <n v="169657.19999999998"/>
    <n v="40130.399999999994"/>
    <n v="25"/>
    <n v="0.23653814869041809"/>
  </r>
  <r>
    <s v="PROD-1731"/>
    <s v="Smartphone"/>
    <x v="2"/>
    <s v="S-103"/>
    <s v="Elite Paper Co"/>
    <n v="67"/>
    <n v="35.96"/>
    <d v="2025-02-04T00:00:00"/>
    <d v="2025-02-24T00:00:00"/>
    <n v="3.69"/>
    <n v="2409.3200000000002"/>
    <n v="247.23"/>
    <n v="20"/>
    <n v="0.10261401557285872"/>
  </r>
  <r>
    <s v="PROD-1732"/>
    <s v="Almonds"/>
    <x v="3"/>
    <s v="S-102"/>
    <s v="Sunrise Industries"/>
    <n v="444"/>
    <n v="112.7"/>
    <d v="2025-02-12T00:00:00"/>
    <d v="2025-03-10T00:00:00"/>
    <n v="18.57"/>
    <n v="50038.8"/>
    <n v="8245.08"/>
    <n v="26"/>
    <n v="0.16477373558118899"/>
  </r>
  <r>
    <s v="PROD-1733"/>
    <s v="Coffee Beans"/>
    <x v="3"/>
    <s v="S-101"/>
    <s v="Global Tech Corp"/>
    <n v="166"/>
    <n v="153.68"/>
    <d v="2025-02-19T00:00:00"/>
    <d v="2025-02-23T00:00:00"/>
    <n v="41.66"/>
    <n v="25510.880000000001"/>
    <n v="6915.5599999999995"/>
    <n v="4"/>
    <n v="0.27108276939094217"/>
  </r>
  <r>
    <s v="PROD-1734"/>
    <s v="Organic Tea"/>
    <x v="3"/>
    <s v="S-104"/>
    <s v="Modern Home Supplies"/>
    <n v="463"/>
    <n v="102.02"/>
    <d v="2025-05-29T00:00:00"/>
    <d v="2025-06-08T00:00:00"/>
    <n v="24.07"/>
    <n v="47235.259999999995"/>
    <n v="11144.41"/>
    <n v="10"/>
    <n v="0.23593413056263479"/>
  </r>
  <r>
    <s v="PROD-1735"/>
    <s v="Notebook"/>
    <x v="0"/>
    <s v="S-104"/>
    <s v="Modern Home Supplies"/>
    <n v="354"/>
    <n v="54.14"/>
    <d v="2025-05-17T00:00:00"/>
    <d v="2025-06-10T00:00:00"/>
    <n v="5.44"/>
    <n v="19165.560000000001"/>
    <n v="1925.7600000000002"/>
    <n v="24"/>
    <n v="0.10048023642408571"/>
  </r>
  <r>
    <s v="PROD-1736"/>
    <s v="Laptop"/>
    <x v="2"/>
    <s v="S-105"/>
    <s v="Fresh Mart Logistics"/>
    <n v="371"/>
    <n v="402.44"/>
    <d v="2025-02-20T00:00:00"/>
    <d v="2025-03-16T00:00:00"/>
    <n v="104.68"/>
    <n v="149305.24"/>
    <n v="38836.280000000006"/>
    <n v="24"/>
    <n v="0.26011330881622108"/>
  </r>
  <r>
    <s v="PROD-1737"/>
    <s v="Laptop"/>
    <x v="2"/>
    <s v="S-105"/>
    <s v="Fresh Mart Logistics"/>
    <n v="300"/>
    <n v="221.06"/>
    <d v="2025-04-30T00:00:00"/>
    <d v="2025-05-01T00:00:00"/>
    <n v="43.36"/>
    <n v="66318"/>
    <n v="13008"/>
    <n v="1"/>
    <n v="0.19614584275762237"/>
  </r>
  <r>
    <s v="PROD-1738"/>
    <s v="Coffee Beans"/>
    <x v="3"/>
    <s v="S-102"/>
    <s v="Sunrise Industries"/>
    <n v="441"/>
    <n v="25.14"/>
    <d v="2025-06-29T00:00:00"/>
    <d v="2025-07-09T00:00:00"/>
    <n v="5.14"/>
    <n v="11086.74"/>
    <n v="2266.7399999999998"/>
    <n v="10"/>
    <n v="0.20445505171042161"/>
  </r>
  <r>
    <s v="PROD-1739"/>
    <s v="Desk Lamp"/>
    <x v="4"/>
    <s v="S-105"/>
    <s v="Fresh Mart Logistics"/>
    <n v="77"/>
    <n v="73.92"/>
    <d v="2025-02-06T00:00:00"/>
    <d v="2025-02-24T00:00:00"/>
    <n v="20.87"/>
    <n v="5691.84"/>
    <n v="1606.99"/>
    <n v="18"/>
    <n v="0.28233225108225107"/>
  </r>
  <r>
    <s v="PROD-1740"/>
    <s v="Almonds"/>
    <x v="3"/>
    <s v="S-101"/>
    <s v="Global Tech Corp"/>
    <n v="19"/>
    <n v="295.26"/>
    <d v="2025-06-26T00:00:00"/>
    <d v="2025-07-20T00:00:00"/>
    <n v="57.98"/>
    <n v="5609.94"/>
    <n v="1101.6199999999999"/>
    <n v="24"/>
    <n v="0.19636930163245953"/>
  </r>
  <r>
    <s v="PROD-1741"/>
    <s v="Headphones"/>
    <x v="2"/>
    <s v="S-101"/>
    <s v="Global Tech Corp"/>
    <n v="380"/>
    <n v="254.47"/>
    <d v="2025-01-28T00:00:00"/>
    <d v="2025-02-12T00:00:00"/>
    <n v="72.87"/>
    <n v="96698.6"/>
    <n v="27690.600000000002"/>
    <n v="15"/>
    <n v="0.28635988525169964"/>
  </r>
  <r>
    <s v="PROD-1742"/>
    <s v="Desk Organizer"/>
    <x v="0"/>
    <s v="S-102"/>
    <s v="Sunrise Industries"/>
    <n v="437"/>
    <n v="81.03"/>
    <d v="2025-01-28T00:00:00"/>
    <d v="2025-01-30T00:00:00"/>
    <n v="14.12"/>
    <n v="35410.11"/>
    <n v="6170.44"/>
    <n v="2"/>
    <n v="0.17425644822905095"/>
  </r>
  <r>
    <s v="PROD-1743"/>
    <s v="Office Chair"/>
    <x v="4"/>
    <s v="S-102"/>
    <s v="Sunrise Industries"/>
    <n v="140"/>
    <n v="286.58"/>
    <d v="2025-02-08T00:00:00"/>
    <d v="2025-02-23T00:00:00"/>
    <n v="71.45"/>
    <n v="40121.199999999997"/>
    <n v="10003"/>
    <n v="15"/>
    <n v="0.2493195617279643"/>
  </r>
  <r>
    <s v="PROD-1744"/>
    <s v="Cap"/>
    <x v="1"/>
    <s v="S-105"/>
    <s v="Fresh Mart Logistics"/>
    <n v="148"/>
    <n v="413.06"/>
    <d v="2025-04-25T00:00:00"/>
    <d v="2025-05-06T00:00:00"/>
    <n v="120.36"/>
    <n v="61132.88"/>
    <n v="17813.28"/>
    <n v="11"/>
    <n v="0.29138623928727059"/>
  </r>
  <r>
    <s v="PROD-1745"/>
    <s v="Organic Tea"/>
    <x v="3"/>
    <s v="S-103"/>
    <s v="Elite Paper Co"/>
    <n v="314"/>
    <n v="467.9"/>
    <d v="2025-01-21T00:00:00"/>
    <d v="2025-02-14T00:00:00"/>
    <n v="105.69"/>
    <n v="146920.6"/>
    <n v="33186.659999999996"/>
    <n v="24"/>
    <n v="0.22588159863218638"/>
  </r>
  <r>
    <s v="PROD-1746"/>
    <s v="Laptop"/>
    <x v="2"/>
    <s v="S-101"/>
    <s v="Global Tech Corp"/>
    <n v="294"/>
    <n v="52.8"/>
    <d v="2025-06-23T00:00:00"/>
    <d v="2025-06-27T00:00:00"/>
    <n v="14.62"/>
    <n v="15523.199999999999"/>
    <n v="4298.28"/>
    <n v="4"/>
    <n v="0.27689393939393941"/>
  </r>
  <r>
    <s v="PROD-1747"/>
    <s v="Organic Tea"/>
    <x v="3"/>
    <s v="S-103"/>
    <s v="Elite Paper Co"/>
    <n v="298"/>
    <n v="53.61"/>
    <d v="2025-04-14T00:00:00"/>
    <d v="2025-04-27T00:00:00"/>
    <n v="9.35"/>
    <n v="15975.78"/>
    <n v="2786.2999999999997"/>
    <n v="13"/>
    <n v="0.17440775974631598"/>
  </r>
  <r>
    <s v="PROD-1748"/>
    <s v="Laptop"/>
    <x v="2"/>
    <s v="S-102"/>
    <s v="Sunrise Industries"/>
    <n v="218"/>
    <n v="405.35"/>
    <d v="2025-02-05T00:00:00"/>
    <d v="2025-02-18T00:00:00"/>
    <n v="118.62"/>
    <n v="88366.3"/>
    <n v="25859.16"/>
    <n v="13"/>
    <n v="0.29263599358579007"/>
  </r>
  <r>
    <s v="PROD-1749"/>
    <s v="Cap"/>
    <x v="1"/>
    <s v="S-103"/>
    <s v="Elite Paper Co"/>
    <n v="232"/>
    <n v="165.9"/>
    <d v="2025-03-12T00:00:00"/>
    <d v="2025-03-20T00:00:00"/>
    <n v="30.3"/>
    <n v="38488.800000000003"/>
    <n v="7029.6"/>
    <n v="8"/>
    <n v="0.18264014466546111"/>
  </r>
  <r>
    <s v="PROD-1750"/>
    <s v="Socks"/>
    <x v="1"/>
    <s v="S-102"/>
    <s v="Sunrise Industries"/>
    <n v="178"/>
    <n v="367.46"/>
    <d v="2025-05-27T00:00:00"/>
    <d v="2025-06-07T00:00:00"/>
    <n v="48.92"/>
    <n v="65407.88"/>
    <n v="8707.76"/>
    <n v="11"/>
    <n v="0.13313013661350898"/>
  </r>
  <r>
    <s v="PROD-1751"/>
    <s v="Bookshelf"/>
    <x v="4"/>
    <s v="S-104"/>
    <s v="Modern Home Supplies"/>
    <n v="375"/>
    <n v="82.93"/>
    <d v="2025-05-09T00:00:00"/>
    <d v="2025-05-18T00:00:00"/>
    <n v="12.35"/>
    <n v="31098.750000000004"/>
    <n v="4631.25"/>
    <n v="9"/>
    <n v="0.14892077655854333"/>
  </r>
  <r>
    <s v="PROD-1752"/>
    <s v="Tablet"/>
    <x v="2"/>
    <s v="S-104"/>
    <s v="Modern Home Supplies"/>
    <n v="382"/>
    <n v="185.11"/>
    <d v="2025-04-25T00:00:00"/>
    <d v="2025-05-04T00:00:00"/>
    <n v="47.67"/>
    <n v="70712.02"/>
    <n v="18209.940000000002"/>
    <n v="9"/>
    <n v="0.25752255415698772"/>
  </r>
  <r>
    <s v="PROD-1753"/>
    <s v="Coffee Beans"/>
    <x v="3"/>
    <s v="S-104"/>
    <s v="Modern Home Supplies"/>
    <n v="126"/>
    <n v="152.96"/>
    <d v="2025-06-25T00:00:00"/>
    <d v="2025-07-06T00:00:00"/>
    <n v="41.88"/>
    <n v="19272.960000000003"/>
    <n v="5276.88"/>
    <n v="11"/>
    <n v="0.27379707112970714"/>
  </r>
  <r>
    <s v="PROD-1754"/>
    <s v="Desk Lamp"/>
    <x v="4"/>
    <s v="S-105"/>
    <s v="Fresh Mart Logistics"/>
    <n v="34"/>
    <n v="342.6"/>
    <d v="2025-06-15T00:00:00"/>
    <d v="2025-06-26T00:00:00"/>
    <n v="54.09"/>
    <n v="11648.400000000001"/>
    <n v="1839.0600000000002"/>
    <n v="11"/>
    <n v="0.15788091068301227"/>
  </r>
  <r>
    <s v="PROD-1755"/>
    <s v="Dark Chocolate"/>
    <x v="3"/>
    <s v="S-102"/>
    <s v="Sunrise Industries"/>
    <n v="230"/>
    <n v="383.7"/>
    <d v="2025-05-03T00:00:00"/>
    <d v="2025-05-27T00:00:00"/>
    <n v="47.56"/>
    <n v="88251"/>
    <n v="10938.800000000001"/>
    <n v="24"/>
    <n v="0.1239510033880636"/>
  </r>
  <r>
    <s v="PROD-1756"/>
    <s v="Desk Lamp"/>
    <x v="4"/>
    <s v="S-104"/>
    <s v="Modern Home Supplies"/>
    <n v="39"/>
    <n v="185.49"/>
    <d v="2025-01-03T00:00:00"/>
    <d v="2025-01-12T00:00:00"/>
    <n v="27.4"/>
    <n v="7234.1100000000006"/>
    <n v="1068.5999999999999"/>
    <n v="9"/>
    <n v="0.14771685805164697"/>
  </r>
  <r>
    <s v="PROD-1757"/>
    <s v="T-Shirt"/>
    <x v="1"/>
    <s v="S-101"/>
    <s v="Global Tech Corp"/>
    <n v="352"/>
    <n v="217.85"/>
    <d v="2025-02-22T00:00:00"/>
    <d v="2025-03-15T00:00:00"/>
    <n v="22.37"/>
    <n v="76683.199999999997"/>
    <n v="7874.2400000000007"/>
    <n v="21"/>
    <n v="0.10268533394537527"/>
  </r>
  <r>
    <s v="PROD-1758"/>
    <s v="Cap"/>
    <x v="1"/>
    <s v="S-104"/>
    <s v="Modern Home Supplies"/>
    <n v="301"/>
    <n v="122.58"/>
    <d v="2025-03-16T00:00:00"/>
    <d v="2025-04-14T00:00:00"/>
    <n v="21.88"/>
    <n v="36896.58"/>
    <n v="6585.88"/>
    <n v="29"/>
    <n v="0.17849567629303312"/>
  </r>
  <r>
    <s v="PROD-1759"/>
    <s v="Hoodie"/>
    <x v="1"/>
    <s v="S-105"/>
    <s v="Fresh Mart Logistics"/>
    <n v="381"/>
    <n v="134.32"/>
    <d v="2025-02-14T00:00:00"/>
    <d v="2025-02-27T00:00:00"/>
    <n v="29.08"/>
    <n v="51175.92"/>
    <n v="11079.48"/>
    <n v="13"/>
    <n v="0.21649791542584873"/>
  </r>
  <r>
    <s v="PROD-1760"/>
    <s v="Hoodie"/>
    <x v="1"/>
    <s v="S-103"/>
    <s v="Elite Paper Co"/>
    <n v="68"/>
    <n v="141.53"/>
    <d v="2025-05-29T00:00:00"/>
    <d v="2025-06-07T00:00:00"/>
    <n v="27.7"/>
    <n v="9624.0400000000009"/>
    <n v="1883.6"/>
    <n v="9"/>
    <n v="0.19571822228502792"/>
  </r>
  <r>
    <s v="PROD-1761"/>
    <s v="Coffee Beans"/>
    <x v="3"/>
    <s v="S-101"/>
    <s v="Global Tech Corp"/>
    <n v="469"/>
    <n v="422.55"/>
    <d v="2025-01-31T00:00:00"/>
    <d v="2025-02-28T00:00:00"/>
    <n v="93.39"/>
    <n v="198175.95"/>
    <n v="43799.91"/>
    <n v="28"/>
    <n v="0.22101526446574368"/>
  </r>
  <r>
    <s v="PROD-1762"/>
    <s v="Notebook"/>
    <x v="0"/>
    <s v="S-101"/>
    <s v="Global Tech Corp"/>
    <n v="101"/>
    <n v="130.31"/>
    <d v="2025-06-07T00:00:00"/>
    <d v="2025-06-20T00:00:00"/>
    <n v="14.06"/>
    <n v="13161.31"/>
    <n v="1420.06"/>
    <n v="13"/>
    <n v="0.10789655437034763"/>
  </r>
  <r>
    <s v="PROD-1763"/>
    <s v="Laptop"/>
    <x v="2"/>
    <s v="S-105"/>
    <s v="Fresh Mart Logistics"/>
    <n v="409"/>
    <n v="86.87"/>
    <d v="2025-04-03T00:00:00"/>
    <d v="2025-04-05T00:00:00"/>
    <n v="14.12"/>
    <n v="35529.83"/>
    <n v="5775.08"/>
    <n v="2"/>
    <n v="0.16254172902037525"/>
  </r>
  <r>
    <s v="PROD-1764"/>
    <s v="Tablet"/>
    <x v="2"/>
    <s v="S-101"/>
    <s v="Global Tech Corp"/>
    <n v="479"/>
    <n v="56.48"/>
    <d v="2025-05-03T00:00:00"/>
    <d v="2025-05-18T00:00:00"/>
    <n v="13.53"/>
    <n v="27053.919999999998"/>
    <n v="6480.87"/>
    <n v="15"/>
    <n v="0.23955382436260622"/>
  </r>
  <r>
    <s v="PROD-1765"/>
    <s v="T-Shirt"/>
    <x v="1"/>
    <s v="S-101"/>
    <s v="Global Tech Corp"/>
    <n v="236"/>
    <n v="122.69"/>
    <d v="2025-03-12T00:00:00"/>
    <d v="2025-04-09T00:00:00"/>
    <n v="34.9"/>
    <n v="28954.84"/>
    <n v="8236.4"/>
    <n v="28"/>
    <n v="0.28445676094221206"/>
  </r>
  <r>
    <s v="PROD-1766"/>
    <s v="Notebook"/>
    <x v="0"/>
    <s v="S-105"/>
    <s v="Fresh Mart Logistics"/>
    <n v="402"/>
    <n v="60.41"/>
    <d v="2025-06-23T00:00:00"/>
    <d v="2025-07-11T00:00:00"/>
    <n v="10.53"/>
    <n v="24284.82"/>
    <n v="4233.0599999999995"/>
    <n v="18"/>
    <n v="0.17430888925674556"/>
  </r>
  <r>
    <s v="PROD-1767"/>
    <s v="Smartphone"/>
    <x v="2"/>
    <s v="S-104"/>
    <s v="Modern Home Supplies"/>
    <n v="186"/>
    <n v="459.37"/>
    <d v="2025-03-06T00:00:00"/>
    <d v="2025-03-26T00:00:00"/>
    <n v="64.66"/>
    <n v="85442.82"/>
    <n v="12026.76"/>
    <n v="20"/>
    <n v="0.14075799464483965"/>
  </r>
  <r>
    <s v="PROD-1768"/>
    <s v="Almonds"/>
    <x v="3"/>
    <s v="S-101"/>
    <s v="Global Tech Corp"/>
    <n v="105"/>
    <n v="343.51"/>
    <d v="2025-03-30T00:00:00"/>
    <d v="2025-04-12T00:00:00"/>
    <n v="56.25"/>
    <n v="36068.549999999996"/>
    <n v="5906.25"/>
    <n v="13"/>
    <n v="0.16375069139180809"/>
  </r>
  <r>
    <s v="PROD-1769"/>
    <s v="Dark Chocolate"/>
    <x v="3"/>
    <s v="S-101"/>
    <s v="Global Tech Corp"/>
    <n v="446"/>
    <n v="254.26"/>
    <d v="2025-05-24T00:00:00"/>
    <d v="2025-05-29T00:00:00"/>
    <n v="30"/>
    <n v="113399.95999999999"/>
    <n v="13380"/>
    <n v="5"/>
    <n v="0.117989459608275"/>
  </r>
  <r>
    <s v="PROD-1770"/>
    <s v="Almonds"/>
    <x v="3"/>
    <s v="S-102"/>
    <s v="Sunrise Industries"/>
    <n v="164"/>
    <n v="207.58"/>
    <d v="2025-04-30T00:00:00"/>
    <d v="2025-05-11T00:00:00"/>
    <n v="47.4"/>
    <n v="34043.120000000003"/>
    <n v="7773.5999999999995"/>
    <n v="11"/>
    <n v="0.22834569804412755"/>
  </r>
  <r>
    <s v="PROD-1771"/>
    <s v="Bookshelf"/>
    <x v="4"/>
    <s v="S-105"/>
    <s v="Fresh Mart Logistics"/>
    <n v="229"/>
    <n v="363.21"/>
    <d v="2025-06-07T00:00:00"/>
    <d v="2025-06-14T00:00:00"/>
    <n v="61.75"/>
    <n v="83175.09"/>
    <n v="14140.75"/>
    <n v="7"/>
    <n v="0.17001183888108809"/>
  </r>
  <r>
    <s v="PROD-1772"/>
    <s v="Coffee Beans"/>
    <x v="3"/>
    <s v="S-103"/>
    <s v="Elite Paper Co"/>
    <n v="194"/>
    <n v="169.11"/>
    <d v="2025-01-20T00:00:00"/>
    <d v="2025-02-10T00:00:00"/>
    <n v="44.72"/>
    <n v="32807.340000000004"/>
    <n v="8675.68"/>
    <n v="21"/>
    <n v="0.26444326178227184"/>
  </r>
  <r>
    <s v="PROD-1773"/>
    <s v="Pen Set"/>
    <x v="0"/>
    <s v="S-101"/>
    <s v="Global Tech Corp"/>
    <n v="72"/>
    <n v="389.17"/>
    <d v="2025-03-08T00:00:00"/>
    <d v="2025-03-28T00:00:00"/>
    <n v="80.83"/>
    <n v="28020.240000000002"/>
    <n v="5819.76"/>
    <n v="20"/>
    <n v="0.20769843513117658"/>
  </r>
  <r>
    <s v="PROD-1774"/>
    <s v="Stool"/>
    <x v="4"/>
    <s v="S-104"/>
    <s v="Modern Home Supplies"/>
    <n v="482"/>
    <n v="452.38"/>
    <d v="2025-02-14T00:00:00"/>
    <d v="2025-03-11T00:00:00"/>
    <n v="88.44"/>
    <n v="218047.16"/>
    <n v="42628.08"/>
    <n v="25"/>
    <n v="0.19549935894601883"/>
  </r>
  <r>
    <s v="PROD-1775"/>
    <s v="T-Shirt"/>
    <x v="1"/>
    <s v="S-102"/>
    <s v="Sunrise Industries"/>
    <n v="278"/>
    <n v="132.97999999999999"/>
    <d v="2025-03-23T00:00:00"/>
    <d v="2025-04-12T00:00:00"/>
    <n v="24.05"/>
    <n v="36968.439999999995"/>
    <n v="6685.9000000000005"/>
    <n v="20"/>
    <n v="0.18085426379906755"/>
  </r>
  <r>
    <s v="PROD-1776"/>
    <s v="Almonds"/>
    <x v="3"/>
    <s v="S-104"/>
    <s v="Modern Home Supplies"/>
    <n v="439"/>
    <n v="334.19"/>
    <d v="2025-03-04T00:00:00"/>
    <d v="2025-03-17T00:00:00"/>
    <n v="58.42"/>
    <n v="146709.41"/>
    <n v="25646.38"/>
    <n v="13"/>
    <n v="0.17481073640743292"/>
  </r>
  <r>
    <s v="PROD-1777"/>
    <s v="Marker"/>
    <x v="0"/>
    <s v="S-104"/>
    <s v="Modern Home Supplies"/>
    <n v="189"/>
    <n v="365.97"/>
    <d v="2025-01-02T00:00:00"/>
    <d v="2025-01-16T00:00:00"/>
    <n v="40.47"/>
    <n v="69168.33"/>
    <n v="7648.83"/>
    <n v="14"/>
    <n v="0.11058283465857856"/>
  </r>
  <r>
    <s v="PROD-1778"/>
    <s v="Pen Set"/>
    <x v="0"/>
    <s v="S-104"/>
    <s v="Modern Home Supplies"/>
    <n v="35"/>
    <n v="313.08"/>
    <d v="2025-03-17T00:00:00"/>
    <d v="2025-04-06T00:00:00"/>
    <n v="89.11"/>
    <n v="10957.8"/>
    <n v="3118.85"/>
    <n v="20"/>
    <n v="0.28462373834163796"/>
  </r>
  <r>
    <s v="PROD-1779"/>
    <s v="Socks"/>
    <x v="1"/>
    <s v="S-103"/>
    <s v="Elite Paper Co"/>
    <n v="165"/>
    <n v="155.34"/>
    <d v="2025-01-30T00:00:00"/>
    <d v="2025-02-09T00:00:00"/>
    <n v="30.32"/>
    <n v="25631.100000000002"/>
    <n v="5002.8"/>
    <n v="10"/>
    <n v="0.19518475601905497"/>
  </r>
  <r>
    <s v="PROD-1780"/>
    <s v="Stool"/>
    <x v="4"/>
    <s v="S-101"/>
    <s v="Global Tech Corp"/>
    <n v="88"/>
    <n v="340.55"/>
    <d v="2025-01-14T00:00:00"/>
    <d v="2025-02-09T00:00:00"/>
    <n v="56.39"/>
    <n v="29968.400000000001"/>
    <n v="4962.32"/>
    <n v="26"/>
    <n v="0.16558508295404492"/>
  </r>
  <r>
    <s v="PROD-1781"/>
    <s v="Desk Organizer"/>
    <x v="0"/>
    <s v="S-105"/>
    <s v="Fresh Mart Logistics"/>
    <n v="291"/>
    <n v="498.18"/>
    <d v="2025-05-09T00:00:00"/>
    <d v="2025-06-08T00:00:00"/>
    <n v="68.8"/>
    <n v="144970.38"/>
    <n v="20020.8"/>
    <n v="30"/>
    <n v="0.13810269380545184"/>
  </r>
  <r>
    <s v="PROD-1782"/>
    <s v="Notebook"/>
    <x v="0"/>
    <s v="S-101"/>
    <s v="Global Tech Corp"/>
    <n v="368"/>
    <n v="75.540000000000006"/>
    <d v="2025-05-13T00:00:00"/>
    <d v="2025-05-27T00:00:00"/>
    <n v="17.809999999999999"/>
    <n v="27798.720000000001"/>
    <n v="6554.08"/>
    <n v="14"/>
    <n v="0.23576912893831078"/>
  </r>
  <r>
    <s v="PROD-1783"/>
    <s v="Headphones"/>
    <x v="2"/>
    <s v="S-102"/>
    <s v="Sunrise Industries"/>
    <n v="122"/>
    <n v="171.7"/>
    <d v="2025-04-02T00:00:00"/>
    <d v="2025-04-23T00:00:00"/>
    <n v="24.15"/>
    <n v="20947.399999999998"/>
    <n v="2946.2999999999997"/>
    <n v="21"/>
    <n v="0.14065230052417008"/>
  </r>
  <r>
    <s v="PROD-1784"/>
    <s v="Cap"/>
    <x v="1"/>
    <s v="S-101"/>
    <s v="Global Tech Corp"/>
    <n v="280"/>
    <n v="139.47999999999999"/>
    <d v="2025-06-12T00:00:00"/>
    <d v="2025-06-27T00:00:00"/>
    <n v="27.73"/>
    <n v="39054.399999999994"/>
    <n v="7764.4000000000005"/>
    <n v="15"/>
    <n v="0.19880986521365071"/>
  </r>
  <r>
    <s v="PROD-1785"/>
    <s v="Cap"/>
    <x v="1"/>
    <s v="S-105"/>
    <s v="Fresh Mart Logistics"/>
    <n v="400"/>
    <n v="54.35"/>
    <d v="2025-05-05T00:00:00"/>
    <d v="2025-05-26T00:00:00"/>
    <n v="13.78"/>
    <n v="21740"/>
    <n v="5512"/>
    <n v="21"/>
    <n v="0.25354185832566695"/>
  </r>
  <r>
    <s v="PROD-1786"/>
    <s v="Laptop"/>
    <x v="2"/>
    <s v="S-102"/>
    <s v="Sunrise Industries"/>
    <n v="331"/>
    <n v="281.11"/>
    <d v="2025-01-03T00:00:00"/>
    <d v="2025-01-20T00:00:00"/>
    <n v="70.59"/>
    <n v="93047.41"/>
    <n v="23365.29"/>
    <n v="17"/>
    <n v="0.25111166447298211"/>
  </r>
  <r>
    <s v="PROD-1787"/>
    <s v="Socks"/>
    <x v="1"/>
    <s v="S-103"/>
    <s v="Elite Paper Co"/>
    <n v="110"/>
    <n v="49.6"/>
    <d v="2025-04-19T00:00:00"/>
    <d v="2025-05-09T00:00:00"/>
    <n v="5.57"/>
    <n v="5456"/>
    <n v="612.70000000000005"/>
    <n v="20"/>
    <n v="0.1122983870967742"/>
  </r>
  <r>
    <s v="PROD-1788"/>
    <s v="Desk Lamp"/>
    <x v="4"/>
    <s v="S-104"/>
    <s v="Modern Home Supplies"/>
    <n v="295"/>
    <n v="260.07"/>
    <d v="2025-04-08T00:00:00"/>
    <d v="2025-04-24T00:00:00"/>
    <n v="41.38"/>
    <n v="76720.649999999994"/>
    <n v="12207.1"/>
    <n v="16"/>
    <n v="0.15911100857461455"/>
  </r>
  <r>
    <s v="PROD-1789"/>
    <s v="Hoodie"/>
    <x v="1"/>
    <s v="S-102"/>
    <s v="Sunrise Industries"/>
    <n v="159"/>
    <n v="82.67"/>
    <d v="2025-02-01T00:00:00"/>
    <d v="2025-02-27T00:00:00"/>
    <n v="12.36"/>
    <n v="13144.53"/>
    <n v="1965.24"/>
    <n v="26"/>
    <n v="0.14951010039917745"/>
  </r>
  <r>
    <s v="PROD-1790"/>
    <s v="Smartphone"/>
    <x v="2"/>
    <s v="S-101"/>
    <s v="Global Tech Corp"/>
    <n v="286"/>
    <n v="379.26"/>
    <d v="2025-04-30T00:00:00"/>
    <d v="2025-05-10T00:00:00"/>
    <n v="66.78"/>
    <n v="108468.36"/>
    <n v="19099.080000000002"/>
    <n v="10"/>
    <n v="0.17607973421926912"/>
  </r>
  <r>
    <s v="PROD-1791"/>
    <s v="Marker"/>
    <x v="0"/>
    <s v="S-101"/>
    <s v="Global Tech Corp"/>
    <n v="229"/>
    <n v="15.8"/>
    <d v="2025-05-21T00:00:00"/>
    <d v="2025-06-11T00:00:00"/>
    <n v="3.79"/>
    <n v="3618.2000000000003"/>
    <n v="867.91"/>
    <n v="21"/>
    <n v="0.23987341772151899"/>
  </r>
  <r>
    <s v="PROD-1792"/>
    <s v="Marker"/>
    <x v="0"/>
    <s v="S-102"/>
    <s v="Sunrise Industries"/>
    <n v="449"/>
    <n v="26.25"/>
    <d v="2025-04-27T00:00:00"/>
    <d v="2025-05-14T00:00:00"/>
    <n v="4.1500000000000004"/>
    <n v="11786.25"/>
    <n v="1863.3500000000001"/>
    <n v="17"/>
    <n v="0.15809523809523812"/>
  </r>
  <r>
    <s v="PROD-1793"/>
    <s v="Bookshelf"/>
    <x v="4"/>
    <s v="S-103"/>
    <s v="Elite Paper Co"/>
    <n v="197"/>
    <n v="284.88"/>
    <d v="2025-06-04T00:00:00"/>
    <d v="2025-06-27T00:00:00"/>
    <n v="55.59"/>
    <n v="56121.36"/>
    <n v="10951.230000000001"/>
    <n v="23"/>
    <n v="0.19513479359730415"/>
  </r>
  <r>
    <s v="PROD-1794"/>
    <s v="Laptop"/>
    <x v="2"/>
    <s v="S-105"/>
    <s v="Fresh Mart Logistics"/>
    <n v="308"/>
    <n v="220.6"/>
    <d v="2025-04-13T00:00:00"/>
    <d v="2025-04-25T00:00:00"/>
    <n v="53.97"/>
    <n v="67944.800000000003"/>
    <n v="16622.759999999998"/>
    <n v="12"/>
    <n v="0.24465095194922937"/>
  </r>
  <r>
    <s v="PROD-1795"/>
    <s v="Cap"/>
    <x v="1"/>
    <s v="S-102"/>
    <s v="Sunrise Industries"/>
    <n v="284"/>
    <n v="84.5"/>
    <d v="2025-06-08T00:00:00"/>
    <d v="2025-06-13T00:00:00"/>
    <n v="11.94"/>
    <n v="23998"/>
    <n v="3390.96"/>
    <n v="5"/>
    <n v="0.14130177514792899"/>
  </r>
  <r>
    <s v="PROD-1796"/>
    <s v="Tablet"/>
    <x v="2"/>
    <s v="S-105"/>
    <s v="Fresh Mart Logistics"/>
    <n v="495"/>
    <n v="54.62"/>
    <d v="2025-04-23T00:00:00"/>
    <d v="2025-05-07T00:00:00"/>
    <n v="11.41"/>
    <n v="27036.899999999998"/>
    <n v="5647.95"/>
    <n v="14"/>
    <n v="0.20889783961918712"/>
  </r>
  <r>
    <s v="PROD-1797"/>
    <s v="Desk Lamp"/>
    <x v="4"/>
    <s v="S-103"/>
    <s v="Elite Paper Co"/>
    <n v="100"/>
    <n v="453.84"/>
    <d v="2025-04-30T00:00:00"/>
    <d v="2025-05-18T00:00:00"/>
    <n v="53.49"/>
    <n v="45384"/>
    <n v="5349"/>
    <n v="18"/>
    <n v="0.11786092014806981"/>
  </r>
  <r>
    <s v="PROD-1798"/>
    <s v="Bookshelf"/>
    <x v="4"/>
    <s v="S-102"/>
    <s v="Sunrise Industries"/>
    <n v="43"/>
    <n v="33.69"/>
    <d v="2025-06-25T00:00:00"/>
    <d v="2025-06-29T00:00:00"/>
    <n v="7.35"/>
    <n v="1448.6699999999998"/>
    <n v="316.05"/>
    <n v="4"/>
    <n v="0.21816562778272486"/>
  </r>
  <r>
    <s v="PROD-1799"/>
    <s v="Notebook"/>
    <x v="0"/>
    <s v="S-104"/>
    <s v="Modern Home Supplies"/>
    <n v="481"/>
    <n v="175.06"/>
    <d v="2025-01-31T00:00:00"/>
    <d v="2025-02-03T00:00:00"/>
    <n v="30.37"/>
    <n v="84203.86"/>
    <n v="14607.970000000001"/>
    <n v="3"/>
    <n v="0.1734833771278419"/>
  </r>
  <r>
    <s v="PROD-1800"/>
    <s v="Socks"/>
    <x v="1"/>
    <s v="S-105"/>
    <s v="Fresh Mart Logistics"/>
    <n v="495"/>
    <n v="347.41"/>
    <d v="2025-03-10T00:00:00"/>
    <d v="2025-03-28T00:00:00"/>
    <n v="63.68"/>
    <n v="171967.95"/>
    <n v="31521.599999999999"/>
    <n v="18"/>
    <n v="0.18329927175383551"/>
  </r>
  <r>
    <s v="PROD-1801"/>
    <s v="Pen Set"/>
    <x v="0"/>
    <s v="S-104"/>
    <s v="Modern Home Supplies"/>
    <n v="435"/>
    <n v="111.87"/>
    <d v="2025-01-21T00:00:00"/>
    <d v="2025-01-27T00:00:00"/>
    <n v="31.7"/>
    <n v="48663.450000000004"/>
    <n v="13789.5"/>
    <n v="6"/>
    <n v="0.28336461964780546"/>
  </r>
  <r>
    <s v="PROD-1802"/>
    <s v="Tablet"/>
    <x v="2"/>
    <s v="S-104"/>
    <s v="Modern Home Supplies"/>
    <n v="172"/>
    <n v="330.47"/>
    <d v="2025-02-06T00:00:00"/>
    <d v="2025-02-23T00:00:00"/>
    <n v="93.42"/>
    <n v="56840.840000000004"/>
    <n v="16068.24"/>
    <n v="17"/>
    <n v="0.28268829243199078"/>
  </r>
  <r>
    <s v="PROD-1803"/>
    <s v="Dark Chocolate"/>
    <x v="3"/>
    <s v="S-105"/>
    <s v="Fresh Mart Logistics"/>
    <n v="13"/>
    <n v="202.41"/>
    <d v="2025-04-12T00:00:00"/>
    <d v="2025-04-28T00:00:00"/>
    <n v="44.55"/>
    <n v="2631.33"/>
    <n v="579.15"/>
    <n v="16"/>
    <n v="0.2200978212538906"/>
  </r>
  <r>
    <s v="PROD-1804"/>
    <s v="Organic Tea"/>
    <x v="3"/>
    <s v="S-103"/>
    <s v="Elite Paper Co"/>
    <n v="129"/>
    <n v="221.61"/>
    <d v="2025-04-01T00:00:00"/>
    <d v="2025-04-03T00:00:00"/>
    <n v="60.79"/>
    <n v="28587.690000000002"/>
    <n v="7841.91"/>
    <n v="2"/>
    <n v="0.27431072605026846"/>
  </r>
  <r>
    <s v="PROD-1805"/>
    <s v="Laptop"/>
    <x v="2"/>
    <s v="S-102"/>
    <s v="Sunrise Industries"/>
    <n v="401"/>
    <n v="120.82"/>
    <d v="2025-03-17T00:00:00"/>
    <d v="2025-03-31T00:00:00"/>
    <n v="34.89"/>
    <n v="48448.82"/>
    <n v="13990.89"/>
    <n v="14"/>
    <n v="0.28877669260056282"/>
  </r>
  <r>
    <s v="PROD-1806"/>
    <s v="Stool"/>
    <x v="4"/>
    <s v="S-104"/>
    <s v="Modern Home Supplies"/>
    <n v="218"/>
    <n v="243.63"/>
    <d v="2025-04-09T00:00:00"/>
    <d v="2025-04-11T00:00:00"/>
    <n v="50.78"/>
    <n v="53111.34"/>
    <n v="11070.04"/>
    <n v="2"/>
    <n v="0.20843081722283791"/>
  </r>
  <r>
    <s v="PROD-1807"/>
    <s v="Desk Lamp"/>
    <x v="4"/>
    <s v="S-103"/>
    <s v="Elite Paper Co"/>
    <n v="487"/>
    <n v="428.25"/>
    <d v="2025-01-31T00:00:00"/>
    <d v="2025-02-14T00:00:00"/>
    <n v="127.3"/>
    <n v="208557.75"/>
    <n v="61995.1"/>
    <n v="14"/>
    <n v="0.29725627553998829"/>
  </r>
  <r>
    <s v="PROD-1808"/>
    <s v="Pen Set"/>
    <x v="0"/>
    <s v="S-104"/>
    <s v="Modern Home Supplies"/>
    <n v="460"/>
    <n v="498.64"/>
    <d v="2025-04-21T00:00:00"/>
    <d v="2025-05-19T00:00:00"/>
    <n v="135.38999999999999"/>
    <n v="229374.4"/>
    <n v="62279.399999999994"/>
    <n v="28"/>
    <n v="0.2715185304026953"/>
  </r>
  <r>
    <s v="PROD-1809"/>
    <s v="Coffee Beans"/>
    <x v="3"/>
    <s v="S-103"/>
    <s v="Elite Paper Co"/>
    <n v="151"/>
    <n v="55.39"/>
    <d v="2025-05-15T00:00:00"/>
    <d v="2025-05-18T00:00:00"/>
    <n v="6.87"/>
    <n v="8363.89"/>
    <n v="1037.3700000000001"/>
    <n v="3"/>
    <n v="0.12402960823253295"/>
  </r>
  <r>
    <s v="PROD-1810"/>
    <s v="Cap"/>
    <x v="1"/>
    <s v="S-102"/>
    <s v="Sunrise Industries"/>
    <n v="294"/>
    <n v="491.92"/>
    <d v="2025-04-15T00:00:00"/>
    <d v="2025-04-18T00:00:00"/>
    <n v="83.65"/>
    <n v="144624.48000000001"/>
    <n v="24593.100000000002"/>
    <n v="3"/>
    <n v="0.17004797528053342"/>
  </r>
  <r>
    <s v="PROD-1811"/>
    <s v="Headphones"/>
    <x v="2"/>
    <s v="S-102"/>
    <s v="Sunrise Industries"/>
    <n v="283"/>
    <n v="318.39999999999998"/>
    <d v="2025-01-31T00:00:00"/>
    <d v="2025-03-02T00:00:00"/>
    <n v="40.020000000000003"/>
    <n v="90107.199999999997"/>
    <n v="11325.660000000002"/>
    <n v="30"/>
    <n v="0.12569095477386938"/>
  </r>
  <r>
    <s v="PROD-1812"/>
    <s v="Office Chair"/>
    <x v="4"/>
    <s v="S-105"/>
    <s v="Fresh Mart Logistics"/>
    <n v="355"/>
    <n v="443.93"/>
    <d v="2025-03-04T00:00:00"/>
    <d v="2025-03-11T00:00:00"/>
    <n v="111.65"/>
    <n v="157595.15"/>
    <n v="39635.75"/>
    <n v="7"/>
    <n v="0.25150361543486588"/>
  </r>
  <r>
    <s v="PROD-1813"/>
    <s v="Coffee Beans"/>
    <x v="3"/>
    <s v="S-102"/>
    <s v="Sunrise Industries"/>
    <n v="409"/>
    <n v="218.21"/>
    <d v="2025-05-31T00:00:00"/>
    <d v="2025-06-08T00:00:00"/>
    <n v="60.42"/>
    <n v="89247.89"/>
    <n v="24711.780000000002"/>
    <n v="8"/>
    <n v="0.27688923514046104"/>
  </r>
  <r>
    <s v="PROD-1814"/>
    <s v="Desk Organizer"/>
    <x v="0"/>
    <s v="S-103"/>
    <s v="Elite Paper Co"/>
    <n v="353"/>
    <n v="396.81"/>
    <d v="2025-02-27T00:00:00"/>
    <d v="2025-03-07T00:00:00"/>
    <n v="67.16"/>
    <n v="140073.93"/>
    <n v="23707.48"/>
    <n v="8"/>
    <n v="0.16924976689095536"/>
  </r>
  <r>
    <s v="PROD-1815"/>
    <s v="Desk Lamp"/>
    <x v="4"/>
    <s v="S-103"/>
    <s v="Elite Paper Co"/>
    <n v="177"/>
    <n v="175.46"/>
    <d v="2025-05-02T00:00:00"/>
    <d v="2025-05-22T00:00:00"/>
    <n v="45.04"/>
    <n v="31056.420000000002"/>
    <n v="7972.08"/>
    <n v="20"/>
    <n v="0.25669668300467341"/>
  </r>
  <r>
    <s v="PROD-1816"/>
    <s v="Notebook"/>
    <x v="0"/>
    <s v="S-103"/>
    <s v="Elite Paper Co"/>
    <n v="128"/>
    <n v="439.76"/>
    <d v="2025-05-12T00:00:00"/>
    <d v="2025-05-31T00:00:00"/>
    <n v="95.77"/>
    <n v="56289.279999999999"/>
    <n v="12258.56"/>
    <n v="19"/>
    <n v="0.21777787884300528"/>
  </r>
  <r>
    <s v="PROD-1817"/>
    <s v="Organic Tea"/>
    <x v="3"/>
    <s v="S-105"/>
    <s v="Fresh Mart Logistics"/>
    <n v="481"/>
    <n v="445.28"/>
    <d v="2025-01-29T00:00:00"/>
    <d v="2025-02-24T00:00:00"/>
    <n v="108.83"/>
    <n v="214179.68"/>
    <n v="52347.229999999996"/>
    <n v="26"/>
    <n v="0.24440801293568093"/>
  </r>
  <r>
    <s v="PROD-1818"/>
    <s v="Desk Organizer"/>
    <x v="0"/>
    <s v="S-101"/>
    <s v="Global Tech Corp"/>
    <n v="275"/>
    <n v="353.6"/>
    <d v="2025-06-09T00:00:00"/>
    <d v="2025-06-22T00:00:00"/>
    <n v="59.81"/>
    <n v="97240"/>
    <n v="16447.75"/>
    <n v="13"/>
    <n v="0.16914592760180994"/>
  </r>
  <r>
    <s v="PROD-1819"/>
    <s v="Headphones"/>
    <x v="2"/>
    <s v="S-103"/>
    <s v="Elite Paper Co"/>
    <n v="61"/>
    <n v="280.08999999999997"/>
    <d v="2025-03-14T00:00:00"/>
    <d v="2025-04-02T00:00:00"/>
    <n v="73.61"/>
    <n v="17085.489999999998"/>
    <n v="4490.21"/>
    <n v="19"/>
    <n v="0.26280838301974369"/>
  </r>
  <r>
    <s v="PROD-1820"/>
    <s v="Cap"/>
    <x v="1"/>
    <s v="S-103"/>
    <s v="Elite Paper Co"/>
    <n v="238"/>
    <n v="471.42"/>
    <d v="2025-06-25T00:00:00"/>
    <d v="2025-07-16T00:00:00"/>
    <n v="125.05"/>
    <n v="112197.96"/>
    <n v="29761.899999999998"/>
    <n v="21"/>
    <n v="0.26526239871027957"/>
  </r>
  <r>
    <s v="PROD-1821"/>
    <s v="Pen Set"/>
    <x v="0"/>
    <s v="S-101"/>
    <s v="Global Tech Corp"/>
    <n v="142"/>
    <n v="116.63"/>
    <d v="2025-02-11T00:00:00"/>
    <d v="2025-03-13T00:00:00"/>
    <n v="26.15"/>
    <n v="16561.46"/>
    <n v="3713.2999999999997"/>
    <n v="30"/>
    <n v="0.22421332418760181"/>
  </r>
  <r>
    <s v="PROD-1822"/>
    <s v="Stool"/>
    <x v="4"/>
    <s v="S-101"/>
    <s v="Global Tech Corp"/>
    <n v="457"/>
    <n v="158.49"/>
    <d v="2025-01-28T00:00:00"/>
    <d v="2025-02-27T00:00:00"/>
    <n v="19.23"/>
    <n v="72429.930000000008"/>
    <n v="8788.11"/>
    <n v="30"/>
    <n v="0.1213325761877721"/>
  </r>
  <r>
    <s v="PROD-1823"/>
    <s v="Almonds"/>
    <x v="3"/>
    <s v="S-105"/>
    <s v="Fresh Mart Logistics"/>
    <n v="78"/>
    <n v="321.02"/>
    <d v="2025-01-26T00:00:00"/>
    <d v="2025-01-31T00:00:00"/>
    <n v="76.010000000000005"/>
    <n v="25039.559999999998"/>
    <n v="5928.7800000000007"/>
    <n v="5"/>
    <n v="0.23677652482711362"/>
  </r>
  <r>
    <s v="PROD-1824"/>
    <s v="Stool"/>
    <x v="4"/>
    <s v="S-103"/>
    <s v="Elite Paper Co"/>
    <n v="324"/>
    <n v="401.36"/>
    <d v="2025-03-26T00:00:00"/>
    <d v="2025-03-28T00:00:00"/>
    <n v="46.71"/>
    <n v="130040.64"/>
    <n v="15134.04"/>
    <n v="2"/>
    <n v="0.11637931034482758"/>
  </r>
  <r>
    <s v="PROD-1825"/>
    <s v="Cap"/>
    <x v="1"/>
    <s v="S-101"/>
    <s v="Global Tech Corp"/>
    <n v="486"/>
    <n v="189.03"/>
    <d v="2025-04-08T00:00:00"/>
    <d v="2025-05-06T00:00:00"/>
    <n v="38.72"/>
    <n v="91868.58"/>
    <n v="18817.919999999998"/>
    <n v="28"/>
    <n v="0.20483521134211499"/>
  </r>
  <r>
    <s v="PROD-1826"/>
    <s v="Dark Chocolate"/>
    <x v="3"/>
    <s v="S-103"/>
    <s v="Elite Paper Co"/>
    <n v="324"/>
    <n v="475.8"/>
    <d v="2025-04-13T00:00:00"/>
    <d v="2025-04-19T00:00:00"/>
    <n v="83.76"/>
    <n v="154159.20000000001"/>
    <n v="27138.240000000002"/>
    <n v="6"/>
    <n v="0.17604035308953342"/>
  </r>
  <r>
    <s v="PROD-1827"/>
    <s v="Socks"/>
    <x v="1"/>
    <s v="S-101"/>
    <s v="Global Tech Corp"/>
    <n v="316"/>
    <n v="459.61"/>
    <d v="2025-04-18T00:00:00"/>
    <d v="2025-04-20T00:00:00"/>
    <n v="118.08"/>
    <n v="145236.76"/>
    <n v="37313.279999999999"/>
    <n v="2"/>
    <n v="0.25691347011596788"/>
  </r>
  <r>
    <s v="PROD-1828"/>
    <s v="Socks"/>
    <x v="1"/>
    <s v="S-102"/>
    <s v="Sunrise Industries"/>
    <n v="107"/>
    <n v="497.86"/>
    <d v="2025-04-30T00:00:00"/>
    <d v="2025-05-08T00:00:00"/>
    <n v="140.06"/>
    <n v="53271.020000000004"/>
    <n v="14986.42"/>
    <n v="8"/>
    <n v="0.28132406700678908"/>
  </r>
  <r>
    <s v="PROD-1829"/>
    <s v="Cap"/>
    <x v="1"/>
    <s v="S-102"/>
    <s v="Sunrise Industries"/>
    <n v="208"/>
    <n v="394.5"/>
    <d v="2025-02-20T00:00:00"/>
    <d v="2025-03-05T00:00:00"/>
    <n v="74.03"/>
    <n v="82056"/>
    <n v="15398.24"/>
    <n v="13"/>
    <n v="0.18765525982256021"/>
  </r>
  <r>
    <s v="PROD-1830"/>
    <s v="Socks"/>
    <x v="1"/>
    <s v="S-103"/>
    <s v="Elite Paper Co"/>
    <n v="91"/>
    <n v="342.99"/>
    <d v="2025-05-12T00:00:00"/>
    <d v="2025-05-26T00:00:00"/>
    <n v="71.08"/>
    <n v="31212.09"/>
    <n v="6468.28"/>
    <n v="14"/>
    <n v="0.2072363625761684"/>
  </r>
  <r>
    <s v="PROD-1831"/>
    <s v="Hoodie"/>
    <x v="1"/>
    <s v="S-105"/>
    <s v="Fresh Mart Logistics"/>
    <n v="280"/>
    <n v="33.770000000000003"/>
    <d v="2025-02-19T00:00:00"/>
    <d v="2025-03-14T00:00:00"/>
    <n v="5.63"/>
    <n v="9455.6"/>
    <n v="1576.3999999999999"/>
    <n v="23"/>
    <n v="0.16671602013621556"/>
  </r>
  <r>
    <s v="PROD-1832"/>
    <s v="Office Chair"/>
    <x v="4"/>
    <s v="S-102"/>
    <s v="Sunrise Industries"/>
    <n v="390"/>
    <n v="212.4"/>
    <d v="2025-01-11T00:00:00"/>
    <d v="2025-01-29T00:00:00"/>
    <n v="47.14"/>
    <n v="82836"/>
    <n v="18384.599999999999"/>
    <n v="18"/>
    <n v="0.22193973634651601"/>
  </r>
  <r>
    <s v="PROD-1833"/>
    <s v="Tablet"/>
    <x v="2"/>
    <s v="S-104"/>
    <s v="Modern Home Supplies"/>
    <n v="189"/>
    <n v="183.01"/>
    <d v="2025-02-03T00:00:00"/>
    <d v="2025-02-05T00:00:00"/>
    <n v="31.67"/>
    <n v="34588.89"/>
    <n v="5985.63"/>
    <n v="2"/>
    <n v="0.17305065296978309"/>
  </r>
  <r>
    <s v="PROD-1834"/>
    <s v="Socks"/>
    <x v="1"/>
    <s v="S-105"/>
    <s v="Fresh Mart Logistics"/>
    <n v="80"/>
    <n v="151.22999999999999"/>
    <d v="2025-01-08T00:00:00"/>
    <d v="2025-01-16T00:00:00"/>
    <n v="31.42"/>
    <n v="12098.4"/>
    <n v="2513.6000000000004"/>
    <n v="8"/>
    <n v="0.20776300998479141"/>
  </r>
  <r>
    <s v="PROD-1835"/>
    <s v="Laptop"/>
    <x v="2"/>
    <s v="S-105"/>
    <s v="Fresh Mart Logistics"/>
    <n v="233"/>
    <n v="425.33"/>
    <d v="2025-06-24T00:00:00"/>
    <d v="2025-07-19T00:00:00"/>
    <n v="61.43"/>
    <n v="99101.89"/>
    <n v="14313.19"/>
    <n v="25"/>
    <n v="0.14442903157548256"/>
  </r>
  <r>
    <s v="PROD-1836"/>
    <s v="Desk Organizer"/>
    <x v="0"/>
    <s v="S-105"/>
    <s v="Fresh Mart Logistics"/>
    <n v="393"/>
    <n v="71.63"/>
    <d v="2025-02-04T00:00:00"/>
    <d v="2025-02-28T00:00:00"/>
    <n v="13.84"/>
    <n v="28150.589999999997"/>
    <n v="5439.12"/>
    <n v="24"/>
    <n v="0.19321513332402626"/>
  </r>
  <r>
    <s v="PROD-1837"/>
    <s v="Almonds"/>
    <x v="3"/>
    <s v="S-102"/>
    <s v="Sunrise Industries"/>
    <n v="358"/>
    <n v="117.39"/>
    <d v="2025-05-28T00:00:00"/>
    <d v="2025-06-15T00:00:00"/>
    <n v="13.83"/>
    <n v="42025.62"/>
    <n v="4951.1400000000003"/>
    <n v="18"/>
    <n v="0.11781242013800153"/>
  </r>
  <r>
    <s v="PROD-1838"/>
    <s v="Dark Chocolate"/>
    <x v="3"/>
    <s v="S-103"/>
    <s v="Elite Paper Co"/>
    <n v="74"/>
    <n v="362.3"/>
    <d v="2025-05-02T00:00:00"/>
    <d v="2025-05-09T00:00:00"/>
    <n v="52.49"/>
    <n v="26810.2"/>
    <n v="3884.26"/>
    <n v="7"/>
    <n v="0.14487993375655533"/>
  </r>
  <r>
    <s v="PROD-1839"/>
    <s v="Organic Tea"/>
    <x v="3"/>
    <s v="S-104"/>
    <s v="Modern Home Supplies"/>
    <n v="99"/>
    <n v="187.97"/>
    <d v="2025-06-05T00:00:00"/>
    <d v="2025-07-03T00:00:00"/>
    <n v="27.15"/>
    <n v="18609.03"/>
    <n v="2687.85"/>
    <n v="28"/>
    <n v="0.14443794222482309"/>
  </r>
  <r>
    <s v="PROD-1840"/>
    <s v="Coffee Beans"/>
    <x v="3"/>
    <s v="S-101"/>
    <s v="Global Tech Corp"/>
    <n v="411"/>
    <n v="488.53"/>
    <d v="2025-03-04T00:00:00"/>
    <d v="2025-03-07T00:00:00"/>
    <n v="134.77000000000001"/>
    <n v="200785.83"/>
    <n v="55390.47"/>
    <n v="3"/>
    <n v="0.27586842159130454"/>
  </r>
  <r>
    <s v="PROD-1841"/>
    <s v="Smartphone"/>
    <x v="2"/>
    <s v="S-103"/>
    <s v="Elite Paper Co"/>
    <n v="270"/>
    <n v="79.3"/>
    <d v="2025-02-27T00:00:00"/>
    <d v="2025-03-01T00:00:00"/>
    <n v="21.26"/>
    <n v="21411"/>
    <n v="5740.2000000000007"/>
    <n v="2"/>
    <n v="0.26809583858764191"/>
  </r>
  <r>
    <s v="PROD-1842"/>
    <s v="Tablet"/>
    <x v="2"/>
    <s v="S-104"/>
    <s v="Modern Home Supplies"/>
    <n v="348"/>
    <n v="435.88"/>
    <d v="2025-06-30T00:00:00"/>
    <d v="2025-07-01T00:00:00"/>
    <n v="66.650000000000006"/>
    <n v="151686.24"/>
    <n v="23194.2"/>
    <n v="1"/>
    <n v="0.15290905753877215"/>
  </r>
  <r>
    <s v="PROD-1843"/>
    <s v="Headphones"/>
    <x v="2"/>
    <s v="S-103"/>
    <s v="Elite Paper Co"/>
    <n v="112"/>
    <n v="454"/>
    <d v="2025-04-16T00:00:00"/>
    <d v="2025-05-10T00:00:00"/>
    <n v="57.11"/>
    <n v="50848"/>
    <n v="6396.32"/>
    <n v="24"/>
    <n v="0.12579295154185022"/>
  </r>
  <r>
    <s v="PROD-1844"/>
    <s v="Laptop"/>
    <x v="2"/>
    <s v="S-104"/>
    <s v="Modern Home Supplies"/>
    <n v="94"/>
    <n v="232.8"/>
    <d v="2025-06-11T00:00:00"/>
    <d v="2025-07-09T00:00:00"/>
    <n v="42.54"/>
    <n v="21883.200000000001"/>
    <n v="3998.7599999999998"/>
    <n v="28"/>
    <n v="0.18273195876288659"/>
  </r>
  <r>
    <s v="PROD-1845"/>
    <s v="Tablet"/>
    <x v="2"/>
    <s v="S-105"/>
    <s v="Fresh Mart Logistics"/>
    <n v="442"/>
    <n v="416.18"/>
    <d v="2025-05-01T00:00:00"/>
    <d v="2025-05-14T00:00:00"/>
    <n v="67.73"/>
    <n v="183951.56"/>
    <n v="29936.660000000003"/>
    <n v="13"/>
    <n v="0.16274208275265512"/>
  </r>
  <r>
    <s v="PROD-1846"/>
    <s v="Socks"/>
    <x v="1"/>
    <s v="S-103"/>
    <s v="Elite Paper Co"/>
    <n v="434"/>
    <n v="238.88"/>
    <d v="2025-05-14T00:00:00"/>
    <d v="2025-06-02T00:00:00"/>
    <n v="61.58"/>
    <n v="103673.92"/>
    <n v="26725.719999999998"/>
    <n v="19"/>
    <n v="0.25778633623576691"/>
  </r>
  <r>
    <s v="PROD-1847"/>
    <s v="Bookshelf"/>
    <x v="4"/>
    <s v="S-104"/>
    <s v="Modern Home Supplies"/>
    <n v="274"/>
    <n v="301.04000000000002"/>
    <d v="2025-05-26T00:00:00"/>
    <d v="2025-06-09T00:00:00"/>
    <n v="75.63"/>
    <n v="82484.960000000006"/>
    <n v="20722.62"/>
    <n v="14"/>
    <n v="0.25122907254849852"/>
  </r>
  <r>
    <s v="PROD-1848"/>
    <s v="Desk Lamp"/>
    <x v="4"/>
    <s v="S-104"/>
    <s v="Modern Home Supplies"/>
    <n v="382"/>
    <n v="11.91"/>
    <d v="2025-03-17T00:00:00"/>
    <d v="2025-04-16T00:00:00"/>
    <n v="1.67"/>
    <n v="4549.62"/>
    <n v="637.93999999999994"/>
    <n v="30"/>
    <n v="0.14021830394626364"/>
  </r>
  <r>
    <s v="PROD-1849"/>
    <s v="Dark Chocolate"/>
    <x v="3"/>
    <s v="S-103"/>
    <s v="Elite Paper Co"/>
    <n v="164"/>
    <n v="494.71"/>
    <d v="2025-05-31T00:00:00"/>
    <d v="2025-06-26T00:00:00"/>
    <n v="57.05"/>
    <n v="81132.44"/>
    <n v="9356.1999999999989"/>
    <n v="26"/>
    <n v="0.11532008651533221"/>
  </r>
  <r>
    <s v="PROD-1850"/>
    <s v="Coffee Beans"/>
    <x v="3"/>
    <s v="S-105"/>
    <s v="Fresh Mart Logistics"/>
    <n v="170"/>
    <n v="315.07"/>
    <d v="2025-04-12T00:00:00"/>
    <d v="2025-04-17T00:00:00"/>
    <n v="82.34"/>
    <n v="53561.9"/>
    <n v="13997.800000000001"/>
    <n v="5"/>
    <n v="0.26133875011902119"/>
  </r>
  <r>
    <s v="PROD-1851"/>
    <s v="Hoodie"/>
    <x v="1"/>
    <s v="S-103"/>
    <s v="Elite Paper Co"/>
    <n v="437"/>
    <n v="187.61"/>
    <d v="2025-02-07T00:00:00"/>
    <d v="2025-03-09T00:00:00"/>
    <n v="49.08"/>
    <n v="81985.570000000007"/>
    <n v="21447.96"/>
    <n v="30"/>
    <n v="0.26160652417248542"/>
  </r>
  <r>
    <s v="PROD-1852"/>
    <s v="Desk Organizer"/>
    <x v="0"/>
    <s v="S-105"/>
    <s v="Fresh Mart Logistics"/>
    <n v="152"/>
    <n v="460.62"/>
    <d v="2025-01-24T00:00:00"/>
    <d v="2025-02-03T00:00:00"/>
    <n v="56.45"/>
    <n v="70014.240000000005"/>
    <n v="8580.4"/>
    <n v="10"/>
    <n v="0.12255221223568234"/>
  </r>
  <r>
    <s v="PROD-1853"/>
    <s v="Desk Lamp"/>
    <x v="4"/>
    <s v="S-101"/>
    <s v="Global Tech Corp"/>
    <n v="47"/>
    <n v="58.87"/>
    <d v="2025-01-03T00:00:00"/>
    <d v="2025-01-23T00:00:00"/>
    <n v="10.67"/>
    <n v="2766.89"/>
    <n v="501.49"/>
    <n v="20"/>
    <n v="0.18124681501613726"/>
  </r>
  <r>
    <s v="PROD-1854"/>
    <s v="Marker"/>
    <x v="0"/>
    <s v="S-102"/>
    <s v="Sunrise Industries"/>
    <n v="395"/>
    <n v="93"/>
    <d v="2025-04-24T00:00:00"/>
    <d v="2025-05-22T00:00:00"/>
    <n v="12.9"/>
    <n v="36735"/>
    <n v="5095.5"/>
    <n v="28"/>
    <n v="0.13870967741935483"/>
  </r>
  <r>
    <s v="PROD-1855"/>
    <s v="Coffee Beans"/>
    <x v="3"/>
    <s v="S-105"/>
    <s v="Fresh Mart Logistics"/>
    <n v="226"/>
    <n v="150.96"/>
    <d v="2025-02-01T00:00:00"/>
    <d v="2025-02-26T00:00:00"/>
    <n v="33.549999999999997"/>
    <n v="34116.959999999999"/>
    <n v="7582.2999999999993"/>
    <n v="25"/>
    <n v="0.22224430312665605"/>
  </r>
  <r>
    <s v="PROD-1856"/>
    <s v="Notebook"/>
    <x v="0"/>
    <s v="S-105"/>
    <s v="Fresh Mart Logistics"/>
    <n v="36"/>
    <n v="497.42"/>
    <d v="2025-02-05T00:00:00"/>
    <d v="2025-03-06T00:00:00"/>
    <n v="85.13"/>
    <n v="17907.12"/>
    <n v="3064.68"/>
    <n v="29"/>
    <n v="0.17114309838768041"/>
  </r>
  <r>
    <s v="PROD-1857"/>
    <s v="Smartphone"/>
    <x v="2"/>
    <s v="S-102"/>
    <s v="Sunrise Industries"/>
    <n v="372"/>
    <n v="462.6"/>
    <d v="2025-05-24T00:00:00"/>
    <d v="2025-05-29T00:00:00"/>
    <n v="65.56"/>
    <n v="172087.2"/>
    <n v="24388.32"/>
    <n v="5"/>
    <n v="0.14172070903588413"/>
  </r>
  <r>
    <s v="PROD-1858"/>
    <s v="Office Chair"/>
    <x v="4"/>
    <s v="S-105"/>
    <s v="Fresh Mart Logistics"/>
    <n v="460"/>
    <n v="495.03"/>
    <d v="2025-04-09T00:00:00"/>
    <d v="2025-04-10T00:00:00"/>
    <n v="68.52"/>
    <n v="227713.8"/>
    <n v="31519.199999999997"/>
    <n v="1"/>
    <n v="0.13841585358463124"/>
  </r>
  <r>
    <s v="PROD-1859"/>
    <s v="T-Shirt"/>
    <x v="1"/>
    <s v="S-101"/>
    <s v="Global Tech Corp"/>
    <n v="449"/>
    <n v="165.44"/>
    <d v="2025-01-24T00:00:00"/>
    <d v="2025-01-31T00:00:00"/>
    <n v="16.600000000000001"/>
    <n v="74282.559999999998"/>
    <n v="7453.4000000000005"/>
    <n v="7"/>
    <n v="0.10033849129593811"/>
  </r>
  <r>
    <s v="PROD-1860"/>
    <s v="Cap"/>
    <x v="1"/>
    <s v="S-104"/>
    <s v="Modern Home Supplies"/>
    <n v="460"/>
    <n v="198.18"/>
    <d v="2025-04-28T00:00:00"/>
    <d v="2025-05-01T00:00:00"/>
    <n v="43.26"/>
    <n v="91162.8"/>
    <n v="19899.599999999999"/>
    <n v="3"/>
    <n v="0.21828640629730547"/>
  </r>
  <r>
    <s v="PROD-1861"/>
    <s v="Coffee Beans"/>
    <x v="3"/>
    <s v="S-102"/>
    <s v="Sunrise Industries"/>
    <n v="371"/>
    <n v="428.42"/>
    <d v="2025-01-13T00:00:00"/>
    <d v="2025-02-06T00:00:00"/>
    <n v="127.63"/>
    <n v="158943.82"/>
    <n v="47350.729999999996"/>
    <n v="24"/>
    <n v="0.29790859437001072"/>
  </r>
  <r>
    <s v="PROD-1862"/>
    <s v="Tablet"/>
    <x v="2"/>
    <s v="S-103"/>
    <s v="Elite Paper Co"/>
    <n v="461"/>
    <n v="35.9"/>
    <d v="2025-03-05T00:00:00"/>
    <d v="2025-03-24T00:00:00"/>
    <n v="10.55"/>
    <n v="16549.899999999998"/>
    <n v="4863.55"/>
    <n v="19"/>
    <n v="0.29387186629526463"/>
  </r>
  <r>
    <s v="PROD-1863"/>
    <s v="Cap"/>
    <x v="1"/>
    <s v="S-103"/>
    <s v="Elite Paper Co"/>
    <n v="203"/>
    <n v="294.37"/>
    <d v="2025-03-11T00:00:00"/>
    <d v="2025-04-04T00:00:00"/>
    <n v="81.430000000000007"/>
    <n v="59757.11"/>
    <n v="16530.29"/>
    <n v="24"/>
    <n v="0.27662465604511333"/>
  </r>
  <r>
    <s v="PROD-1864"/>
    <s v="T-Shirt"/>
    <x v="1"/>
    <s v="S-104"/>
    <s v="Modern Home Supplies"/>
    <n v="275"/>
    <n v="121.04"/>
    <d v="2025-05-14T00:00:00"/>
    <d v="2025-05-26T00:00:00"/>
    <n v="31.58"/>
    <n v="33286"/>
    <n v="8684.5"/>
    <n v="12"/>
    <n v="0.26090548578982153"/>
  </r>
  <r>
    <s v="PROD-1865"/>
    <s v="Cap"/>
    <x v="1"/>
    <s v="S-104"/>
    <s v="Modern Home Supplies"/>
    <n v="130"/>
    <n v="432.09"/>
    <d v="2025-04-09T00:00:00"/>
    <d v="2025-05-06T00:00:00"/>
    <n v="73.83"/>
    <n v="56171.7"/>
    <n v="9597.9"/>
    <n v="27"/>
    <n v="0.17086718044851767"/>
  </r>
  <r>
    <s v="PROD-1866"/>
    <s v="Smartphone"/>
    <x v="2"/>
    <s v="S-102"/>
    <s v="Sunrise Industries"/>
    <n v="305"/>
    <n v="217.96"/>
    <d v="2025-03-22T00:00:00"/>
    <d v="2025-04-15T00:00:00"/>
    <n v="43.96"/>
    <n v="66477.8"/>
    <n v="13407.800000000001"/>
    <n v="24"/>
    <n v="0.20168838318957608"/>
  </r>
  <r>
    <s v="PROD-1867"/>
    <s v="Coffee Beans"/>
    <x v="3"/>
    <s v="S-105"/>
    <s v="Fresh Mart Logistics"/>
    <n v="169"/>
    <n v="231.12"/>
    <d v="2025-01-15T00:00:00"/>
    <d v="2025-01-17T00:00:00"/>
    <n v="25.21"/>
    <n v="39059.279999999999"/>
    <n v="4260.49"/>
    <n v="2"/>
    <n v="0.10907753547940464"/>
  </r>
  <r>
    <s v="PROD-1868"/>
    <s v="Coffee Beans"/>
    <x v="3"/>
    <s v="S-104"/>
    <s v="Modern Home Supplies"/>
    <n v="318"/>
    <n v="389.35"/>
    <d v="2025-01-20T00:00:00"/>
    <d v="2025-02-07T00:00:00"/>
    <n v="111.62"/>
    <n v="123813.3"/>
    <n v="35495.160000000003"/>
    <n v="18"/>
    <n v="0.28668293309361759"/>
  </r>
  <r>
    <s v="PROD-1869"/>
    <s v="Organic Tea"/>
    <x v="3"/>
    <s v="S-105"/>
    <s v="Fresh Mart Logistics"/>
    <n v="417"/>
    <n v="10.130000000000001"/>
    <d v="2025-04-20T00:00:00"/>
    <d v="2025-04-22T00:00:00"/>
    <n v="1.5"/>
    <n v="4224.21"/>
    <n v="625.5"/>
    <n v="2"/>
    <n v="0.14807502467917077"/>
  </r>
  <r>
    <s v="PROD-1870"/>
    <s v="Almonds"/>
    <x v="3"/>
    <s v="S-105"/>
    <s v="Fresh Mart Logistics"/>
    <n v="419"/>
    <n v="233.78"/>
    <d v="2025-03-19T00:00:00"/>
    <d v="2025-03-28T00:00:00"/>
    <n v="51.27"/>
    <n v="97953.82"/>
    <n v="21482.13"/>
    <n v="9"/>
    <n v="0.21930875181794851"/>
  </r>
  <r>
    <s v="PROD-1871"/>
    <s v="Headphones"/>
    <x v="2"/>
    <s v="S-101"/>
    <s v="Global Tech Corp"/>
    <n v="219"/>
    <n v="442.91"/>
    <d v="2025-03-25T00:00:00"/>
    <d v="2025-04-21T00:00:00"/>
    <n v="56.43"/>
    <n v="96997.290000000008"/>
    <n v="12358.17"/>
    <n v="27"/>
    <n v="0.12740737395859203"/>
  </r>
  <r>
    <s v="PROD-1872"/>
    <s v="Coffee Beans"/>
    <x v="3"/>
    <s v="S-104"/>
    <s v="Modern Home Supplies"/>
    <n v="114"/>
    <n v="464.14"/>
    <d v="2025-01-15T00:00:00"/>
    <d v="2025-02-06T00:00:00"/>
    <n v="108.98"/>
    <n v="52911.96"/>
    <n v="12423.720000000001"/>
    <n v="22"/>
    <n v="0.23479984487439137"/>
  </r>
  <r>
    <s v="PROD-1873"/>
    <s v="Desk Organizer"/>
    <x v="0"/>
    <s v="S-105"/>
    <s v="Fresh Mart Logistics"/>
    <n v="486"/>
    <n v="494.91"/>
    <d v="2025-04-20T00:00:00"/>
    <d v="2025-04-28T00:00:00"/>
    <n v="71.44"/>
    <n v="240526.26"/>
    <n v="34719.839999999997"/>
    <n v="8"/>
    <n v="0.14434947768281101"/>
  </r>
  <r>
    <s v="PROD-1874"/>
    <s v="Coffee Beans"/>
    <x v="3"/>
    <s v="S-103"/>
    <s v="Elite Paper Co"/>
    <n v="445"/>
    <n v="291.02999999999997"/>
    <d v="2025-02-21T00:00:00"/>
    <d v="2025-03-08T00:00:00"/>
    <n v="48.71"/>
    <n v="129508.34999999999"/>
    <n v="21675.95"/>
    <n v="15"/>
    <n v="0.16737106140260455"/>
  </r>
  <r>
    <s v="PROD-1875"/>
    <s v="Headphones"/>
    <x v="2"/>
    <s v="S-105"/>
    <s v="Fresh Mart Logistics"/>
    <n v="292"/>
    <n v="466.34"/>
    <d v="2025-03-30T00:00:00"/>
    <d v="2025-04-21T00:00:00"/>
    <n v="75.599999999999994"/>
    <n v="136171.28"/>
    <n v="22075.199999999997"/>
    <n v="22"/>
    <n v="0.16211347943560492"/>
  </r>
  <r>
    <s v="PROD-1876"/>
    <s v="Desk Organizer"/>
    <x v="0"/>
    <s v="S-101"/>
    <s v="Global Tech Corp"/>
    <n v="228"/>
    <n v="216.34"/>
    <d v="2025-03-09T00:00:00"/>
    <d v="2025-03-26T00:00:00"/>
    <n v="53.07"/>
    <n v="49325.520000000004"/>
    <n v="12099.960000000001"/>
    <n v="17"/>
    <n v="0.2453083109919571"/>
  </r>
  <r>
    <s v="PROD-1877"/>
    <s v="Stool"/>
    <x v="4"/>
    <s v="S-104"/>
    <s v="Modern Home Supplies"/>
    <n v="89"/>
    <n v="16.829999999999998"/>
    <d v="2025-04-15T00:00:00"/>
    <d v="2025-04-21T00:00:00"/>
    <n v="4.24"/>
    <n v="1497.87"/>
    <n v="377.36"/>
    <n v="6"/>
    <n v="0.25193107546048726"/>
  </r>
  <r>
    <s v="PROD-1878"/>
    <s v="Socks"/>
    <x v="1"/>
    <s v="S-104"/>
    <s v="Modern Home Supplies"/>
    <n v="155"/>
    <n v="336.42"/>
    <d v="2025-01-20T00:00:00"/>
    <d v="2025-01-25T00:00:00"/>
    <n v="57.32"/>
    <n v="52145.100000000006"/>
    <n v="8884.6"/>
    <n v="5"/>
    <n v="0.17038226026990072"/>
  </r>
  <r>
    <s v="PROD-1879"/>
    <s v="Dark Chocolate"/>
    <x v="3"/>
    <s v="S-101"/>
    <s v="Global Tech Corp"/>
    <n v="116"/>
    <n v="283.99"/>
    <d v="2025-04-17T00:00:00"/>
    <d v="2025-04-29T00:00:00"/>
    <n v="47.32"/>
    <n v="32942.840000000004"/>
    <n v="5489.12"/>
    <n v="12"/>
    <n v="0.1666255854079369"/>
  </r>
  <r>
    <s v="PROD-1880"/>
    <s v="Coffee Beans"/>
    <x v="3"/>
    <s v="S-104"/>
    <s v="Modern Home Supplies"/>
    <n v="419"/>
    <n v="285.55"/>
    <d v="2025-04-08T00:00:00"/>
    <d v="2025-05-06T00:00:00"/>
    <n v="36.340000000000003"/>
    <n v="119645.45000000001"/>
    <n v="15226.460000000001"/>
    <n v="28"/>
    <n v="0.12726317632638767"/>
  </r>
  <r>
    <s v="PROD-1881"/>
    <s v="Almonds"/>
    <x v="3"/>
    <s v="S-104"/>
    <s v="Modern Home Supplies"/>
    <n v="370"/>
    <n v="489.49"/>
    <d v="2025-01-25T00:00:00"/>
    <d v="2025-02-08T00:00:00"/>
    <n v="64.099999999999994"/>
    <n v="181111.30000000002"/>
    <n v="23716.999999999996"/>
    <n v="14"/>
    <n v="0.13095262415983983"/>
  </r>
  <r>
    <s v="PROD-1882"/>
    <s v="Office Chair"/>
    <x v="4"/>
    <s v="S-101"/>
    <s v="Global Tech Corp"/>
    <n v="422"/>
    <n v="88.77"/>
    <d v="2025-02-14T00:00:00"/>
    <d v="2025-02-17T00:00:00"/>
    <n v="11.55"/>
    <n v="37460.939999999995"/>
    <n v="4874.1000000000004"/>
    <n v="3"/>
    <n v="0.13011152416356878"/>
  </r>
  <r>
    <s v="PROD-1883"/>
    <s v="Headphones"/>
    <x v="2"/>
    <s v="S-105"/>
    <s v="Fresh Mart Logistics"/>
    <n v="434"/>
    <n v="398.26"/>
    <d v="2025-03-17T00:00:00"/>
    <d v="2025-04-10T00:00:00"/>
    <n v="82.63"/>
    <n v="172844.84"/>
    <n v="35861.42"/>
    <n v="24"/>
    <n v="0.20747752724350926"/>
  </r>
  <r>
    <s v="PROD-1884"/>
    <s v="Office Chair"/>
    <x v="4"/>
    <s v="S-103"/>
    <s v="Elite Paper Co"/>
    <n v="378"/>
    <n v="295.2"/>
    <d v="2025-02-08T00:00:00"/>
    <d v="2025-02-10T00:00:00"/>
    <n v="43.1"/>
    <n v="111585.59999999999"/>
    <n v="16291.800000000001"/>
    <n v="2"/>
    <n v="0.14600271002710027"/>
  </r>
  <r>
    <s v="PROD-1885"/>
    <s v="Hoodie"/>
    <x v="1"/>
    <s v="S-101"/>
    <s v="Global Tech Corp"/>
    <n v="136"/>
    <n v="215.58"/>
    <d v="2025-04-10T00:00:00"/>
    <d v="2025-04-29T00:00:00"/>
    <n v="54.45"/>
    <n v="29318.880000000001"/>
    <n v="7405.2000000000007"/>
    <n v="19"/>
    <n v="0.25257445032006681"/>
  </r>
  <r>
    <s v="PROD-1886"/>
    <s v="Stool"/>
    <x v="4"/>
    <s v="S-103"/>
    <s v="Elite Paper Co"/>
    <n v="242"/>
    <n v="109.11"/>
    <d v="2025-01-05T00:00:00"/>
    <d v="2025-01-28T00:00:00"/>
    <n v="13.95"/>
    <n v="26404.62"/>
    <n v="3375.8999999999996"/>
    <n v="23"/>
    <n v="0.12785262579048665"/>
  </r>
  <r>
    <s v="PROD-1887"/>
    <s v="Desk Organizer"/>
    <x v="0"/>
    <s v="S-102"/>
    <s v="Sunrise Industries"/>
    <n v="350"/>
    <n v="419.1"/>
    <d v="2025-01-13T00:00:00"/>
    <d v="2025-02-03T00:00:00"/>
    <n v="86.74"/>
    <n v="146685"/>
    <n v="30359"/>
    <n v="21"/>
    <n v="0.20696731090431875"/>
  </r>
  <r>
    <s v="PROD-1888"/>
    <s v="Dark Chocolate"/>
    <x v="3"/>
    <s v="S-103"/>
    <s v="Elite Paper Co"/>
    <n v="305"/>
    <n v="220.04"/>
    <d v="2025-05-17T00:00:00"/>
    <d v="2025-05-20T00:00:00"/>
    <n v="63.37"/>
    <n v="67112.2"/>
    <n v="19327.849999999999"/>
    <n v="3"/>
    <n v="0.28799309216506092"/>
  </r>
  <r>
    <s v="PROD-1889"/>
    <s v="Hoodie"/>
    <x v="1"/>
    <s v="S-103"/>
    <s v="Elite Paper Co"/>
    <n v="308"/>
    <n v="406.73"/>
    <d v="2025-01-26T00:00:00"/>
    <d v="2025-02-19T00:00:00"/>
    <n v="48.16"/>
    <n v="125272.84000000001"/>
    <n v="14833.279999999999"/>
    <n v="24"/>
    <n v="0.11840778895090108"/>
  </r>
  <r>
    <s v="PROD-1890"/>
    <s v="Stool"/>
    <x v="4"/>
    <s v="S-102"/>
    <s v="Sunrise Industries"/>
    <n v="278"/>
    <n v="447.69"/>
    <d v="2025-05-31T00:00:00"/>
    <d v="2025-06-16T00:00:00"/>
    <n v="124.15"/>
    <n v="124457.81999999999"/>
    <n v="34513.700000000004"/>
    <n v="16"/>
    <n v="0.2773124260090688"/>
  </r>
  <r>
    <s v="PROD-1891"/>
    <s v="T-Shirt"/>
    <x v="1"/>
    <s v="S-105"/>
    <s v="Fresh Mart Logistics"/>
    <n v="463"/>
    <n v="389.06"/>
    <d v="2025-06-07T00:00:00"/>
    <d v="2025-07-01T00:00:00"/>
    <n v="88.29"/>
    <n v="180134.78"/>
    <n v="40878.270000000004"/>
    <n v="24"/>
    <n v="0.2269315786768108"/>
  </r>
  <r>
    <s v="PROD-1892"/>
    <s v="Tablet"/>
    <x v="2"/>
    <s v="S-105"/>
    <s v="Fresh Mart Logistics"/>
    <n v="175"/>
    <n v="425.71"/>
    <d v="2025-04-17T00:00:00"/>
    <d v="2025-05-08T00:00:00"/>
    <n v="78.39"/>
    <n v="74499.25"/>
    <n v="13718.25"/>
    <n v="21"/>
    <n v="0.18413943764534543"/>
  </r>
  <r>
    <s v="PROD-1893"/>
    <s v="Dark Chocolate"/>
    <x v="3"/>
    <s v="S-101"/>
    <s v="Global Tech Corp"/>
    <n v="420"/>
    <n v="27.54"/>
    <d v="2025-03-11T00:00:00"/>
    <d v="2025-03-30T00:00:00"/>
    <n v="7.09"/>
    <n v="11566.8"/>
    <n v="2977.7999999999997"/>
    <n v="19"/>
    <n v="0.25744371822803197"/>
  </r>
  <r>
    <s v="PROD-1894"/>
    <s v="Notebook"/>
    <x v="0"/>
    <s v="S-102"/>
    <s v="Sunrise Industries"/>
    <n v="227"/>
    <n v="331.15"/>
    <d v="2025-01-20T00:00:00"/>
    <d v="2025-02-14T00:00:00"/>
    <n v="84.71"/>
    <n v="75171.049999999988"/>
    <n v="19229.169999999998"/>
    <n v="25"/>
    <n v="0.25580552619658764"/>
  </r>
  <r>
    <s v="PROD-1895"/>
    <s v="Notebook"/>
    <x v="0"/>
    <s v="S-103"/>
    <s v="Elite Paper Co"/>
    <n v="113"/>
    <n v="332.46"/>
    <d v="2025-01-12T00:00:00"/>
    <d v="2025-02-04T00:00:00"/>
    <n v="82.62"/>
    <n v="37567.979999999996"/>
    <n v="9336.0600000000013"/>
    <n v="23"/>
    <n v="0.24851109907958854"/>
  </r>
  <r>
    <s v="PROD-1896"/>
    <s v="Marker"/>
    <x v="0"/>
    <s v="S-101"/>
    <s v="Global Tech Corp"/>
    <n v="282"/>
    <n v="203.04"/>
    <d v="2025-02-21T00:00:00"/>
    <d v="2025-02-25T00:00:00"/>
    <n v="32.26"/>
    <n v="57257.279999999999"/>
    <n v="9097.32"/>
    <n v="4"/>
    <n v="0.15888494877856579"/>
  </r>
  <r>
    <s v="PROD-1897"/>
    <s v="Headphones"/>
    <x v="2"/>
    <s v="S-104"/>
    <s v="Modern Home Supplies"/>
    <n v="192"/>
    <n v="291.26"/>
    <d v="2025-01-18T00:00:00"/>
    <d v="2025-01-26T00:00:00"/>
    <n v="86.55"/>
    <n v="55921.919999999998"/>
    <n v="16617.599999999999"/>
    <n v="8"/>
    <n v="0.29715717915264711"/>
  </r>
  <r>
    <s v="PROD-1898"/>
    <s v="Headphones"/>
    <x v="2"/>
    <s v="S-101"/>
    <s v="Global Tech Corp"/>
    <n v="291"/>
    <n v="165.8"/>
    <d v="2025-04-24T00:00:00"/>
    <d v="2025-04-29T00:00:00"/>
    <n v="28.61"/>
    <n v="48247.8"/>
    <n v="8325.51"/>
    <n v="5"/>
    <n v="0.17255729794933652"/>
  </r>
  <r>
    <s v="PROD-1899"/>
    <s v="Notebook"/>
    <x v="0"/>
    <s v="S-105"/>
    <s v="Fresh Mart Logistics"/>
    <n v="432"/>
    <n v="270.08"/>
    <d v="2025-05-23T00:00:00"/>
    <d v="2025-05-27T00:00:00"/>
    <n v="41.61"/>
    <n v="116674.56"/>
    <n v="17975.52"/>
    <n v="4"/>
    <n v="0.15406546208530805"/>
  </r>
  <r>
    <s v="PROD-1900"/>
    <s v="Dark Chocolate"/>
    <x v="3"/>
    <s v="S-102"/>
    <s v="Sunrise Industries"/>
    <n v="118"/>
    <n v="478.85"/>
    <d v="2025-03-16T00:00:00"/>
    <d v="2025-04-15T00:00:00"/>
    <n v="129.4"/>
    <n v="56504.3"/>
    <n v="15269.2"/>
    <n v="30"/>
    <n v="0.2702307611987052"/>
  </r>
  <r>
    <s v="PROD-1901"/>
    <s v="Laptop"/>
    <x v="2"/>
    <s v="S-102"/>
    <s v="Sunrise Industries"/>
    <n v="84"/>
    <n v="289.31"/>
    <d v="2025-02-08T00:00:00"/>
    <d v="2025-03-10T00:00:00"/>
    <n v="52.82"/>
    <n v="24302.04"/>
    <n v="4436.88"/>
    <n v="30"/>
    <n v="0.18257232726141509"/>
  </r>
  <r>
    <s v="PROD-1902"/>
    <s v="Laptop"/>
    <x v="2"/>
    <s v="S-105"/>
    <s v="Fresh Mart Logistics"/>
    <n v="309"/>
    <n v="435.49"/>
    <d v="2025-02-20T00:00:00"/>
    <d v="2025-03-20T00:00:00"/>
    <n v="127.06"/>
    <n v="134566.41"/>
    <n v="39261.54"/>
    <n v="28"/>
    <n v="0.29176330110909549"/>
  </r>
  <r>
    <s v="PROD-1903"/>
    <s v="Coffee Beans"/>
    <x v="3"/>
    <s v="S-102"/>
    <s v="Sunrise Industries"/>
    <n v="169"/>
    <n v="125.79"/>
    <d v="2025-05-10T00:00:00"/>
    <d v="2025-05-23T00:00:00"/>
    <n v="36.659999999999997"/>
    <n v="21258.510000000002"/>
    <n v="6195.5399999999991"/>
    <n v="13"/>
    <n v="0.29143811113761026"/>
  </r>
  <r>
    <s v="PROD-1904"/>
    <s v="Tablet"/>
    <x v="2"/>
    <s v="S-104"/>
    <s v="Modern Home Supplies"/>
    <n v="278"/>
    <n v="236.88"/>
    <d v="2025-05-01T00:00:00"/>
    <d v="2025-05-02T00:00:00"/>
    <n v="26.92"/>
    <n v="65852.639999999999"/>
    <n v="7483.76"/>
    <n v="1"/>
    <n v="0.11364403917595407"/>
  </r>
  <r>
    <s v="PROD-1905"/>
    <s v="Laptop"/>
    <x v="2"/>
    <s v="S-101"/>
    <s v="Global Tech Corp"/>
    <n v="106"/>
    <n v="128.15"/>
    <d v="2025-06-09T00:00:00"/>
    <d v="2025-06-24T00:00:00"/>
    <n v="36.130000000000003"/>
    <n v="13583.900000000001"/>
    <n v="3829.78"/>
    <n v="15"/>
    <n v="0.28193523214982441"/>
  </r>
  <r>
    <s v="PROD-1906"/>
    <s v="Headphones"/>
    <x v="2"/>
    <s v="S-103"/>
    <s v="Elite Paper Co"/>
    <n v="469"/>
    <n v="139.38999999999999"/>
    <d v="2025-04-08T00:00:00"/>
    <d v="2025-04-13T00:00:00"/>
    <n v="41.32"/>
    <n v="65373.909999999996"/>
    <n v="19379.080000000002"/>
    <n v="5"/>
    <n v="0.2964344644522563"/>
  </r>
  <r>
    <s v="PROD-1907"/>
    <s v="Coffee Beans"/>
    <x v="3"/>
    <s v="S-103"/>
    <s v="Elite Paper Co"/>
    <n v="494"/>
    <n v="18.260000000000002"/>
    <d v="2025-03-16T00:00:00"/>
    <d v="2025-03-23T00:00:00"/>
    <n v="5.09"/>
    <n v="9020.44"/>
    <n v="2514.46"/>
    <n v="7"/>
    <n v="0.27875136911281484"/>
  </r>
  <r>
    <s v="PROD-1908"/>
    <s v="Pen Set"/>
    <x v="0"/>
    <s v="S-105"/>
    <s v="Fresh Mart Logistics"/>
    <n v="33"/>
    <n v="235.72"/>
    <d v="2025-02-26T00:00:00"/>
    <d v="2025-03-17T00:00:00"/>
    <n v="31.98"/>
    <n v="7778.76"/>
    <n v="1055.3399999999999"/>
    <n v="19"/>
    <n v="0.13566943831664688"/>
  </r>
  <r>
    <s v="PROD-1909"/>
    <s v="Coffee Beans"/>
    <x v="3"/>
    <s v="S-102"/>
    <s v="Sunrise Industries"/>
    <n v="316"/>
    <n v="212.59"/>
    <d v="2025-01-21T00:00:00"/>
    <d v="2025-01-28T00:00:00"/>
    <n v="35.61"/>
    <n v="67178.44"/>
    <n v="11252.76"/>
    <n v="7"/>
    <n v="0.16750552707088762"/>
  </r>
  <r>
    <s v="PROD-1910"/>
    <s v="Notebook"/>
    <x v="0"/>
    <s v="S-105"/>
    <s v="Fresh Mart Logistics"/>
    <n v="478"/>
    <n v="221.73"/>
    <d v="2025-02-01T00:00:00"/>
    <d v="2025-02-13T00:00:00"/>
    <n v="54.39"/>
    <n v="105986.94"/>
    <n v="25998.420000000002"/>
    <n v="12"/>
    <n v="0.24529833581382765"/>
  </r>
  <r>
    <s v="PROD-1911"/>
    <s v="Desk Lamp"/>
    <x v="4"/>
    <s v="S-104"/>
    <s v="Modern Home Supplies"/>
    <n v="407"/>
    <n v="300.16000000000003"/>
    <d v="2025-04-23T00:00:00"/>
    <d v="2025-05-23T00:00:00"/>
    <n v="30.71"/>
    <n v="122165.12000000001"/>
    <n v="12498.970000000001"/>
    <n v="30"/>
    <n v="0.10231210021321961"/>
  </r>
  <r>
    <s v="PROD-1912"/>
    <s v="Stool"/>
    <x v="4"/>
    <s v="S-102"/>
    <s v="Sunrise Industries"/>
    <n v="317"/>
    <n v="431.74"/>
    <d v="2025-05-07T00:00:00"/>
    <d v="2025-05-13T00:00:00"/>
    <n v="57.92"/>
    <n v="136861.58000000002"/>
    <n v="18360.64"/>
    <n v="6"/>
    <n v="0.1341548153981563"/>
  </r>
  <r>
    <s v="PROD-1913"/>
    <s v="Hoodie"/>
    <x v="1"/>
    <s v="S-103"/>
    <s v="Elite Paper Co"/>
    <n v="490"/>
    <n v="153.51"/>
    <d v="2025-01-30T00:00:00"/>
    <d v="2025-02-19T00:00:00"/>
    <n v="41.52"/>
    <n v="75219.899999999994"/>
    <n v="20344.800000000003"/>
    <n v="20"/>
    <n v="0.27047097908931017"/>
  </r>
  <r>
    <s v="PROD-1914"/>
    <s v="Office Chair"/>
    <x v="4"/>
    <s v="S-104"/>
    <s v="Modern Home Supplies"/>
    <n v="18"/>
    <n v="411.53"/>
    <d v="2025-01-25T00:00:00"/>
    <d v="2025-02-15T00:00:00"/>
    <n v="113.29"/>
    <n v="7407.5399999999991"/>
    <n v="2039.22"/>
    <n v="21"/>
    <n v="0.27528977231307561"/>
  </r>
  <r>
    <s v="PROD-1915"/>
    <s v="Stool"/>
    <x v="4"/>
    <s v="S-105"/>
    <s v="Fresh Mart Logistics"/>
    <n v="231"/>
    <n v="498.4"/>
    <d v="2025-05-15T00:00:00"/>
    <d v="2025-05-17T00:00:00"/>
    <n v="79.53"/>
    <n v="115130.4"/>
    <n v="18371.43"/>
    <n v="2"/>
    <n v="0.15957062600321029"/>
  </r>
  <r>
    <s v="PROD-1916"/>
    <s v="Pen Set"/>
    <x v="0"/>
    <s v="S-101"/>
    <s v="Global Tech Corp"/>
    <n v="143"/>
    <n v="341.58"/>
    <d v="2025-01-16T00:00:00"/>
    <d v="2025-02-09T00:00:00"/>
    <n v="64.3"/>
    <n v="48845.939999999995"/>
    <n v="9194.9"/>
    <n v="24"/>
    <n v="0.18824287136249196"/>
  </r>
  <r>
    <s v="PROD-1917"/>
    <s v="Coffee Beans"/>
    <x v="3"/>
    <s v="S-105"/>
    <s v="Fresh Mart Logistics"/>
    <n v="443"/>
    <n v="451.43"/>
    <d v="2025-01-30T00:00:00"/>
    <d v="2025-02-07T00:00:00"/>
    <n v="132.75"/>
    <n v="199983.49"/>
    <n v="58808.25"/>
    <n v="8"/>
    <n v="0.29406552510909773"/>
  </r>
  <r>
    <s v="PROD-1918"/>
    <s v="Notebook"/>
    <x v="0"/>
    <s v="S-105"/>
    <s v="Fresh Mart Logistics"/>
    <n v="187"/>
    <n v="389.59"/>
    <d v="2025-02-23T00:00:00"/>
    <d v="2025-03-01T00:00:00"/>
    <n v="102.05"/>
    <n v="72853.33"/>
    <n v="19083.349999999999"/>
    <n v="6"/>
    <n v="0.26194204163351215"/>
  </r>
  <r>
    <s v="PROD-1919"/>
    <s v="Dark Chocolate"/>
    <x v="3"/>
    <s v="S-101"/>
    <s v="Global Tech Corp"/>
    <n v="387"/>
    <n v="432.74"/>
    <d v="2025-04-15T00:00:00"/>
    <d v="2025-04-21T00:00:00"/>
    <n v="77.69"/>
    <n v="167470.38"/>
    <n v="30066.03"/>
    <n v="6"/>
    <n v="0.17953043397883256"/>
  </r>
  <r>
    <s v="PROD-1920"/>
    <s v="Organic Tea"/>
    <x v="3"/>
    <s v="S-102"/>
    <s v="Sunrise Industries"/>
    <n v="406"/>
    <n v="157.03"/>
    <d v="2025-02-17T00:00:00"/>
    <d v="2025-02-24T00:00:00"/>
    <n v="22.05"/>
    <n v="63754.18"/>
    <n v="8952.3000000000011"/>
    <n v="7"/>
    <n v="0.14041902821116983"/>
  </r>
  <r>
    <s v="PROD-1921"/>
    <s v="Laptop"/>
    <x v="2"/>
    <s v="S-101"/>
    <s v="Global Tech Corp"/>
    <n v="474"/>
    <n v="222.28"/>
    <d v="2025-05-10T00:00:00"/>
    <d v="2025-05-22T00:00:00"/>
    <n v="38.43"/>
    <n v="105360.72"/>
    <n v="18215.82"/>
    <n v="12"/>
    <n v="0.17289004858736728"/>
  </r>
  <r>
    <s v="PROD-1922"/>
    <s v="Pen Set"/>
    <x v="0"/>
    <s v="S-101"/>
    <s v="Global Tech Corp"/>
    <n v="392"/>
    <n v="111.21"/>
    <d v="2025-04-24T00:00:00"/>
    <d v="2025-05-09T00:00:00"/>
    <n v="21.69"/>
    <n v="43594.32"/>
    <n v="8502.4800000000014"/>
    <n v="15"/>
    <n v="0.19503641758834639"/>
  </r>
  <r>
    <s v="PROD-1923"/>
    <s v="Smartphone"/>
    <x v="2"/>
    <s v="S-104"/>
    <s v="Modern Home Supplies"/>
    <n v="98"/>
    <n v="282.51"/>
    <d v="2025-06-05T00:00:00"/>
    <d v="2025-06-26T00:00:00"/>
    <n v="74.819999999999993"/>
    <n v="27685.98"/>
    <n v="7332.36"/>
    <n v="21"/>
    <n v="0.26484018264840181"/>
  </r>
  <r>
    <s v="PROD-1924"/>
    <s v="Dark Chocolate"/>
    <x v="3"/>
    <s v="S-103"/>
    <s v="Elite Paper Co"/>
    <n v="154"/>
    <n v="66.77"/>
    <d v="2025-06-28T00:00:00"/>
    <d v="2025-07-28T00:00:00"/>
    <n v="7.53"/>
    <n v="10282.58"/>
    <n v="1159.6200000000001"/>
    <n v="30"/>
    <n v="0.11277519844241427"/>
  </r>
  <r>
    <s v="PROD-1925"/>
    <s v="Bookshelf"/>
    <x v="4"/>
    <s v="S-102"/>
    <s v="Sunrise Industries"/>
    <n v="241"/>
    <n v="75.62"/>
    <d v="2025-04-08T00:00:00"/>
    <d v="2025-04-29T00:00:00"/>
    <n v="11.11"/>
    <n v="18224.420000000002"/>
    <n v="2677.5099999999998"/>
    <n v="21"/>
    <n v="0.14691880454906109"/>
  </r>
  <r>
    <s v="PROD-1926"/>
    <s v="Coffee Beans"/>
    <x v="3"/>
    <s v="S-105"/>
    <s v="Fresh Mart Logistics"/>
    <n v="130"/>
    <n v="30.65"/>
    <d v="2025-03-04T00:00:00"/>
    <d v="2025-03-17T00:00:00"/>
    <n v="3.33"/>
    <n v="3984.5"/>
    <n v="432.90000000000003"/>
    <n v="13"/>
    <n v="0.10864600326264275"/>
  </r>
  <r>
    <s v="PROD-1927"/>
    <s v="Office Chair"/>
    <x v="4"/>
    <s v="S-105"/>
    <s v="Fresh Mart Logistics"/>
    <n v="272"/>
    <n v="202.26"/>
    <d v="2025-06-22T00:00:00"/>
    <d v="2025-07-03T00:00:00"/>
    <n v="51.06"/>
    <n v="55014.720000000001"/>
    <n v="13888.32"/>
    <n v="11"/>
    <n v="0.25244734500148325"/>
  </r>
  <r>
    <s v="PROD-1928"/>
    <s v="Notebook"/>
    <x v="0"/>
    <s v="S-105"/>
    <s v="Fresh Mart Logistics"/>
    <n v="429"/>
    <n v="31.22"/>
    <d v="2025-04-02T00:00:00"/>
    <d v="2025-04-24T00:00:00"/>
    <n v="3.51"/>
    <n v="13393.38"/>
    <n v="1505.79"/>
    <n v="22"/>
    <n v="0.11242793081358103"/>
  </r>
  <r>
    <s v="PROD-1929"/>
    <s v="Coffee Beans"/>
    <x v="3"/>
    <s v="S-104"/>
    <s v="Modern Home Supplies"/>
    <n v="426"/>
    <n v="293.64999999999998"/>
    <d v="2025-04-21T00:00:00"/>
    <d v="2025-04-22T00:00:00"/>
    <n v="56.04"/>
    <n v="125094.9"/>
    <n v="23873.040000000001"/>
    <n v="1"/>
    <n v="0.19083943470117487"/>
  </r>
  <r>
    <s v="PROD-1930"/>
    <s v="Bookshelf"/>
    <x v="4"/>
    <s v="S-101"/>
    <s v="Global Tech Corp"/>
    <n v="59"/>
    <n v="277.07"/>
    <d v="2025-06-06T00:00:00"/>
    <d v="2025-06-29T00:00:00"/>
    <n v="82.57"/>
    <n v="16347.13"/>
    <n v="4871.6299999999992"/>
    <n v="23"/>
    <n v="0.29801133287616843"/>
  </r>
  <r>
    <s v="PROD-1931"/>
    <s v="Hoodie"/>
    <x v="1"/>
    <s v="S-105"/>
    <s v="Fresh Mart Logistics"/>
    <n v="335"/>
    <n v="256.57"/>
    <d v="2025-01-17T00:00:00"/>
    <d v="2025-01-24T00:00:00"/>
    <n v="46.85"/>
    <n v="85950.95"/>
    <n v="15694.75"/>
    <n v="7"/>
    <n v="0.18260123942783646"/>
  </r>
  <r>
    <s v="PROD-1932"/>
    <s v="T-Shirt"/>
    <x v="1"/>
    <s v="S-102"/>
    <s v="Sunrise Industries"/>
    <n v="365"/>
    <n v="169.22"/>
    <d v="2025-06-21T00:00:00"/>
    <d v="2025-07-06T00:00:00"/>
    <n v="23.35"/>
    <n v="61765.3"/>
    <n v="8522.75"/>
    <n v="15"/>
    <n v="0.13798605365796007"/>
  </r>
  <r>
    <s v="PROD-1933"/>
    <s v="Almonds"/>
    <x v="3"/>
    <s v="S-105"/>
    <s v="Fresh Mart Logistics"/>
    <n v="55"/>
    <n v="482.94"/>
    <d v="2025-01-06T00:00:00"/>
    <d v="2025-01-16T00:00:00"/>
    <n v="50.79"/>
    <n v="26561.7"/>
    <n v="2793.45"/>
    <n v="10"/>
    <n v="0.10516834389365139"/>
  </r>
  <r>
    <s v="PROD-1934"/>
    <s v="Bookshelf"/>
    <x v="4"/>
    <s v="S-103"/>
    <s v="Elite Paper Co"/>
    <n v="352"/>
    <n v="341.25"/>
    <d v="2025-03-17T00:00:00"/>
    <d v="2025-03-23T00:00:00"/>
    <n v="88.26"/>
    <n v="120120"/>
    <n v="31067.52"/>
    <n v="6"/>
    <n v="0.25863736263736264"/>
  </r>
  <r>
    <s v="PROD-1935"/>
    <s v="Cap"/>
    <x v="1"/>
    <s v="S-102"/>
    <s v="Sunrise Industries"/>
    <n v="153"/>
    <n v="19.73"/>
    <d v="2025-04-18T00:00:00"/>
    <d v="2025-05-04T00:00:00"/>
    <n v="4.25"/>
    <n v="3018.69"/>
    <n v="650.25"/>
    <n v="16"/>
    <n v="0.21540800810947794"/>
  </r>
  <r>
    <s v="PROD-1936"/>
    <s v="Notebook"/>
    <x v="0"/>
    <s v="S-105"/>
    <s v="Fresh Mart Logistics"/>
    <n v="60"/>
    <n v="435.87"/>
    <d v="2025-06-23T00:00:00"/>
    <d v="2025-06-28T00:00:00"/>
    <n v="108.95"/>
    <n v="26152.2"/>
    <n v="6537"/>
    <n v="5"/>
    <n v="0.24995985041411431"/>
  </r>
  <r>
    <s v="PROD-1937"/>
    <s v="Desk Organizer"/>
    <x v="0"/>
    <s v="S-101"/>
    <s v="Global Tech Corp"/>
    <n v="458"/>
    <n v="176.16"/>
    <d v="2025-01-19T00:00:00"/>
    <d v="2025-02-09T00:00:00"/>
    <n v="24.29"/>
    <n v="80681.279999999999"/>
    <n v="11124.82"/>
    <n v="21"/>
    <n v="0.13788601271571299"/>
  </r>
  <r>
    <s v="PROD-1938"/>
    <s v="T-Shirt"/>
    <x v="1"/>
    <s v="S-104"/>
    <s v="Modern Home Supplies"/>
    <n v="130"/>
    <n v="168.69"/>
    <d v="2025-06-01T00:00:00"/>
    <d v="2025-06-03T00:00:00"/>
    <n v="35.25"/>
    <n v="21929.7"/>
    <n v="4582.5"/>
    <n v="2"/>
    <n v="0.20896318691090165"/>
  </r>
  <r>
    <s v="PROD-1939"/>
    <s v="Smartphone"/>
    <x v="2"/>
    <s v="S-103"/>
    <s v="Elite Paper Co"/>
    <n v="78"/>
    <n v="379.41"/>
    <d v="2025-03-31T00:00:00"/>
    <d v="2025-04-05T00:00:00"/>
    <n v="67.099999999999994"/>
    <n v="29593.980000000003"/>
    <n v="5233.7999999999993"/>
    <n v="5"/>
    <n v="0.17685353575287943"/>
  </r>
  <r>
    <s v="PROD-1940"/>
    <s v="Desk Lamp"/>
    <x v="4"/>
    <s v="S-101"/>
    <s v="Global Tech Corp"/>
    <n v="151"/>
    <n v="303.07"/>
    <d v="2025-04-03T00:00:00"/>
    <d v="2025-04-17T00:00:00"/>
    <n v="72.31"/>
    <n v="45763.57"/>
    <n v="10918.81"/>
    <n v="14"/>
    <n v="0.23859174448147294"/>
  </r>
  <r>
    <s v="PROD-1941"/>
    <s v="Pen Set"/>
    <x v="0"/>
    <s v="S-101"/>
    <s v="Global Tech Corp"/>
    <n v="413"/>
    <n v="181.83"/>
    <d v="2025-04-12T00:00:00"/>
    <d v="2025-04-17T00:00:00"/>
    <n v="50.23"/>
    <n v="75095.790000000008"/>
    <n v="20744.989999999998"/>
    <n v="5"/>
    <n v="0.27624704394214372"/>
  </r>
  <r>
    <s v="PROD-1942"/>
    <s v="Desk Lamp"/>
    <x v="4"/>
    <s v="S-105"/>
    <s v="Fresh Mart Logistics"/>
    <n v="370"/>
    <n v="428.41"/>
    <d v="2025-01-07T00:00:00"/>
    <d v="2025-01-22T00:00:00"/>
    <n v="97.41"/>
    <n v="158511.70000000001"/>
    <n v="36041.699999999997"/>
    <n v="15"/>
    <n v="0.22737564482621786"/>
  </r>
  <r>
    <s v="PROD-1943"/>
    <s v="Dark Chocolate"/>
    <x v="3"/>
    <s v="S-101"/>
    <s v="Global Tech Corp"/>
    <n v="333"/>
    <n v="17.72"/>
    <d v="2025-06-11T00:00:00"/>
    <d v="2025-06-15T00:00:00"/>
    <n v="2.08"/>
    <n v="5900.7599999999993"/>
    <n v="692.64"/>
    <n v="4"/>
    <n v="0.11738148984198647"/>
  </r>
  <r>
    <s v="PROD-1944"/>
    <s v="Tablet"/>
    <x v="2"/>
    <s v="S-103"/>
    <s v="Elite Paper Co"/>
    <n v="414"/>
    <n v="434.22"/>
    <d v="2025-04-05T00:00:00"/>
    <d v="2025-04-27T00:00:00"/>
    <n v="107.71"/>
    <n v="179767.08000000002"/>
    <n v="44591.939999999995"/>
    <n v="22"/>
    <n v="0.24805398185251712"/>
  </r>
  <r>
    <s v="PROD-1945"/>
    <s v="Hoodie"/>
    <x v="1"/>
    <s v="S-101"/>
    <s v="Global Tech Corp"/>
    <n v="220"/>
    <n v="173.58"/>
    <d v="2025-03-27T00:00:00"/>
    <d v="2025-04-03T00:00:00"/>
    <n v="44.17"/>
    <n v="38187.600000000006"/>
    <n v="9717.4"/>
    <n v="7"/>
    <n v="0.25446480009217654"/>
  </r>
  <r>
    <s v="PROD-1946"/>
    <s v="Office Chair"/>
    <x v="4"/>
    <s v="S-103"/>
    <s v="Elite Paper Co"/>
    <n v="161"/>
    <n v="409.15"/>
    <d v="2025-01-29T00:00:00"/>
    <d v="2025-02-26T00:00:00"/>
    <n v="46.72"/>
    <n v="65873.149999999994"/>
    <n v="7521.92"/>
    <n v="28"/>
    <n v="0.11418795062935354"/>
  </r>
  <r>
    <s v="PROD-1947"/>
    <s v="Notebook"/>
    <x v="0"/>
    <s v="S-103"/>
    <s v="Elite Paper Co"/>
    <n v="325"/>
    <n v="297.08999999999997"/>
    <d v="2025-04-08T00:00:00"/>
    <d v="2025-05-08T00:00:00"/>
    <n v="75.75"/>
    <n v="96554.249999999985"/>
    <n v="24618.75"/>
    <n v="30"/>
    <n v="0.25497324043219227"/>
  </r>
  <r>
    <s v="PROD-1948"/>
    <s v="Cap"/>
    <x v="1"/>
    <s v="S-103"/>
    <s v="Elite Paper Co"/>
    <n v="350"/>
    <n v="452.99"/>
    <d v="2025-01-29T00:00:00"/>
    <d v="2025-02-15T00:00:00"/>
    <n v="49.41"/>
    <n v="158546.5"/>
    <n v="17293.5"/>
    <n v="17"/>
    <n v="0.1090752555244045"/>
  </r>
  <r>
    <s v="PROD-1949"/>
    <s v="Notebook"/>
    <x v="0"/>
    <s v="S-103"/>
    <s v="Elite Paper Co"/>
    <n v="427"/>
    <n v="36.72"/>
    <d v="2025-03-30T00:00:00"/>
    <d v="2025-04-24T00:00:00"/>
    <n v="9.6999999999999993"/>
    <n v="15679.439999999999"/>
    <n v="4141.8999999999996"/>
    <n v="25"/>
    <n v="0.26416122004357295"/>
  </r>
  <r>
    <s v="PROD-1950"/>
    <s v="Notebook"/>
    <x v="0"/>
    <s v="S-105"/>
    <s v="Fresh Mart Logistics"/>
    <n v="178"/>
    <n v="225.93"/>
    <d v="2025-04-27T00:00:00"/>
    <d v="2025-05-13T00:00:00"/>
    <n v="48.43"/>
    <n v="40215.54"/>
    <n v="8620.5399999999991"/>
    <n v="16"/>
    <n v="0.21435842960208915"/>
  </r>
  <r>
    <s v="PROD-1951"/>
    <s v="Desk Lamp"/>
    <x v="4"/>
    <s v="S-105"/>
    <s v="Fresh Mart Logistics"/>
    <n v="285"/>
    <n v="242.85"/>
    <d v="2025-06-12T00:00:00"/>
    <d v="2025-06-23T00:00:00"/>
    <n v="38.44"/>
    <n v="69212.25"/>
    <n v="10955.4"/>
    <n v="11"/>
    <n v="0.15828700844142474"/>
  </r>
  <r>
    <s v="PROD-1952"/>
    <s v="Almonds"/>
    <x v="3"/>
    <s v="S-102"/>
    <s v="Sunrise Industries"/>
    <n v="33"/>
    <n v="119.21"/>
    <d v="2025-05-17T00:00:00"/>
    <d v="2025-06-01T00:00:00"/>
    <n v="27.37"/>
    <n v="3933.93"/>
    <n v="903.21"/>
    <n v="15"/>
    <n v="0.22959483264826777"/>
  </r>
  <r>
    <s v="PROD-1953"/>
    <s v="Desk Lamp"/>
    <x v="4"/>
    <s v="S-101"/>
    <s v="Global Tech Corp"/>
    <n v="461"/>
    <n v="155.05000000000001"/>
    <d v="2025-02-03T00:00:00"/>
    <d v="2025-02-22T00:00:00"/>
    <n v="19.98"/>
    <n v="71478.05"/>
    <n v="9210.7800000000007"/>
    <n v="19"/>
    <n v="0.12886165752982909"/>
  </r>
  <r>
    <s v="PROD-1954"/>
    <s v="Coffee Beans"/>
    <x v="3"/>
    <s v="S-101"/>
    <s v="Global Tech Corp"/>
    <n v="429"/>
    <n v="135.97999999999999"/>
    <d v="2025-06-29T00:00:00"/>
    <d v="2025-07-26T00:00:00"/>
    <n v="24.34"/>
    <n v="58335.42"/>
    <n v="10441.86"/>
    <n v="27"/>
    <n v="0.17899691131048684"/>
  </r>
  <r>
    <s v="PROD-1955"/>
    <s v="Hoodie"/>
    <x v="1"/>
    <s v="S-103"/>
    <s v="Elite Paper Co"/>
    <n v="17"/>
    <n v="95.56"/>
    <d v="2025-03-30T00:00:00"/>
    <d v="2025-04-08T00:00:00"/>
    <n v="26.73"/>
    <n v="1624.52"/>
    <n v="454.41"/>
    <n v="9"/>
    <n v="0.27971954792800335"/>
  </r>
  <r>
    <s v="PROD-1956"/>
    <s v="Desk Lamp"/>
    <x v="4"/>
    <s v="S-105"/>
    <s v="Fresh Mart Logistics"/>
    <n v="259"/>
    <n v="229.47"/>
    <d v="2025-02-25T00:00:00"/>
    <d v="2025-03-18T00:00:00"/>
    <n v="52.4"/>
    <n v="59432.73"/>
    <n v="13571.6"/>
    <n v="21"/>
    <n v="0.22835229005970278"/>
  </r>
  <r>
    <s v="PROD-1957"/>
    <s v="Cap"/>
    <x v="1"/>
    <s v="S-101"/>
    <s v="Global Tech Corp"/>
    <n v="24"/>
    <n v="289.56"/>
    <d v="2025-04-16T00:00:00"/>
    <d v="2025-05-13T00:00:00"/>
    <n v="36.39"/>
    <n v="6949.4400000000005"/>
    <n v="873.36"/>
    <n v="27"/>
    <n v="0.12567343555739743"/>
  </r>
  <r>
    <s v="PROD-1958"/>
    <s v="Almonds"/>
    <x v="3"/>
    <s v="S-103"/>
    <s v="Elite Paper Co"/>
    <n v="31"/>
    <n v="374.98"/>
    <d v="2025-04-26T00:00:00"/>
    <d v="2025-05-02T00:00:00"/>
    <n v="72.62"/>
    <n v="11624.380000000001"/>
    <n v="2251.2200000000003"/>
    <n v="6"/>
    <n v="0.19366366206197663"/>
  </r>
  <r>
    <s v="PROD-1959"/>
    <s v="Pen Set"/>
    <x v="0"/>
    <s v="S-103"/>
    <s v="Elite Paper Co"/>
    <n v="73"/>
    <n v="361.38"/>
    <d v="2025-05-28T00:00:00"/>
    <d v="2025-06-26T00:00:00"/>
    <n v="80.05"/>
    <n v="26380.739999999998"/>
    <n v="5843.65"/>
    <n v="29"/>
    <n v="0.22151198184736287"/>
  </r>
  <r>
    <s v="PROD-1960"/>
    <s v="Notebook"/>
    <x v="0"/>
    <s v="S-103"/>
    <s v="Elite Paper Co"/>
    <n v="73"/>
    <n v="84.43"/>
    <d v="2025-01-05T00:00:00"/>
    <d v="2025-01-08T00:00:00"/>
    <n v="11.66"/>
    <n v="6163.39"/>
    <n v="851.18000000000006"/>
    <n v="3"/>
    <n v="0.13810257017647753"/>
  </r>
  <r>
    <s v="PROD-1961"/>
    <s v="Socks"/>
    <x v="1"/>
    <s v="S-105"/>
    <s v="Fresh Mart Logistics"/>
    <n v="22"/>
    <n v="499.17"/>
    <d v="2025-05-24T00:00:00"/>
    <d v="2025-06-13T00:00:00"/>
    <n v="100.14"/>
    <n v="10981.74"/>
    <n v="2203.08"/>
    <n v="20"/>
    <n v="0.20061301760923131"/>
  </r>
  <r>
    <s v="PROD-1962"/>
    <s v="Desk Lamp"/>
    <x v="4"/>
    <s v="S-101"/>
    <s v="Global Tech Corp"/>
    <n v="296"/>
    <n v="368.48"/>
    <d v="2025-05-27T00:00:00"/>
    <d v="2025-06-24T00:00:00"/>
    <n v="83.38"/>
    <n v="109070.08"/>
    <n v="24680.48"/>
    <n v="28"/>
    <n v="0.22628093790707771"/>
  </r>
  <r>
    <s v="PROD-1963"/>
    <s v="Marker"/>
    <x v="0"/>
    <s v="S-101"/>
    <s v="Global Tech Corp"/>
    <n v="283"/>
    <n v="230.46"/>
    <d v="2025-06-03T00:00:00"/>
    <d v="2025-06-10T00:00:00"/>
    <n v="36.340000000000003"/>
    <n v="65220.18"/>
    <n v="10284.220000000001"/>
    <n v="7"/>
    <n v="0.15768463073852296"/>
  </r>
  <r>
    <s v="PROD-1964"/>
    <s v="Desk Organizer"/>
    <x v="0"/>
    <s v="S-101"/>
    <s v="Global Tech Corp"/>
    <n v="27"/>
    <n v="477.08"/>
    <d v="2025-03-07T00:00:00"/>
    <d v="2025-03-17T00:00:00"/>
    <n v="133.75"/>
    <n v="12881.16"/>
    <n v="3611.25"/>
    <n v="10"/>
    <n v="0.28035130376456779"/>
  </r>
  <r>
    <s v="PROD-1965"/>
    <s v="Headphones"/>
    <x v="2"/>
    <s v="S-104"/>
    <s v="Modern Home Supplies"/>
    <n v="16"/>
    <n v="475.43"/>
    <d v="2025-06-30T00:00:00"/>
    <d v="2025-07-24T00:00:00"/>
    <n v="61.99"/>
    <n v="7606.88"/>
    <n v="991.84"/>
    <n v="24"/>
    <n v="0.1303872284037608"/>
  </r>
  <r>
    <s v="PROD-1966"/>
    <s v="Headphones"/>
    <x v="2"/>
    <s v="S-105"/>
    <s v="Fresh Mart Logistics"/>
    <n v="489"/>
    <n v="426.95"/>
    <d v="2025-04-01T00:00:00"/>
    <d v="2025-04-03T00:00:00"/>
    <n v="71.95"/>
    <n v="208778.55"/>
    <n v="35183.550000000003"/>
    <n v="2"/>
    <n v="0.16852090408712966"/>
  </r>
  <r>
    <s v="PROD-1967"/>
    <s v="Pen Set"/>
    <x v="0"/>
    <s v="S-103"/>
    <s v="Elite Paper Co"/>
    <n v="284"/>
    <n v="80.59"/>
    <d v="2025-01-16T00:00:00"/>
    <d v="2025-01-25T00:00:00"/>
    <n v="16.89"/>
    <n v="22887.56"/>
    <n v="4796.76"/>
    <n v="9"/>
    <n v="0.20957935227695743"/>
  </r>
  <r>
    <s v="PROD-1968"/>
    <s v="Smartphone"/>
    <x v="2"/>
    <s v="S-102"/>
    <s v="Sunrise Industries"/>
    <n v="391"/>
    <n v="73.540000000000006"/>
    <d v="2025-04-18T00:00:00"/>
    <d v="2025-04-21T00:00:00"/>
    <n v="10.55"/>
    <n v="28754.140000000003"/>
    <n v="4125.05"/>
    <n v="3"/>
    <n v="0.14345934185477291"/>
  </r>
  <r>
    <s v="PROD-1969"/>
    <s v="Hoodie"/>
    <x v="1"/>
    <s v="S-104"/>
    <s v="Modern Home Supplies"/>
    <n v="38"/>
    <n v="470.81"/>
    <d v="2025-04-09T00:00:00"/>
    <d v="2025-04-25T00:00:00"/>
    <n v="113.83"/>
    <n v="17890.78"/>
    <n v="4325.54"/>
    <n v="16"/>
    <n v="0.24177481361908201"/>
  </r>
  <r>
    <s v="PROD-1970"/>
    <s v="Dark Chocolate"/>
    <x v="3"/>
    <s v="S-101"/>
    <s v="Global Tech Corp"/>
    <n v="171"/>
    <n v="55.77"/>
    <d v="2025-06-18T00:00:00"/>
    <d v="2025-07-18T00:00:00"/>
    <n v="8.34"/>
    <n v="9536.67"/>
    <n v="1426.1399999999999"/>
    <n v="30"/>
    <n v="0.14954276492738031"/>
  </r>
  <r>
    <s v="PROD-1971"/>
    <s v="Desk Lamp"/>
    <x v="4"/>
    <s v="S-102"/>
    <s v="Sunrise Industries"/>
    <n v="322"/>
    <n v="81.430000000000007"/>
    <d v="2025-02-24T00:00:00"/>
    <d v="2025-02-28T00:00:00"/>
    <n v="14.01"/>
    <n v="26220.460000000003"/>
    <n v="4511.22"/>
    <n v="4"/>
    <n v="0.17204961316468131"/>
  </r>
  <r>
    <s v="PROD-1972"/>
    <s v="Organic Tea"/>
    <x v="3"/>
    <s v="S-103"/>
    <s v="Elite Paper Co"/>
    <n v="46"/>
    <n v="470.41"/>
    <d v="2025-05-26T00:00:00"/>
    <d v="2025-06-16T00:00:00"/>
    <n v="68.12"/>
    <n v="21638.86"/>
    <n v="3133.5200000000004"/>
    <n v="21"/>
    <n v="0.14480984672944877"/>
  </r>
  <r>
    <s v="PROD-1973"/>
    <s v="Desk Organizer"/>
    <x v="0"/>
    <s v="S-101"/>
    <s v="Global Tech Corp"/>
    <n v="329"/>
    <n v="28.41"/>
    <d v="2025-01-31T00:00:00"/>
    <d v="2025-02-11T00:00:00"/>
    <n v="5.21"/>
    <n v="9346.89"/>
    <n v="1714.09"/>
    <n v="11"/>
    <n v="0.18338613164378739"/>
  </r>
  <r>
    <s v="PROD-1974"/>
    <s v="Hoodie"/>
    <x v="1"/>
    <s v="S-104"/>
    <s v="Modern Home Supplies"/>
    <n v="230"/>
    <n v="350.28"/>
    <d v="2025-05-17T00:00:00"/>
    <d v="2025-05-24T00:00:00"/>
    <n v="96.71"/>
    <n v="80564.399999999994"/>
    <n v="22243.3"/>
    <n v="7"/>
    <n v="0.27609341098549733"/>
  </r>
  <r>
    <s v="PROD-1975"/>
    <s v="Office Chair"/>
    <x v="4"/>
    <s v="S-104"/>
    <s v="Modern Home Supplies"/>
    <n v="201"/>
    <n v="168.96"/>
    <d v="2025-04-09T00:00:00"/>
    <d v="2025-04-25T00:00:00"/>
    <n v="26.16"/>
    <n v="33960.959999999999"/>
    <n v="5258.16"/>
    <n v="16"/>
    <n v="0.15482954545454544"/>
  </r>
  <r>
    <s v="PROD-1976"/>
    <s v="Laptop"/>
    <x v="2"/>
    <s v="S-105"/>
    <s v="Fresh Mart Logistics"/>
    <n v="444"/>
    <n v="491.77"/>
    <d v="2025-04-15T00:00:00"/>
    <d v="2025-04-19T00:00:00"/>
    <n v="69.84"/>
    <n v="218345.88"/>
    <n v="31008.960000000003"/>
    <n v="4"/>
    <n v="0.14201760985826709"/>
  </r>
  <r>
    <s v="PROD-1977"/>
    <s v="Pen Set"/>
    <x v="0"/>
    <s v="S-104"/>
    <s v="Modern Home Supplies"/>
    <n v="468"/>
    <n v="353.95"/>
    <d v="2025-06-06T00:00:00"/>
    <d v="2025-06-14T00:00:00"/>
    <n v="94.4"/>
    <n v="165648.6"/>
    <n v="44179.200000000004"/>
    <n v="8"/>
    <n v="0.26670433677073035"/>
  </r>
  <r>
    <s v="PROD-1978"/>
    <s v="Headphones"/>
    <x v="2"/>
    <s v="S-103"/>
    <s v="Elite Paper Co"/>
    <n v="407"/>
    <n v="78.53"/>
    <d v="2025-06-05T00:00:00"/>
    <d v="2025-07-05T00:00:00"/>
    <n v="16.43"/>
    <n v="31961.71"/>
    <n v="6687.01"/>
    <n v="30"/>
    <n v="0.20921940659620528"/>
  </r>
  <r>
    <s v="PROD-1979"/>
    <s v="Smartphone"/>
    <x v="2"/>
    <s v="S-105"/>
    <s v="Fresh Mart Logistics"/>
    <n v="224"/>
    <n v="204.91"/>
    <d v="2025-03-12T00:00:00"/>
    <d v="2025-04-10T00:00:00"/>
    <n v="27.95"/>
    <n v="45899.839999999997"/>
    <n v="6260.8"/>
    <n v="29"/>
    <n v="0.13640134693279976"/>
  </r>
  <r>
    <s v="PROD-1980"/>
    <s v="Laptop"/>
    <x v="2"/>
    <s v="S-104"/>
    <s v="Modern Home Supplies"/>
    <n v="132"/>
    <n v="342.11"/>
    <d v="2025-01-25T00:00:00"/>
    <d v="2025-02-23T00:00:00"/>
    <n v="72.2"/>
    <n v="45158.520000000004"/>
    <n v="9530.4"/>
    <n v="29"/>
    <n v="0.21104323170909942"/>
  </r>
  <r>
    <s v="PROD-1981"/>
    <s v="Almonds"/>
    <x v="3"/>
    <s v="S-102"/>
    <s v="Sunrise Industries"/>
    <n v="50"/>
    <n v="301.51"/>
    <d v="2025-06-11T00:00:00"/>
    <d v="2025-07-10T00:00:00"/>
    <n v="64.7"/>
    <n v="15075.5"/>
    <n v="3235"/>
    <n v="29"/>
    <n v="0.21458658087625621"/>
  </r>
  <r>
    <s v="PROD-1982"/>
    <s v="Cap"/>
    <x v="1"/>
    <s v="S-105"/>
    <s v="Fresh Mart Logistics"/>
    <n v="96"/>
    <n v="359.65"/>
    <d v="2025-04-16T00:00:00"/>
    <d v="2025-05-09T00:00:00"/>
    <n v="78.239999999999995"/>
    <n v="34526.399999999994"/>
    <n v="7511.0399999999991"/>
    <n v="23"/>
    <n v="0.21754483525649937"/>
  </r>
  <r>
    <s v="PROD-1983"/>
    <s v="Headphones"/>
    <x v="2"/>
    <s v="S-102"/>
    <s v="Sunrise Industries"/>
    <n v="30"/>
    <n v="301.20999999999998"/>
    <d v="2025-02-02T00:00:00"/>
    <d v="2025-03-01T00:00:00"/>
    <n v="64.02"/>
    <n v="9036.2999999999993"/>
    <n v="1920.6"/>
    <n v="27"/>
    <n v="0.21254274426479863"/>
  </r>
  <r>
    <s v="PROD-1984"/>
    <s v="Smartphone"/>
    <x v="2"/>
    <s v="S-103"/>
    <s v="Elite Paper Co"/>
    <n v="188"/>
    <n v="249.81"/>
    <d v="2025-02-14T00:00:00"/>
    <d v="2025-03-15T00:00:00"/>
    <n v="53.47"/>
    <n v="46964.28"/>
    <n v="10052.36"/>
    <n v="29"/>
    <n v="0.21404267243104758"/>
  </r>
  <r>
    <s v="PROD-1985"/>
    <s v="Hoodie"/>
    <x v="1"/>
    <s v="S-104"/>
    <s v="Modern Home Supplies"/>
    <n v="366"/>
    <n v="210.07"/>
    <d v="2025-02-22T00:00:00"/>
    <d v="2025-03-08T00:00:00"/>
    <n v="55.81"/>
    <n v="76885.62"/>
    <n v="20426.46"/>
    <n v="14"/>
    <n v="0.26567334697957823"/>
  </r>
  <r>
    <s v="PROD-1986"/>
    <s v="Socks"/>
    <x v="1"/>
    <s v="S-101"/>
    <s v="Global Tech Corp"/>
    <n v="360"/>
    <n v="35.75"/>
    <d v="2025-03-31T00:00:00"/>
    <d v="2025-04-24T00:00:00"/>
    <n v="8.18"/>
    <n v="12870"/>
    <n v="2944.7999999999997"/>
    <n v="24"/>
    <n v="0.22881118881118881"/>
  </r>
  <r>
    <s v="PROD-1987"/>
    <s v="T-Shirt"/>
    <x v="1"/>
    <s v="S-105"/>
    <s v="Fresh Mart Logistics"/>
    <n v="276"/>
    <n v="33.64"/>
    <d v="2025-06-07T00:00:00"/>
    <d v="2025-06-09T00:00:00"/>
    <n v="4.6500000000000004"/>
    <n v="9284.64"/>
    <n v="1283.4000000000001"/>
    <n v="2"/>
    <n v="0.13822829964328182"/>
  </r>
  <r>
    <s v="PROD-1988"/>
    <s v="Socks"/>
    <x v="1"/>
    <s v="S-105"/>
    <s v="Fresh Mart Logistics"/>
    <n v="79"/>
    <n v="309.83"/>
    <d v="2025-02-04T00:00:00"/>
    <d v="2025-02-28T00:00:00"/>
    <n v="47.68"/>
    <n v="24476.57"/>
    <n v="3766.72"/>
    <n v="24"/>
    <n v="0.15389084336571668"/>
  </r>
  <r>
    <s v="PROD-1989"/>
    <s v="Smartphone"/>
    <x v="2"/>
    <s v="S-103"/>
    <s v="Elite Paper Co"/>
    <n v="47"/>
    <n v="143.52000000000001"/>
    <d v="2025-04-19T00:00:00"/>
    <d v="2025-04-22T00:00:00"/>
    <n v="37.29"/>
    <n v="6745.4400000000005"/>
    <n v="1752.6299999999999"/>
    <n v="3"/>
    <n v="0.25982441471571904"/>
  </r>
  <r>
    <s v="PROD-1990"/>
    <s v="Almonds"/>
    <x v="3"/>
    <s v="S-101"/>
    <s v="Global Tech Corp"/>
    <n v="443"/>
    <n v="108.08"/>
    <d v="2025-01-27T00:00:00"/>
    <d v="2025-02-15T00:00:00"/>
    <n v="13.13"/>
    <n v="47879.44"/>
    <n v="5816.59"/>
    <n v="19"/>
    <n v="0.12148408586232422"/>
  </r>
  <r>
    <s v="PROD-1991"/>
    <s v="Socks"/>
    <x v="1"/>
    <s v="S-104"/>
    <s v="Modern Home Supplies"/>
    <n v="454"/>
    <n v="459.71"/>
    <d v="2025-05-20T00:00:00"/>
    <d v="2025-05-23T00:00:00"/>
    <n v="108.62"/>
    <n v="208708.34"/>
    <n v="49313.48"/>
    <n v="3"/>
    <n v="0.23627939353070415"/>
  </r>
  <r>
    <s v="PROD-1992"/>
    <s v="Marker"/>
    <x v="0"/>
    <s v="S-101"/>
    <s v="Global Tech Corp"/>
    <n v="177"/>
    <n v="309.26"/>
    <d v="2025-03-18T00:00:00"/>
    <d v="2025-03-21T00:00:00"/>
    <n v="89.16"/>
    <n v="54739.02"/>
    <n v="15781.32"/>
    <n v="3"/>
    <n v="0.28830110586561469"/>
  </r>
  <r>
    <s v="PROD-1993"/>
    <s v="Stool"/>
    <x v="4"/>
    <s v="S-102"/>
    <s v="Sunrise Industries"/>
    <n v="149"/>
    <n v="475.08"/>
    <d v="2025-05-18T00:00:00"/>
    <d v="2025-05-28T00:00:00"/>
    <n v="132.18"/>
    <n v="70786.92"/>
    <n v="19694.82"/>
    <n v="10"/>
    <n v="0.27822682495579693"/>
  </r>
  <r>
    <s v="PROD-1994"/>
    <s v="Smartphone"/>
    <x v="2"/>
    <s v="S-102"/>
    <s v="Sunrise Industries"/>
    <n v="39"/>
    <n v="326.14999999999998"/>
    <d v="2025-06-09T00:00:00"/>
    <d v="2025-06-16T00:00:00"/>
    <n v="71.19"/>
    <n v="12719.849999999999"/>
    <n v="2776.41"/>
    <n v="7"/>
    <n v="0.21827380039858962"/>
  </r>
  <r>
    <s v="PROD-1995"/>
    <s v="Almonds"/>
    <x v="3"/>
    <s v="S-104"/>
    <s v="Modern Home Supplies"/>
    <n v="37"/>
    <n v="28.66"/>
    <d v="2025-02-26T00:00:00"/>
    <d v="2025-03-17T00:00:00"/>
    <n v="3.84"/>
    <n v="1060.42"/>
    <n v="142.07999999999998"/>
    <n v="19"/>
    <n v="0.13398464759246337"/>
  </r>
  <r>
    <s v="PROD-1996"/>
    <s v="Stool"/>
    <x v="4"/>
    <s v="S-101"/>
    <s v="Global Tech Corp"/>
    <n v="432"/>
    <n v="88.28"/>
    <d v="2025-02-05T00:00:00"/>
    <d v="2025-02-22T00:00:00"/>
    <n v="15.09"/>
    <n v="38136.959999999999"/>
    <n v="6518.88"/>
    <n v="17"/>
    <n v="0.17093339374716809"/>
  </r>
  <r>
    <s v="PROD-1997"/>
    <s v="Hoodie"/>
    <x v="1"/>
    <s v="S-102"/>
    <s v="Sunrise Industries"/>
    <n v="386"/>
    <n v="452.56"/>
    <d v="2025-04-09T00:00:00"/>
    <d v="2025-04-28T00:00:00"/>
    <n v="49.58"/>
    <n v="174688.16"/>
    <n v="19137.88"/>
    <n v="19"/>
    <n v="0.10955453420540923"/>
  </r>
  <r>
    <s v="PROD-1998"/>
    <s v="Office Chair"/>
    <x v="4"/>
    <s v="S-101"/>
    <s v="Global Tech Corp"/>
    <n v="478"/>
    <n v="378.97"/>
    <d v="2025-06-06T00:00:00"/>
    <d v="2025-06-21T00:00:00"/>
    <n v="37.99"/>
    <n v="181147.66"/>
    <n v="18159.22"/>
    <n v="15"/>
    <n v="0.10024540201071325"/>
  </r>
  <r>
    <s v="PROD-1999"/>
    <s v="Stool"/>
    <x v="4"/>
    <s v="S-101"/>
    <s v="Global Tech Corp"/>
    <n v="334"/>
    <n v="186.02"/>
    <d v="2025-06-10T00:00:00"/>
    <d v="2025-07-03T00:00:00"/>
    <n v="23.88"/>
    <n v="62130.68"/>
    <n v="7975.92"/>
    <n v="23"/>
    <n v="0.12837329319428017"/>
  </r>
  <r>
    <s v="PROD-2000"/>
    <s v="Marker"/>
    <x v="0"/>
    <s v="S-103"/>
    <s v="Elite Paper Co"/>
    <n v="474"/>
    <n v="368.05"/>
    <d v="2025-04-10T00:00:00"/>
    <d v="2025-04-17T00:00:00"/>
    <n v="110.36"/>
    <n v="174455.7"/>
    <n v="52310.64"/>
    <n v="7"/>
    <n v="0.299850563782094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ROD-1001"/>
    <x v="0"/>
    <x v="0"/>
    <s v="S-105"/>
    <x v="0"/>
    <n v="78"/>
    <n v="303.98"/>
    <d v="2025-01-07T00:00:00"/>
    <d v="2025-01-15T00:00:00"/>
    <n v="42.7"/>
    <n v="23710.440000000002"/>
    <n v="3330.6000000000004"/>
    <n v="8"/>
    <n v="0.14046976774787814"/>
  </r>
  <r>
    <s v="PROD-1002"/>
    <x v="1"/>
    <x v="1"/>
    <s v="S-104"/>
    <x v="1"/>
    <n v="153"/>
    <n v="246.75"/>
    <d v="2025-01-14T00:00:00"/>
    <d v="2025-01-16T00:00:00"/>
    <n v="24.71"/>
    <n v="37752.75"/>
    <n v="3780.63"/>
    <n v="2"/>
    <n v="0.10014184397163121"/>
  </r>
  <r>
    <s v="PROD-1003"/>
    <x v="2"/>
    <x v="2"/>
    <s v="S-105"/>
    <x v="0"/>
    <n v="160"/>
    <n v="498.55"/>
    <d v="2025-02-04T00:00:00"/>
    <d v="2025-02-07T00:00:00"/>
    <n v="128.54"/>
    <n v="79768"/>
    <n v="20566.399999999998"/>
    <n v="3"/>
    <n v="0.25782770033095975"/>
  </r>
  <r>
    <s v="PROD-1004"/>
    <x v="3"/>
    <x v="2"/>
    <s v="S-103"/>
    <x v="2"/>
    <n v="388"/>
    <n v="433.61"/>
    <d v="2025-05-18T00:00:00"/>
    <d v="2025-06-11T00:00:00"/>
    <n v="101.29"/>
    <n v="168240.68"/>
    <n v="39300.520000000004"/>
    <n v="24"/>
    <n v="0.23359701113904199"/>
  </r>
  <r>
    <s v="PROD-1005"/>
    <x v="4"/>
    <x v="3"/>
    <s v="S-101"/>
    <x v="3"/>
    <n v="151"/>
    <n v="464.55"/>
    <d v="2025-04-28T00:00:00"/>
    <d v="2025-05-10T00:00:00"/>
    <n v="68.61"/>
    <n v="70147.05"/>
    <n v="10360.11"/>
    <n v="12"/>
    <n v="0.14769131417500805"/>
  </r>
  <r>
    <s v="PROD-1006"/>
    <x v="1"/>
    <x v="1"/>
    <s v="S-101"/>
    <x v="3"/>
    <n v="457"/>
    <n v="181.99"/>
    <d v="2025-02-14T00:00:00"/>
    <d v="2025-03-09T00:00:00"/>
    <n v="44.18"/>
    <n v="83169.430000000008"/>
    <n v="20190.259999999998"/>
    <n v="23"/>
    <n v="0.24276059124127697"/>
  </r>
  <r>
    <s v="PROD-1007"/>
    <x v="5"/>
    <x v="4"/>
    <s v="S-105"/>
    <x v="0"/>
    <n v="271"/>
    <n v="345.91"/>
    <d v="2025-01-13T00:00:00"/>
    <d v="2025-01-18T00:00:00"/>
    <n v="83.64"/>
    <n v="93741.61"/>
    <n v="22666.44"/>
    <n v="5"/>
    <n v="0.24179699921945014"/>
  </r>
  <r>
    <s v="PROD-1008"/>
    <x v="6"/>
    <x v="2"/>
    <s v="S-103"/>
    <x v="2"/>
    <n v="233"/>
    <n v="116.07"/>
    <d v="2025-02-18T00:00:00"/>
    <d v="2025-02-23T00:00:00"/>
    <n v="25.64"/>
    <n v="27044.309999999998"/>
    <n v="5974.12"/>
    <n v="5"/>
    <n v="0.22090118032221936"/>
  </r>
  <r>
    <s v="PROD-1009"/>
    <x v="7"/>
    <x v="0"/>
    <s v="S-102"/>
    <x v="4"/>
    <n v="27"/>
    <n v="467.87"/>
    <d v="2025-06-12T00:00:00"/>
    <d v="2025-06-21T00:00:00"/>
    <n v="89.53"/>
    <n v="12632.49"/>
    <n v="2417.31"/>
    <n v="9"/>
    <n v="0.19135657340714302"/>
  </r>
  <r>
    <s v="PROD-1010"/>
    <x v="8"/>
    <x v="4"/>
    <s v="S-101"/>
    <x v="3"/>
    <n v="317"/>
    <n v="19.21"/>
    <d v="2025-03-09T00:00:00"/>
    <d v="2025-04-01T00:00:00"/>
    <n v="3.26"/>
    <n v="6089.5700000000006"/>
    <n v="1033.4199999999998"/>
    <n v="23"/>
    <n v="0.16970327954190523"/>
  </r>
  <r>
    <s v="PROD-1011"/>
    <x v="0"/>
    <x v="0"/>
    <s v="S-105"/>
    <x v="0"/>
    <n v="261"/>
    <n v="313.08"/>
    <d v="2025-04-03T00:00:00"/>
    <d v="2025-04-13T00:00:00"/>
    <n v="79.09"/>
    <n v="81713.87999999999"/>
    <n v="20642.490000000002"/>
    <n v="10"/>
    <n v="0.252619138878242"/>
  </r>
  <r>
    <s v="PROD-1012"/>
    <x v="0"/>
    <x v="0"/>
    <s v="S-101"/>
    <x v="3"/>
    <n v="177"/>
    <n v="252.91"/>
    <d v="2025-06-26T00:00:00"/>
    <d v="2025-07-05T00:00:00"/>
    <n v="69.2"/>
    <n v="44765.07"/>
    <n v="12248.4"/>
    <n v="9"/>
    <n v="0.27361512000316318"/>
  </r>
  <r>
    <s v="PROD-1013"/>
    <x v="9"/>
    <x v="1"/>
    <s v="S-101"/>
    <x v="3"/>
    <n v="324"/>
    <n v="353.67"/>
    <d v="2025-05-14T00:00:00"/>
    <d v="2025-06-13T00:00:00"/>
    <n v="81.69"/>
    <n v="114589.08"/>
    <n v="26467.559999999998"/>
    <n v="30"/>
    <n v="0.23097803036729153"/>
  </r>
  <r>
    <s v="PROD-1014"/>
    <x v="9"/>
    <x v="1"/>
    <s v="S-104"/>
    <x v="1"/>
    <n v="62"/>
    <n v="63.73"/>
    <d v="2025-05-07T00:00:00"/>
    <d v="2025-06-05T00:00:00"/>
    <n v="10.050000000000001"/>
    <n v="3951.2599999999998"/>
    <n v="623.1"/>
    <n v="29"/>
    <n v="0.15769653224541033"/>
  </r>
  <r>
    <s v="PROD-1015"/>
    <x v="10"/>
    <x v="1"/>
    <s v="S-102"/>
    <x v="4"/>
    <n v="375"/>
    <n v="403.37"/>
    <d v="2025-02-02T00:00:00"/>
    <d v="2025-02-18T00:00:00"/>
    <n v="86.46"/>
    <n v="151263.75"/>
    <n v="32422.499999999996"/>
    <n v="16"/>
    <n v="0.21434415053176983"/>
  </r>
  <r>
    <s v="PROD-1016"/>
    <x v="11"/>
    <x v="0"/>
    <s v="S-101"/>
    <x v="3"/>
    <n v="365"/>
    <n v="379.32"/>
    <d v="2025-06-18T00:00:00"/>
    <d v="2025-07-08T00:00:00"/>
    <n v="60.25"/>
    <n v="138451.79999999999"/>
    <n v="21991.25"/>
    <n v="20"/>
    <n v="0.15883686597068439"/>
  </r>
  <r>
    <s v="PROD-1017"/>
    <x v="11"/>
    <x v="0"/>
    <s v="S-101"/>
    <x v="3"/>
    <n v="369"/>
    <n v="7.43"/>
    <d v="2025-04-27T00:00:00"/>
    <d v="2025-05-01T00:00:00"/>
    <n v="1.79"/>
    <n v="2741.67"/>
    <n v="660.51"/>
    <n v="4"/>
    <n v="0.24091520861372814"/>
  </r>
  <r>
    <s v="PROD-1018"/>
    <x v="9"/>
    <x v="1"/>
    <s v="S-104"/>
    <x v="1"/>
    <n v="414"/>
    <n v="221.84"/>
    <d v="2025-04-08T00:00:00"/>
    <d v="2025-05-06T00:00:00"/>
    <n v="35.479999999999997"/>
    <n v="91841.76"/>
    <n v="14688.72"/>
    <n v="28"/>
    <n v="0.15993508835196538"/>
  </r>
  <r>
    <s v="PROD-1019"/>
    <x v="3"/>
    <x v="2"/>
    <s v="S-101"/>
    <x v="3"/>
    <n v="177"/>
    <n v="367.82"/>
    <d v="2025-03-13T00:00:00"/>
    <d v="2025-03-17T00:00:00"/>
    <n v="105.7"/>
    <n v="65104.14"/>
    <n v="18708.900000000001"/>
    <n v="4"/>
    <n v="0.28736882170626937"/>
  </r>
  <r>
    <s v="PROD-1020"/>
    <x v="6"/>
    <x v="2"/>
    <s v="S-104"/>
    <x v="1"/>
    <n v="75"/>
    <n v="189.66"/>
    <d v="2025-03-04T00:00:00"/>
    <d v="2025-03-15T00:00:00"/>
    <n v="48.49"/>
    <n v="14224.5"/>
    <n v="3636.75"/>
    <n v="11"/>
    <n v="0.25566803754086259"/>
  </r>
  <r>
    <s v="PROD-1021"/>
    <x v="0"/>
    <x v="0"/>
    <s v="S-105"/>
    <x v="0"/>
    <n v="115"/>
    <n v="147.58000000000001"/>
    <d v="2025-06-08T00:00:00"/>
    <d v="2025-06-09T00:00:00"/>
    <n v="28.42"/>
    <n v="16971.7"/>
    <n v="3268.3"/>
    <n v="1"/>
    <n v="0.19257351944707954"/>
  </r>
  <r>
    <s v="PROD-1022"/>
    <x v="2"/>
    <x v="2"/>
    <s v="S-104"/>
    <x v="1"/>
    <n v="435"/>
    <n v="199.7"/>
    <d v="2025-04-13T00:00:00"/>
    <d v="2025-05-11T00:00:00"/>
    <n v="41.3"/>
    <n v="86869.5"/>
    <n v="17965.5"/>
    <n v="28"/>
    <n v="0.20681021532298446"/>
  </r>
  <r>
    <s v="PROD-1023"/>
    <x v="6"/>
    <x v="2"/>
    <s v="S-103"/>
    <x v="2"/>
    <n v="67"/>
    <n v="344.21"/>
    <d v="2025-04-17T00:00:00"/>
    <d v="2025-05-12T00:00:00"/>
    <n v="60.05"/>
    <n v="23062.07"/>
    <n v="4023.35"/>
    <n v="25"/>
    <n v="0.17445745329885826"/>
  </r>
  <r>
    <s v="PROD-1024"/>
    <x v="2"/>
    <x v="2"/>
    <s v="S-105"/>
    <x v="0"/>
    <n v="188"/>
    <n v="216.78"/>
    <d v="2025-01-03T00:00:00"/>
    <d v="2025-01-08T00:00:00"/>
    <n v="35.61"/>
    <n v="40754.639999999999"/>
    <n v="6694.68"/>
    <n v="5"/>
    <n v="0.16426792139496263"/>
  </r>
  <r>
    <s v="PROD-1025"/>
    <x v="1"/>
    <x v="1"/>
    <s v="S-105"/>
    <x v="0"/>
    <n v="382"/>
    <n v="218.21"/>
    <d v="2025-05-06T00:00:00"/>
    <d v="2025-06-03T00:00:00"/>
    <n v="35.54"/>
    <n v="83356.22"/>
    <n v="13576.279999999999"/>
    <n v="28"/>
    <n v="0.16287062921039364"/>
  </r>
  <r>
    <s v="PROD-1026"/>
    <x v="12"/>
    <x v="4"/>
    <s v="S-102"/>
    <x v="4"/>
    <n v="156"/>
    <n v="100.91"/>
    <d v="2025-04-14T00:00:00"/>
    <d v="2025-04-19T00:00:00"/>
    <n v="12.07"/>
    <n v="15741.96"/>
    <n v="1882.92"/>
    <n v="5"/>
    <n v="0.11961153503121594"/>
  </r>
  <r>
    <s v="PROD-1027"/>
    <x v="13"/>
    <x v="2"/>
    <s v="S-103"/>
    <x v="2"/>
    <n v="263"/>
    <n v="370.15"/>
    <d v="2025-01-10T00:00:00"/>
    <d v="2025-01-14T00:00:00"/>
    <n v="85.66"/>
    <n v="97349.45"/>
    <n v="22528.579999999998"/>
    <n v="4"/>
    <n v="0.23141969471835744"/>
  </r>
  <r>
    <s v="PROD-1028"/>
    <x v="10"/>
    <x v="1"/>
    <s v="S-105"/>
    <x v="0"/>
    <n v="328"/>
    <n v="374.1"/>
    <d v="2025-04-19T00:00:00"/>
    <d v="2025-05-04T00:00:00"/>
    <n v="75.599999999999994"/>
    <n v="122704.8"/>
    <n v="24796.799999999999"/>
    <n v="15"/>
    <n v="0.20208500400962306"/>
  </r>
  <r>
    <s v="PROD-1029"/>
    <x v="13"/>
    <x v="2"/>
    <s v="S-102"/>
    <x v="4"/>
    <n v="80"/>
    <n v="492.23"/>
    <d v="2025-01-22T00:00:00"/>
    <d v="2025-01-25T00:00:00"/>
    <n v="144.96"/>
    <n v="39378.400000000001"/>
    <n v="11596.800000000001"/>
    <n v="3"/>
    <n v="0.29449647522499645"/>
  </r>
  <r>
    <s v="PROD-1030"/>
    <x v="11"/>
    <x v="0"/>
    <s v="S-101"/>
    <x v="3"/>
    <n v="318"/>
    <n v="211.62"/>
    <d v="2025-05-01T00:00:00"/>
    <d v="2025-05-26T00:00:00"/>
    <n v="43.72"/>
    <n v="67295.16"/>
    <n v="13902.96"/>
    <n v="25"/>
    <n v="0.20659672998771381"/>
  </r>
  <r>
    <s v="PROD-1031"/>
    <x v="14"/>
    <x v="4"/>
    <s v="S-101"/>
    <x v="3"/>
    <n v="79"/>
    <n v="296.14999999999998"/>
    <d v="2025-03-08T00:00:00"/>
    <d v="2025-04-06T00:00:00"/>
    <n v="81.5"/>
    <n v="23395.85"/>
    <n v="6438.5"/>
    <n v="29"/>
    <n v="0.27519837919972989"/>
  </r>
  <r>
    <s v="PROD-1032"/>
    <x v="14"/>
    <x v="4"/>
    <s v="S-105"/>
    <x v="0"/>
    <n v="99"/>
    <n v="275.2"/>
    <d v="2025-04-23T00:00:00"/>
    <d v="2025-05-19T00:00:00"/>
    <n v="72.86"/>
    <n v="27244.799999999999"/>
    <n v="7213.14"/>
    <n v="26"/>
    <n v="0.2647529069767442"/>
  </r>
  <r>
    <s v="PROD-1033"/>
    <x v="11"/>
    <x v="0"/>
    <s v="S-103"/>
    <x v="2"/>
    <n v="125"/>
    <n v="201.35"/>
    <d v="2025-06-22T00:00:00"/>
    <d v="2025-07-06T00:00:00"/>
    <n v="27.05"/>
    <n v="25168.75"/>
    <n v="3381.25"/>
    <n v="14"/>
    <n v="0.13434318351129873"/>
  </r>
  <r>
    <s v="PROD-1034"/>
    <x v="15"/>
    <x v="3"/>
    <s v="S-105"/>
    <x v="0"/>
    <n v="235"/>
    <n v="193.26"/>
    <d v="2025-05-08T00:00:00"/>
    <d v="2025-06-05T00:00:00"/>
    <n v="54.52"/>
    <n v="45416.1"/>
    <n v="12812.2"/>
    <n v="28"/>
    <n v="0.28210700610576428"/>
  </r>
  <r>
    <s v="PROD-1035"/>
    <x v="13"/>
    <x v="2"/>
    <s v="S-104"/>
    <x v="1"/>
    <n v="295"/>
    <n v="460.69"/>
    <d v="2025-02-17T00:00:00"/>
    <d v="2025-03-02T00:00:00"/>
    <n v="100.39"/>
    <n v="135903.54999999999"/>
    <n v="29615.05"/>
    <n v="13"/>
    <n v="0.21791226204172004"/>
  </r>
  <r>
    <s v="PROD-1036"/>
    <x v="6"/>
    <x v="2"/>
    <s v="S-102"/>
    <x v="4"/>
    <n v="479"/>
    <n v="405.21"/>
    <d v="2025-04-06T00:00:00"/>
    <d v="2025-04-20T00:00:00"/>
    <n v="66.23"/>
    <n v="194095.59"/>
    <n v="31724.170000000002"/>
    <n v="14"/>
    <n v="0.16344611436045509"/>
  </r>
  <r>
    <s v="PROD-1037"/>
    <x v="15"/>
    <x v="3"/>
    <s v="S-103"/>
    <x v="2"/>
    <n v="136"/>
    <n v="229.77"/>
    <d v="2025-05-28T00:00:00"/>
    <d v="2025-06-26T00:00:00"/>
    <n v="36.61"/>
    <n v="31248.720000000001"/>
    <n v="4978.96"/>
    <n v="29"/>
    <n v="0.15933324628976803"/>
  </r>
  <r>
    <s v="PROD-1038"/>
    <x v="14"/>
    <x v="4"/>
    <s v="S-103"/>
    <x v="2"/>
    <n v="249"/>
    <n v="23.97"/>
    <d v="2025-04-16T00:00:00"/>
    <d v="2025-04-20T00:00:00"/>
    <n v="4.3099999999999996"/>
    <n v="5968.53"/>
    <n v="1073.1899999999998"/>
    <n v="4"/>
    <n v="0.17980809345014601"/>
  </r>
  <r>
    <s v="PROD-1039"/>
    <x v="16"/>
    <x v="3"/>
    <s v="S-101"/>
    <x v="3"/>
    <n v="364"/>
    <n v="352.42"/>
    <d v="2025-05-31T00:00:00"/>
    <d v="2025-06-10T00:00:00"/>
    <n v="93.38"/>
    <n v="128280.88"/>
    <n v="33990.32"/>
    <n v="10"/>
    <n v="0.26496793598547186"/>
  </r>
  <r>
    <s v="PROD-1040"/>
    <x v="8"/>
    <x v="4"/>
    <s v="S-103"/>
    <x v="2"/>
    <n v="33"/>
    <n v="392.86"/>
    <d v="2025-04-06T00:00:00"/>
    <d v="2025-05-03T00:00:00"/>
    <n v="49.78"/>
    <n v="12964.380000000001"/>
    <n v="1642.74"/>
    <n v="27"/>
    <n v="0.12671180573232194"/>
  </r>
  <r>
    <s v="PROD-1041"/>
    <x v="7"/>
    <x v="0"/>
    <s v="S-103"/>
    <x v="2"/>
    <n v="65"/>
    <n v="46.21"/>
    <d v="2025-01-05T00:00:00"/>
    <d v="2025-01-07T00:00:00"/>
    <n v="6.75"/>
    <n v="3003.65"/>
    <n v="438.75"/>
    <n v="2"/>
    <n v="0.14607227872754816"/>
  </r>
  <r>
    <s v="PROD-1042"/>
    <x v="9"/>
    <x v="1"/>
    <s v="S-103"/>
    <x v="2"/>
    <n v="14"/>
    <n v="433.4"/>
    <d v="2025-06-14T00:00:00"/>
    <d v="2025-07-09T00:00:00"/>
    <n v="128.22"/>
    <n v="6067.5999999999995"/>
    <n v="1795.08"/>
    <n v="25"/>
    <n v="0.29584679280110754"/>
  </r>
  <r>
    <s v="PROD-1043"/>
    <x v="16"/>
    <x v="3"/>
    <s v="S-101"/>
    <x v="3"/>
    <n v="175"/>
    <n v="85.23"/>
    <d v="2025-01-07T00:00:00"/>
    <d v="2025-01-11T00:00:00"/>
    <n v="14.22"/>
    <n v="14915.25"/>
    <n v="2488.5"/>
    <n v="4"/>
    <n v="0.16684266103484688"/>
  </r>
  <r>
    <s v="PROD-1044"/>
    <x v="7"/>
    <x v="0"/>
    <s v="S-102"/>
    <x v="4"/>
    <n v="128"/>
    <n v="477.47"/>
    <d v="2025-04-15T00:00:00"/>
    <d v="2025-04-22T00:00:00"/>
    <n v="52.82"/>
    <n v="61116.160000000003"/>
    <n v="6760.96"/>
    <n v="7"/>
    <n v="0.11062475129327497"/>
  </r>
  <r>
    <s v="PROD-1045"/>
    <x v="8"/>
    <x v="4"/>
    <s v="S-103"/>
    <x v="2"/>
    <n v="406"/>
    <n v="88.57"/>
    <d v="2025-05-13T00:00:00"/>
    <d v="2025-05-21T00:00:00"/>
    <n v="17.95"/>
    <n v="35959.42"/>
    <n v="7287.7"/>
    <n v="8"/>
    <n v="0.20266455910579204"/>
  </r>
  <r>
    <s v="PROD-1046"/>
    <x v="9"/>
    <x v="1"/>
    <s v="S-105"/>
    <x v="0"/>
    <n v="138"/>
    <n v="205.02"/>
    <d v="2025-02-18T00:00:00"/>
    <d v="2025-03-08T00:00:00"/>
    <n v="35.22"/>
    <n v="28292.760000000002"/>
    <n v="4860.3599999999997"/>
    <n v="18"/>
    <n v="0.17178811823236756"/>
  </r>
  <r>
    <s v="PROD-1047"/>
    <x v="11"/>
    <x v="0"/>
    <s v="S-103"/>
    <x v="2"/>
    <n v="73"/>
    <n v="124.65"/>
    <d v="2025-05-17T00:00:00"/>
    <d v="2025-06-09T00:00:00"/>
    <n v="22.95"/>
    <n v="9099.4500000000007"/>
    <n v="1675.35"/>
    <n v="23"/>
    <n v="0.18411552346570395"/>
  </r>
  <r>
    <s v="PROD-1048"/>
    <x v="3"/>
    <x v="2"/>
    <s v="S-103"/>
    <x v="2"/>
    <n v="182"/>
    <n v="82.35"/>
    <d v="2025-06-25T00:00:00"/>
    <d v="2025-07-22T00:00:00"/>
    <n v="21.7"/>
    <n v="14987.699999999999"/>
    <n v="3949.4"/>
    <n v="27"/>
    <n v="0.26350941105039466"/>
  </r>
  <r>
    <s v="PROD-1049"/>
    <x v="15"/>
    <x v="3"/>
    <s v="S-102"/>
    <x v="4"/>
    <n v="252"/>
    <n v="173.68"/>
    <d v="2025-03-28T00:00:00"/>
    <d v="2025-04-12T00:00:00"/>
    <n v="24.5"/>
    <n v="43767.360000000001"/>
    <n v="6174"/>
    <n v="15"/>
    <n v="0.1410640257945647"/>
  </r>
  <r>
    <s v="PROD-1050"/>
    <x v="0"/>
    <x v="0"/>
    <s v="S-102"/>
    <x v="4"/>
    <n v="118"/>
    <n v="162.02000000000001"/>
    <d v="2025-01-19T00:00:00"/>
    <d v="2025-02-08T00:00:00"/>
    <n v="40.21"/>
    <n v="19118.36"/>
    <n v="4744.78"/>
    <n v="20"/>
    <n v="0.24817923713121837"/>
  </r>
  <r>
    <s v="PROD-1051"/>
    <x v="14"/>
    <x v="4"/>
    <s v="S-104"/>
    <x v="1"/>
    <n v="67"/>
    <n v="184.75"/>
    <d v="2025-06-24T00:00:00"/>
    <d v="2025-07-14T00:00:00"/>
    <n v="30.9"/>
    <n v="12378.25"/>
    <n v="2070.2999999999997"/>
    <n v="20"/>
    <n v="0.16725304465493909"/>
  </r>
  <r>
    <s v="PROD-1052"/>
    <x v="17"/>
    <x v="3"/>
    <s v="S-104"/>
    <x v="1"/>
    <n v="116"/>
    <n v="116.15"/>
    <d v="2025-04-21T00:00:00"/>
    <d v="2025-04-25T00:00:00"/>
    <n v="23.58"/>
    <n v="13473.400000000001"/>
    <n v="2735.2799999999997"/>
    <n v="4"/>
    <n v="0.20301334481274211"/>
  </r>
  <r>
    <s v="PROD-1053"/>
    <x v="10"/>
    <x v="1"/>
    <s v="S-103"/>
    <x v="2"/>
    <n v="32"/>
    <n v="296.72000000000003"/>
    <d v="2025-02-12T00:00:00"/>
    <d v="2025-02-24T00:00:00"/>
    <n v="87.72"/>
    <n v="9495.0400000000009"/>
    <n v="2807.04"/>
    <n v="12"/>
    <n v="0.29563224588837961"/>
  </r>
  <r>
    <s v="PROD-1054"/>
    <x v="8"/>
    <x v="4"/>
    <s v="S-102"/>
    <x v="4"/>
    <n v="322"/>
    <n v="313.48"/>
    <d v="2025-01-03T00:00:00"/>
    <d v="2025-01-22T00:00:00"/>
    <n v="44.03"/>
    <n v="100940.56000000001"/>
    <n v="14177.66"/>
    <n v="19"/>
    <n v="0.14045553145336226"/>
  </r>
  <r>
    <s v="PROD-1055"/>
    <x v="4"/>
    <x v="3"/>
    <s v="S-104"/>
    <x v="1"/>
    <n v="447"/>
    <n v="487.79"/>
    <d v="2025-04-18T00:00:00"/>
    <d v="2025-04-26T00:00:00"/>
    <n v="115.47"/>
    <n v="218042.13"/>
    <n v="51615.09"/>
    <n v="8"/>
    <n v="0.23672071998195943"/>
  </r>
  <r>
    <s v="PROD-1056"/>
    <x v="11"/>
    <x v="0"/>
    <s v="S-102"/>
    <x v="4"/>
    <n v="318"/>
    <n v="229.71"/>
    <d v="2025-03-19T00:00:00"/>
    <d v="2025-04-03T00:00:00"/>
    <n v="28.08"/>
    <n v="73047.78"/>
    <n v="8929.4399999999987"/>
    <n v="15"/>
    <n v="0.12224108658743632"/>
  </r>
  <r>
    <s v="PROD-1057"/>
    <x v="2"/>
    <x v="2"/>
    <s v="S-101"/>
    <x v="3"/>
    <n v="478"/>
    <n v="50.02"/>
    <d v="2025-01-22T00:00:00"/>
    <d v="2025-02-13T00:00:00"/>
    <n v="5.91"/>
    <n v="23909.56"/>
    <n v="2824.98"/>
    <n v="22"/>
    <n v="0.11815273890443823"/>
  </r>
  <r>
    <s v="PROD-1058"/>
    <x v="3"/>
    <x v="2"/>
    <s v="S-104"/>
    <x v="1"/>
    <n v="474"/>
    <n v="186.33"/>
    <d v="2025-03-16T00:00:00"/>
    <d v="2025-03-24T00:00:00"/>
    <n v="28.36"/>
    <n v="88320.420000000013"/>
    <n v="13442.64"/>
    <n v="8"/>
    <n v="0.15220308055600279"/>
  </r>
  <r>
    <s v="PROD-1059"/>
    <x v="14"/>
    <x v="4"/>
    <s v="S-103"/>
    <x v="2"/>
    <n v="419"/>
    <n v="28.32"/>
    <d v="2025-01-19T00:00:00"/>
    <d v="2025-02-17T00:00:00"/>
    <n v="4.1900000000000004"/>
    <n v="11866.08"/>
    <n v="1755.6100000000001"/>
    <n v="29"/>
    <n v="0.14795197740112995"/>
  </r>
  <r>
    <s v="PROD-1060"/>
    <x v="16"/>
    <x v="3"/>
    <s v="S-102"/>
    <x v="4"/>
    <n v="423"/>
    <n v="120.39"/>
    <d v="2025-03-09T00:00:00"/>
    <d v="2025-03-15T00:00:00"/>
    <n v="35.450000000000003"/>
    <n v="50924.97"/>
    <n v="14995.35"/>
    <n v="6"/>
    <n v="0.29445967273029322"/>
  </r>
  <r>
    <s v="PROD-1061"/>
    <x v="6"/>
    <x v="2"/>
    <s v="S-103"/>
    <x v="2"/>
    <n v="460"/>
    <n v="404.06"/>
    <d v="2025-02-03T00:00:00"/>
    <d v="2025-03-03T00:00:00"/>
    <n v="79.930000000000007"/>
    <n v="185867.6"/>
    <n v="36767.800000000003"/>
    <n v="28"/>
    <n v="0.19781715586794041"/>
  </r>
  <r>
    <s v="PROD-1062"/>
    <x v="11"/>
    <x v="0"/>
    <s v="S-101"/>
    <x v="3"/>
    <n v="474"/>
    <n v="66.84"/>
    <d v="2025-04-27T00:00:00"/>
    <d v="2025-05-12T00:00:00"/>
    <n v="12.46"/>
    <n v="31682.16"/>
    <n v="5906.04"/>
    <n v="15"/>
    <n v="0.18641532016756435"/>
  </r>
  <r>
    <s v="PROD-1063"/>
    <x v="18"/>
    <x v="1"/>
    <s v="S-101"/>
    <x v="3"/>
    <n v="352"/>
    <n v="63.87"/>
    <d v="2025-05-29T00:00:00"/>
    <d v="2025-06-04T00:00:00"/>
    <n v="9.17"/>
    <n v="22482.239999999998"/>
    <n v="3227.84"/>
    <n v="6"/>
    <n v="0.14357288241741037"/>
  </r>
  <r>
    <s v="PROD-1064"/>
    <x v="0"/>
    <x v="0"/>
    <s v="S-103"/>
    <x v="2"/>
    <n v="255"/>
    <n v="491.89"/>
    <d v="2025-06-25T00:00:00"/>
    <d v="2025-07-20T00:00:00"/>
    <n v="118.69"/>
    <n v="125431.95"/>
    <n v="30265.95"/>
    <n v="25"/>
    <n v="0.24129378519587713"/>
  </r>
  <r>
    <s v="PROD-1065"/>
    <x v="17"/>
    <x v="3"/>
    <s v="S-101"/>
    <x v="3"/>
    <n v="54"/>
    <n v="137.6"/>
    <d v="2025-05-26T00:00:00"/>
    <d v="2025-05-30T00:00:00"/>
    <n v="24.62"/>
    <n v="7430.4"/>
    <n v="1329.48"/>
    <n v="4"/>
    <n v="0.17892441860465116"/>
  </r>
  <r>
    <s v="PROD-1066"/>
    <x v="1"/>
    <x v="1"/>
    <s v="S-103"/>
    <x v="2"/>
    <n v="419"/>
    <n v="231.56"/>
    <d v="2025-01-09T00:00:00"/>
    <d v="2025-01-26T00:00:00"/>
    <n v="58.8"/>
    <n v="97023.64"/>
    <n v="24637.199999999997"/>
    <n v="17"/>
    <n v="0.25392986698911729"/>
  </r>
  <r>
    <s v="PROD-1067"/>
    <x v="7"/>
    <x v="0"/>
    <s v="S-103"/>
    <x v="2"/>
    <n v="302"/>
    <n v="18.309999999999999"/>
    <d v="2025-06-18T00:00:00"/>
    <d v="2025-06-28T00:00:00"/>
    <n v="5.17"/>
    <n v="5529.62"/>
    <n v="1561.34"/>
    <n v="10"/>
    <n v="0.2823593664664118"/>
  </r>
  <r>
    <s v="PROD-1068"/>
    <x v="4"/>
    <x v="3"/>
    <s v="S-105"/>
    <x v="0"/>
    <n v="57"/>
    <n v="457.4"/>
    <d v="2025-05-25T00:00:00"/>
    <d v="2025-05-27T00:00:00"/>
    <n v="53.06"/>
    <n v="26071.8"/>
    <n v="3024.42"/>
    <n v="2"/>
    <n v="0.11600349803235681"/>
  </r>
  <r>
    <s v="PROD-1069"/>
    <x v="18"/>
    <x v="1"/>
    <s v="S-102"/>
    <x v="4"/>
    <n v="440"/>
    <n v="201.11"/>
    <d v="2025-06-12T00:00:00"/>
    <d v="2025-07-10T00:00:00"/>
    <n v="31.57"/>
    <n v="88488.400000000009"/>
    <n v="13890.8"/>
    <n v="28"/>
    <n v="0.15697876783849635"/>
  </r>
  <r>
    <s v="PROD-1070"/>
    <x v="17"/>
    <x v="3"/>
    <s v="S-101"/>
    <x v="3"/>
    <n v="173"/>
    <n v="341.28"/>
    <d v="2025-05-05T00:00:00"/>
    <d v="2025-05-23T00:00:00"/>
    <n v="52.22"/>
    <n v="59041.439999999995"/>
    <n v="9034.06"/>
    <n v="18"/>
    <n v="0.15301218940459449"/>
  </r>
  <r>
    <s v="PROD-1071"/>
    <x v="17"/>
    <x v="3"/>
    <s v="S-104"/>
    <x v="1"/>
    <n v="452"/>
    <n v="44.61"/>
    <d v="2025-02-20T00:00:00"/>
    <d v="2025-02-22T00:00:00"/>
    <n v="11.36"/>
    <n v="20163.72"/>
    <n v="5134.7199999999993"/>
    <n v="2"/>
    <n v="0.25465142344765745"/>
  </r>
  <r>
    <s v="PROD-1072"/>
    <x v="19"/>
    <x v="0"/>
    <s v="S-105"/>
    <x v="0"/>
    <n v="252"/>
    <n v="204.66"/>
    <d v="2025-04-02T00:00:00"/>
    <d v="2025-04-24T00:00:00"/>
    <n v="53.49"/>
    <n v="51574.32"/>
    <n v="13479.480000000001"/>
    <n v="22"/>
    <n v="0.26136030489592499"/>
  </r>
  <r>
    <s v="PROD-1073"/>
    <x v="8"/>
    <x v="4"/>
    <s v="S-103"/>
    <x v="2"/>
    <n v="253"/>
    <n v="172.14"/>
    <d v="2025-02-08T00:00:00"/>
    <d v="2025-02-11T00:00:00"/>
    <n v="24.59"/>
    <n v="43551.42"/>
    <n v="6221.2699999999995"/>
    <n v="3"/>
    <n v="0.14284884396421518"/>
  </r>
  <r>
    <s v="PROD-1074"/>
    <x v="0"/>
    <x v="0"/>
    <s v="S-102"/>
    <x v="4"/>
    <n v="87"/>
    <n v="194.85"/>
    <d v="2025-03-11T00:00:00"/>
    <d v="2025-04-01T00:00:00"/>
    <n v="23.44"/>
    <n v="16951.95"/>
    <n v="2039.2800000000002"/>
    <n v="21"/>
    <n v="0.12029766487041314"/>
  </r>
  <r>
    <s v="PROD-1075"/>
    <x v="3"/>
    <x v="2"/>
    <s v="S-102"/>
    <x v="4"/>
    <n v="227"/>
    <n v="322.98"/>
    <d v="2025-06-12T00:00:00"/>
    <d v="2025-06-19T00:00:00"/>
    <n v="43.52"/>
    <n v="73316.460000000006"/>
    <n v="9879.0400000000009"/>
    <n v="7"/>
    <n v="0.13474518546040001"/>
  </r>
  <r>
    <s v="PROD-1076"/>
    <x v="5"/>
    <x v="4"/>
    <s v="S-101"/>
    <x v="3"/>
    <n v="174"/>
    <n v="437.62"/>
    <d v="2025-04-21T00:00:00"/>
    <d v="2025-05-09T00:00:00"/>
    <n v="45.09"/>
    <n v="76145.88"/>
    <n v="7845.6600000000008"/>
    <n v="18"/>
    <n v="0.10303459622503543"/>
  </r>
  <r>
    <s v="PROD-1077"/>
    <x v="4"/>
    <x v="3"/>
    <s v="S-103"/>
    <x v="2"/>
    <n v="452"/>
    <n v="72.48"/>
    <d v="2025-01-21T00:00:00"/>
    <d v="2025-01-30T00:00:00"/>
    <n v="15.11"/>
    <n v="32760.960000000003"/>
    <n v="6829.7199999999993"/>
    <n v="9"/>
    <n v="0.20847130242825604"/>
  </r>
  <r>
    <s v="PROD-1078"/>
    <x v="19"/>
    <x v="0"/>
    <s v="S-105"/>
    <x v="0"/>
    <n v="347"/>
    <n v="74"/>
    <d v="2025-03-23T00:00:00"/>
    <d v="2025-03-31T00:00:00"/>
    <n v="16.29"/>
    <n v="25678"/>
    <n v="5652.63"/>
    <n v="8"/>
    <n v="0.22013513513513513"/>
  </r>
  <r>
    <s v="PROD-1079"/>
    <x v="5"/>
    <x v="4"/>
    <s v="S-102"/>
    <x v="4"/>
    <n v="283"/>
    <n v="121.15"/>
    <d v="2025-02-14T00:00:00"/>
    <d v="2025-03-07T00:00:00"/>
    <n v="15.2"/>
    <n v="34285.450000000004"/>
    <n v="4301.5999999999995"/>
    <n v="21"/>
    <n v="0.12546430045398266"/>
  </r>
  <r>
    <s v="PROD-1080"/>
    <x v="17"/>
    <x v="3"/>
    <s v="S-104"/>
    <x v="1"/>
    <n v="135"/>
    <n v="28.55"/>
    <d v="2025-02-19T00:00:00"/>
    <d v="2025-02-20T00:00:00"/>
    <n v="6.95"/>
    <n v="3854.25"/>
    <n v="938.25"/>
    <n v="1"/>
    <n v="0.24343257443082311"/>
  </r>
  <r>
    <s v="PROD-1081"/>
    <x v="18"/>
    <x v="1"/>
    <s v="S-104"/>
    <x v="1"/>
    <n v="282"/>
    <n v="139.83000000000001"/>
    <d v="2025-04-19T00:00:00"/>
    <d v="2025-04-21T00:00:00"/>
    <n v="15.86"/>
    <n v="39432.060000000005"/>
    <n v="4472.5199999999995"/>
    <n v="2"/>
    <n v="0.11342344275191302"/>
  </r>
  <r>
    <s v="PROD-1082"/>
    <x v="7"/>
    <x v="0"/>
    <s v="S-102"/>
    <x v="4"/>
    <n v="92"/>
    <n v="81.5"/>
    <d v="2025-05-01T00:00:00"/>
    <d v="2025-05-12T00:00:00"/>
    <n v="14.51"/>
    <n v="7498"/>
    <n v="1334.92"/>
    <n v="11"/>
    <n v="0.17803680981595091"/>
  </r>
  <r>
    <s v="PROD-1083"/>
    <x v="0"/>
    <x v="0"/>
    <s v="S-103"/>
    <x v="2"/>
    <n v="476"/>
    <n v="111.51"/>
    <d v="2025-01-04T00:00:00"/>
    <d v="2025-01-22T00:00:00"/>
    <n v="15.64"/>
    <n v="53078.76"/>
    <n v="7444.64"/>
    <n v="18"/>
    <n v="0.14025647923953008"/>
  </r>
  <r>
    <s v="PROD-1084"/>
    <x v="9"/>
    <x v="1"/>
    <s v="S-105"/>
    <x v="0"/>
    <n v="217"/>
    <n v="465.58"/>
    <d v="2025-01-17T00:00:00"/>
    <d v="2025-02-06T00:00:00"/>
    <n v="64.709999999999994"/>
    <n v="101030.86"/>
    <n v="14042.069999999998"/>
    <n v="20"/>
    <n v="0.13898792903475235"/>
  </r>
  <r>
    <s v="PROD-1085"/>
    <x v="9"/>
    <x v="1"/>
    <s v="S-104"/>
    <x v="1"/>
    <n v="411"/>
    <n v="110.15"/>
    <d v="2025-05-24T00:00:00"/>
    <d v="2025-05-26T00:00:00"/>
    <n v="18.600000000000001"/>
    <n v="45271.65"/>
    <n v="7644.6"/>
    <n v="2"/>
    <n v="0.16886064457557876"/>
  </r>
  <r>
    <s v="PROD-1086"/>
    <x v="0"/>
    <x v="0"/>
    <s v="S-104"/>
    <x v="1"/>
    <n v="62"/>
    <n v="263.48"/>
    <d v="2025-06-21T00:00:00"/>
    <d v="2025-06-29T00:00:00"/>
    <n v="77.73"/>
    <n v="16335.760000000002"/>
    <n v="4819.26"/>
    <n v="8"/>
    <n v="0.29501290420525278"/>
  </r>
  <r>
    <s v="PROD-1087"/>
    <x v="1"/>
    <x v="1"/>
    <s v="S-103"/>
    <x v="2"/>
    <n v="340"/>
    <n v="308.91000000000003"/>
    <d v="2025-05-05T00:00:00"/>
    <d v="2025-05-13T00:00:00"/>
    <n v="41.42"/>
    <n v="105029.40000000001"/>
    <n v="14082.800000000001"/>
    <n v="8"/>
    <n v="0.13408436114078534"/>
  </r>
  <r>
    <s v="PROD-1088"/>
    <x v="2"/>
    <x v="2"/>
    <s v="S-103"/>
    <x v="2"/>
    <n v="167"/>
    <n v="89.49"/>
    <d v="2025-01-04T00:00:00"/>
    <d v="2025-01-28T00:00:00"/>
    <n v="13.53"/>
    <n v="14944.83"/>
    <n v="2259.5099999999998"/>
    <n v="24"/>
    <n v="0.15119007710358701"/>
  </r>
  <r>
    <s v="PROD-1089"/>
    <x v="14"/>
    <x v="4"/>
    <s v="S-101"/>
    <x v="3"/>
    <n v="66"/>
    <n v="35.86"/>
    <d v="2025-01-14T00:00:00"/>
    <d v="2025-01-28T00:00:00"/>
    <n v="7.91"/>
    <n v="2366.7599999999998"/>
    <n v="522.06000000000006"/>
    <n v="14"/>
    <n v="0.22058003346346905"/>
  </r>
  <r>
    <s v="PROD-1090"/>
    <x v="9"/>
    <x v="1"/>
    <s v="S-104"/>
    <x v="1"/>
    <n v="312"/>
    <n v="167.72"/>
    <d v="2025-06-30T00:00:00"/>
    <d v="2025-07-02T00:00:00"/>
    <n v="46.18"/>
    <n v="52328.639999999999"/>
    <n v="14408.16"/>
    <n v="2"/>
    <n v="0.2753398521345099"/>
  </r>
  <r>
    <s v="PROD-1091"/>
    <x v="4"/>
    <x v="3"/>
    <s v="S-102"/>
    <x v="4"/>
    <n v="287"/>
    <n v="185.55"/>
    <d v="2025-04-06T00:00:00"/>
    <d v="2025-04-19T00:00:00"/>
    <n v="23.13"/>
    <n v="53252.850000000006"/>
    <n v="6638.3099999999995"/>
    <n v="13"/>
    <n v="0.12465642683912691"/>
  </r>
  <r>
    <s v="PROD-1092"/>
    <x v="6"/>
    <x v="2"/>
    <s v="S-101"/>
    <x v="3"/>
    <n v="156"/>
    <n v="384.4"/>
    <d v="2025-03-26T00:00:00"/>
    <d v="2025-04-15T00:00:00"/>
    <n v="103.41"/>
    <n v="59966.399999999994"/>
    <n v="16131.96"/>
    <n v="20"/>
    <n v="0.26901664932362124"/>
  </r>
  <r>
    <s v="PROD-1093"/>
    <x v="11"/>
    <x v="0"/>
    <s v="S-101"/>
    <x v="3"/>
    <n v="221"/>
    <n v="73.97"/>
    <d v="2025-04-03T00:00:00"/>
    <d v="2025-04-28T00:00:00"/>
    <n v="12.73"/>
    <n v="16347.369999999999"/>
    <n v="2813.33"/>
    <n v="25"/>
    <n v="0.17209679599837774"/>
  </r>
  <r>
    <s v="PROD-1094"/>
    <x v="0"/>
    <x v="0"/>
    <s v="S-105"/>
    <x v="0"/>
    <n v="454"/>
    <n v="448.03"/>
    <d v="2025-04-24T00:00:00"/>
    <d v="2025-05-16T00:00:00"/>
    <n v="90.04"/>
    <n v="203405.62"/>
    <n v="40878.160000000003"/>
    <n v="22"/>
    <n v="0.20096868513269203"/>
  </r>
  <r>
    <s v="PROD-1095"/>
    <x v="17"/>
    <x v="3"/>
    <s v="S-102"/>
    <x v="4"/>
    <n v="155"/>
    <n v="189"/>
    <d v="2025-01-26T00:00:00"/>
    <d v="2025-02-09T00:00:00"/>
    <n v="40.99"/>
    <n v="29295"/>
    <n v="6353.4500000000007"/>
    <n v="14"/>
    <n v="0.21687830687830689"/>
  </r>
  <r>
    <s v="PROD-1096"/>
    <x v="12"/>
    <x v="4"/>
    <s v="S-104"/>
    <x v="1"/>
    <n v="180"/>
    <n v="29.55"/>
    <d v="2025-03-05T00:00:00"/>
    <d v="2025-03-12T00:00:00"/>
    <n v="4.87"/>
    <n v="5319"/>
    <n v="876.6"/>
    <n v="7"/>
    <n v="0.16480541455160744"/>
  </r>
  <r>
    <s v="PROD-1097"/>
    <x v="7"/>
    <x v="0"/>
    <s v="S-105"/>
    <x v="0"/>
    <n v="370"/>
    <n v="329.48"/>
    <d v="2025-04-06T00:00:00"/>
    <d v="2025-04-19T00:00:00"/>
    <n v="96.83"/>
    <n v="121907.6"/>
    <n v="35827.1"/>
    <n v="13"/>
    <n v="0.29388733762292096"/>
  </r>
  <r>
    <s v="PROD-1098"/>
    <x v="18"/>
    <x v="1"/>
    <s v="S-104"/>
    <x v="1"/>
    <n v="185"/>
    <n v="218.36"/>
    <d v="2025-03-10T00:00:00"/>
    <d v="2025-04-02T00:00:00"/>
    <n v="55.49"/>
    <n v="40396.600000000006"/>
    <n v="10265.65"/>
    <n v="23"/>
    <n v="0.25412163399890086"/>
  </r>
  <r>
    <s v="PROD-1099"/>
    <x v="15"/>
    <x v="3"/>
    <s v="S-105"/>
    <x v="0"/>
    <n v="283"/>
    <n v="267.41000000000003"/>
    <d v="2025-05-27T00:00:00"/>
    <d v="2025-06-26T00:00:00"/>
    <n v="78.08"/>
    <n v="75677.030000000013"/>
    <n v="22096.639999999999"/>
    <n v="30"/>
    <n v="0.29198608877753257"/>
  </r>
  <r>
    <s v="PROD-1100"/>
    <x v="17"/>
    <x v="3"/>
    <s v="S-103"/>
    <x v="2"/>
    <n v="188"/>
    <n v="384.77"/>
    <d v="2025-04-06T00:00:00"/>
    <d v="2025-05-05T00:00:00"/>
    <n v="43.62"/>
    <n v="72336.759999999995"/>
    <n v="8200.56"/>
    <n v="29"/>
    <n v="0.11336642669646801"/>
  </r>
  <r>
    <s v="PROD-1101"/>
    <x v="1"/>
    <x v="1"/>
    <s v="S-103"/>
    <x v="2"/>
    <n v="64"/>
    <n v="488.4"/>
    <d v="2025-05-20T00:00:00"/>
    <d v="2025-06-16T00:00:00"/>
    <n v="64.510000000000005"/>
    <n v="31257.599999999999"/>
    <n v="4128.6400000000003"/>
    <n v="27"/>
    <n v="0.13208435708435709"/>
  </r>
  <r>
    <s v="PROD-1102"/>
    <x v="11"/>
    <x v="0"/>
    <s v="S-105"/>
    <x v="0"/>
    <n v="195"/>
    <n v="75.180000000000007"/>
    <d v="2025-04-05T00:00:00"/>
    <d v="2025-04-18T00:00:00"/>
    <n v="16.64"/>
    <n v="14660.100000000002"/>
    <n v="3244.8"/>
    <n v="13"/>
    <n v="0.22133546155892522"/>
  </r>
  <r>
    <s v="PROD-1103"/>
    <x v="9"/>
    <x v="1"/>
    <s v="S-104"/>
    <x v="1"/>
    <n v="219"/>
    <n v="479.74"/>
    <d v="2025-05-02T00:00:00"/>
    <d v="2025-05-21T00:00:00"/>
    <n v="57.77"/>
    <n v="105063.06"/>
    <n v="12651.630000000001"/>
    <n v="19"/>
    <n v="0.1204193938383291"/>
  </r>
  <r>
    <s v="PROD-1104"/>
    <x v="10"/>
    <x v="1"/>
    <s v="S-101"/>
    <x v="3"/>
    <n v="274"/>
    <n v="139.53"/>
    <d v="2025-02-12T00:00:00"/>
    <d v="2025-02-18T00:00:00"/>
    <n v="18.86"/>
    <n v="38231.22"/>
    <n v="5167.6399999999994"/>
    <n v="6"/>
    <n v="0.13516806421558086"/>
  </r>
  <r>
    <s v="PROD-1105"/>
    <x v="2"/>
    <x v="2"/>
    <s v="S-102"/>
    <x v="4"/>
    <n v="89"/>
    <n v="108.98"/>
    <d v="2025-04-19T00:00:00"/>
    <d v="2025-04-28T00:00:00"/>
    <n v="16.260000000000002"/>
    <n v="9699.2200000000012"/>
    <n v="1447.14"/>
    <n v="9"/>
    <n v="0.14920168838318959"/>
  </r>
  <r>
    <s v="PROD-1106"/>
    <x v="4"/>
    <x v="3"/>
    <s v="S-104"/>
    <x v="1"/>
    <n v="416"/>
    <n v="182.71"/>
    <d v="2025-03-18T00:00:00"/>
    <d v="2025-03-31T00:00:00"/>
    <n v="53.53"/>
    <n v="76007.360000000001"/>
    <n v="22268.48"/>
    <n v="13"/>
    <n v="0.29297794318865961"/>
  </r>
  <r>
    <s v="PROD-1107"/>
    <x v="18"/>
    <x v="1"/>
    <s v="S-103"/>
    <x v="2"/>
    <n v="188"/>
    <n v="209.71"/>
    <d v="2025-04-03T00:00:00"/>
    <d v="2025-04-26T00:00:00"/>
    <n v="49.18"/>
    <n v="39425.480000000003"/>
    <n v="9245.84"/>
    <n v="23"/>
    <n v="0.23451432931190691"/>
  </r>
  <r>
    <s v="PROD-1108"/>
    <x v="14"/>
    <x v="4"/>
    <s v="S-102"/>
    <x v="4"/>
    <n v="157"/>
    <n v="120.97"/>
    <d v="2025-01-16T00:00:00"/>
    <d v="2025-02-04T00:00:00"/>
    <n v="23.86"/>
    <n v="18992.29"/>
    <n v="3746.02"/>
    <n v="19"/>
    <n v="0.19723898487228239"/>
  </r>
  <r>
    <s v="PROD-1109"/>
    <x v="3"/>
    <x v="2"/>
    <s v="S-101"/>
    <x v="3"/>
    <n v="136"/>
    <n v="30.48"/>
    <d v="2025-03-05T00:00:00"/>
    <d v="2025-03-29T00:00:00"/>
    <n v="4.3"/>
    <n v="4145.28"/>
    <n v="584.79999999999995"/>
    <n v="24"/>
    <n v="0.14107611548556429"/>
  </r>
  <r>
    <s v="PROD-1110"/>
    <x v="11"/>
    <x v="0"/>
    <s v="S-105"/>
    <x v="0"/>
    <n v="371"/>
    <n v="335.42"/>
    <d v="2025-03-19T00:00:00"/>
    <d v="2025-04-12T00:00:00"/>
    <n v="52.22"/>
    <n v="124440.82"/>
    <n v="19373.62"/>
    <n v="24"/>
    <n v="0.15568540933754693"/>
  </r>
  <r>
    <s v="PROD-1111"/>
    <x v="17"/>
    <x v="3"/>
    <s v="S-104"/>
    <x v="1"/>
    <n v="88"/>
    <n v="90.46"/>
    <d v="2025-02-05T00:00:00"/>
    <d v="2025-02-20T00:00:00"/>
    <n v="14.11"/>
    <n v="7960.48"/>
    <n v="1241.6799999999998"/>
    <n v="15"/>
    <n v="0.1559805438868008"/>
  </r>
  <r>
    <s v="PROD-1112"/>
    <x v="9"/>
    <x v="1"/>
    <s v="S-105"/>
    <x v="0"/>
    <n v="261"/>
    <n v="469.26"/>
    <d v="2025-04-02T00:00:00"/>
    <d v="2025-04-28T00:00:00"/>
    <n v="93.75"/>
    <n v="122476.86"/>
    <n v="24468.75"/>
    <n v="26"/>
    <n v="0.19978263649149725"/>
  </r>
  <r>
    <s v="PROD-1113"/>
    <x v="0"/>
    <x v="0"/>
    <s v="S-102"/>
    <x v="4"/>
    <n v="13"/>
    <n v="108.68"/>
    <d v="2025-05-04T00:00:00"/>
    <d v="2025-05-21T00:00:00"/>
    <n v="28.14"/>
    <n v="1412.8400000000001"/>
    <n v="365.82"/>
    <n v="17"/>
    <n v="0.25892528524107472"/>
  </r>
  <r>
    <s v="PROD-1114"/>
    <x v="9"/>
    <x v="1"/>
    <s v="S-104"/>
    <x v="1"/>
    <n v="433"/>
    <n v="265.95"/>
    <d v="2025-05-05T00:00:00"/>
    <d v="2025-05-28T00:00:00"/>
    <n v="62.75"/>
    <n v="115156.34999999999"/>
    <n v="27170.75"/>
    <n v="23"/>
    <n v="0.23594660650498214"/>
  </r>
  <r>
    <s v="PROD-1115"/>
    <x v="17"/>
    <x v="3"/>
    <s v="S-103"/>
    <x v="2"/>
    <n v="27"/>
    <n v="143.29"/>
    <d v="2025-04-19T00:00:00"/>
    <d v="2025-05-05T00:00:00"/>
    <n v="28.41"/>
    <n v="3868.83"/>
    <n v="767.07"/>
    <n v="16"/>
    <n v="0.198269244190104"/>
  </r>
  <r>
    <s v="PROD-1116"/>
    <x v="16"/>
    <x v="3"/>
    <s v="S-105"/>
    <x v="0"/>
    <n v="223"/>
    <n v="304.55"/>
    <d v="2025-03-23T00:00:00"/>
    <d v="2025-04-15T00:00:00"/>
    <n v="77.03"/>
    <n v="67914.650000000009"/>
    <n v="17177.689999999999"/>
    <n v="23"/>
    <n v="0.25293055327532427"/>
  </r>
  <r>
    <s v="PROD-1117"/>
    <x v="8"/>
    <x v="4"/>
    <s v="S-101"/>
    <x v="3"/>
    <n v="278"/>
    <n v="157.82"/>
    <d v="2025-04-01T00:00:00"/>
    <d v="2025-04-25T00:00:00"/>
    <n v="33.049999999999997"/>
    <n v="43873.96"/>
    <n v="9187.9"/>
    <n v="24"/>
    <n v="0.20941579014066658"/>
  </r>
  <r>
    <s v="PROD-1118"/>
    <x v="14"/>
    <x v="4"/>
    <s v="S-105"/>
    <x v="0"/>
    <n v="136"/>
    <n v="376.55"/>
    <d v="2025-03-12T00:00:00"/>
    <d v="2025-03-22T00:00:00"/>
    <n v="106.5"/>
    <n v="51210.8"/>
    <n v="14484"/>
    <n v="10"/>
    <n v="0.28283096534324792"/>
  </r>
  <r>
    <s v="PROD-1119"/>
    <x v="5"/>
    <x v="4"/>
    <s v="S-103"/>
    <x v="2"/>
    <n v="488"/>
    <n v="278.31"/>
    <d v="2025-03-15T00:00:00"/>
    <d v="2025-03-26T00:00:00"/>
    <n v="29.29"/>
    <n v="135815.28"/>
    <n v="14293.52"/>
    <n v="11"/>
    <n v="0.10524235564658115"/>
  </r>
  <r>
    <s v="PROD-1120"/>
    <x v="19"/>
    <x v="0"/>
    <s v="S-104"/>
    <x v="1"/>
    <n v="117"/>
    <n v="315.26"/>
    <d v="2025-04-20T00:00:00"/>
    <d v="2025-05-10T00:00:00"/>
    <n v="33.17"/>
    <n v="36885.42"/>
    <n v="3880.8900000000003"/>
    <n v="20"/>
    <n v="0.10521474338641122"/>
  </r>
  <r>
    <s v="PROD-1121"/>
    <x v="14"/>
    <x v="4"/>
    <s v="S-102"/>
    <x v="4"/>
    <n v="61"/>
    <n v="68.22"/>
    <d v="2025-03-12T00:00:00"/>
    <d v="2025-03-30T00:00:00"/>
    <n v="8.8699999999999992"/>
    <n v="4161.42"/>
    <n v="541.06999999999994"/>
    <n v="18"/>
    <n v="0.1300205218411023"/>
  </r>
  <r>
    <s v="PROD-1122"/>
    <x v="10"/>
    <x v="1"/>
    <s v="S-105"/>
    <x v="0"/>
    <n v="122"/>
    <n v="202.6"/>
    <d v="2025-04-17T00:00:00"/>
    <d v="2025-05-13T00:00:00"/>
    <n v="33.31"/>
    <n v="24717.200000000001"/>
    <n v="4063.82"/>
    <n v="26"/>
    <n v="0.16441263573543929"/>
  </r>
  <r>
    <s v="PROD-1123"/>
    <x v="5"/>
    <x v="4"/>
    <s v="S-102"/>
    <x v="4"/>
    <n v="280"/>
    <n v="9.8800000000000008"/>
    <d v="2025-02-05T00:00:00"/>
    <d v="2025-02-12T00:00:00"/>
    <n v="1.38"/>
    <n v="2766.4"/>
    <n v="386.4"/>
    <n v="7"/>
    <n v="0.13967611336032387"/>
  </r>
  <r>
    <s v="PROD-1124"/>
    <x v="13"/>
    <x v="2"/>
    <s v="S-104"/>
    <x v="1"/>
    <n v="269"/>
    <n v="164.41"/>
    <d v="2025-02-26T00:00:00"/>
    <d v="2025-03-01T00:00:00"/>
    <n v="35.61"/>
    <n v="44226.29"/>
    <n v="9579.09"/>
    <n v="3"/>
    <n v="0.21659266467976401"/>
  </r>
  <r>
    <s v="PROD-1125"/>
    <x v="15"/>
    <x v="3"/>
    <s v="S-102"/>
    <x v="4"/>
    <n v="251"/>
    <n v="103.1"/>
    <d v="2025-05-19T00:00:00"/>
    <d v="2025-05-27T00:00:00"/>
    <n v="13.77"/>
    <n v="25878.1"/>
    <n v="3456.27"/>
    <n v="8"/>
    <n v="0.13355965082444229"/>
  </r>
  <r>
    <s v="PROD-1126"/>
    <x v="1"/>
    <x v="1"/>
    <s v="S-102"/>
    <x v="4"/>
    <n v="37"/>
    <n v="86.98"/>
    <d v="2025-03-21T00:00:00"/>
    <d v="2025-04-11T00:00:00"/>
    <n v="26.08"/>
    <n v="3218.26"/>
    <n v="964.95999999999992"/>
    <n v="21"/>
    <n v="0.29983904345826623"/>
  </r>
  <r>
    <s v="PROD-1127"/>
    <x v="19"/>
    <x v="0"/>
    <s v="S-104"/>
    <x v="1"/>
    <n v="183"/>
    <n v="294.43"/>
    <d v="2025-03-11T00:00:00"/>
    <d v="2025-03-23T00:00:00"/>
    <n v="71.760000000000005"/>
    <n v="53880.69"/>
    <n v="13132.080000000002"/>
    <n v="12"/>
    <n v="0.24372516387596374"/>
  </r>
  <r>
    <s v="PROD-1128"/>
    <x v="13"/>
    <x v="2"/>
    <s v="S-102"/>
    <x v="4"/>
    <n v="411"/>
    <n v="237.57"/>
    <d v="2025-06-17T00:00:00"/>
    <d v="2025-07-12T00:00:00"/>
    <n v="26.4"/>
    <n v="97641.27"/>
    <n v="10850.4"/>
    <n v="25"/>
    <n v="0.11112514206339184"/>
  </r>
  <r>
    <s v="PROD-1129"/>
    <x v="5"/>
    <x v="4"/>
    <s v="S-105"/>
    <x v="0"/>
    <n v="181"/>
    <n v="124.46"/>
    <d v="2025-06-18T00:00:00"/>
    <d v="2025-06-21T00:00:00"/>
    <n v="16.66"/>
    <n v="22527.26"/>
    <n v="3015.46"/>
    <n v="3"/>
    <n v="0.13385826771653545"/>
  </r>
  <r>
    <s v="PROD-1130"/>
    <x v="1"/>
    <x v="1"/>
    <s v="S-105"/>
    <x v="0"/>
    <n v="43"/>
    <n v="155.05000000000001"/>
    <d v="2025-01-10T00:00:00"/>
    <d v="2025-01-17T00:00:00"/>
    <n v="16.87"/>
    <n v="6667.1500000000005"/>
    <n v="725.41000000000008"/>
    <n v="7"/>
    <n v="0.10880361173814898"/>
  </r>
  <r>
    <s v="PROD-1131"/>
    <x v="1"/>
    <x v="1"/>
    <s v="S-102"/>
    <x v="4"/>
    <n v="315"/>
    <n v="356.51"/>
    <d v="2025-01-04T00:00:00"/>
    <d v="2025-02-02T00:00:00"/>
    <n v="99.81"/>
    <n v="112300.65"/>
    <n v="31440.15"/>
    <n v="29"/>
    <n v="0.27996409637878322"/>
  </r>
  <r>
    <s v="PROD-1132"/>
    <x v="17"/>
    <x v="3"/>
    <s v="S-102"/>
    <x v="4"/>
    <n v="258"/>
    <n v="486.08"/>
    <d v="2025-01-29T00:00:00"/>
    <d v="2025-02-05T00:00:00"/>
    <n v="135.9"/>
    <n v="125408.64"/>
    <n v="35062.200000000004"/>
    <n v="7"/>
    <n v="0.27958360763660306"/>
  </r>
  <r>
    <s v="PROD-1133"/>
    <x v="7"/>
    <x v="0"/>
    <s v="S-102"/>
    <x v="4"/>
    <n v="127"/>
    <n v="233.31"/>
    <d v="2025-03-05T00:00:00"/>
    <d v="2025-03-30T00:00:00"/>
    <n v="61.49"/>
    <n v="29630.37"/>
    <n v="7809.2300000000005"/>
    <n v="25"/>
    <n v="0.26355492692126359"/>
  </r>
  <r>
    <s v="PROD-1134"/>
    <x v="12"/>
    <x v="4"/>
    <s v="S-105"/>
    <x v="0"/>
    <n v="308"/>
    <n v="14.08"/>
    <d v="2025-05-17T00:00:00"/>
    <d v="2025-05-20T00:00:00"/>
    <n v="3.09"/>
    <n v="4336.6400000000003"/>
    <n v="951.71999999999991"/>
    <n v="3"/>
    <n v="0.21946022727272727"/>
  </r>
  <r>
    <s v="PROD-1135"/>
    <x v="3"/>
    <x v="2"/>
    <s v="S-101"/>
    <x v="3"/>
    <n v="415"/>
    <n v="475.74"/>
    <d v="2025-06-15T00:00:00"/>
    <d v="2025-06-22T00:00:00"/>
    <n v="79.42"/>
    <n v="197432.1"/>
    <n v="32959.300000000003"/>
    <n v="7"/>
    <n v="0.16693992516921008"/>
  </r>
  <r>
    <s v="PROD-1136"/>
    <x v="14"/>
    <x v="4"/>
    <s v="S-103"/>
    <x v="2"/>
    <n v="180"/>
    <n v="274.33"/>
    <d v="2025-02-25T00:00:00"/>
    <d v="2025-03-15T00:00:00"/>
    <n v="52.55"/>
    <n v="49379.399999999994"/>
    <n v="9459"/>
    <n v="18"/>
    <n v="0.19155761309371924"/>
  </r>
  <r>
    <s v="PROD-1137"/>
    <x v="2"/>
    <x v="2"/>
    <s v="S-103"/>
    <x v="2"/>
    <n v="22"/>
    <n v="312.62"/>
    <d v="2025-05-30T00:00:00"/>
    <d v="2025-06-03T00:00:00"/>
    <n v="57.62"/>
    <n v="6877.64"/>
    <n v="1267.6399999999999"/>
    <n v="4"/>
    <n v="0.18431322372209072"/>
  </r>
  <r>
    <s v="PROD-1138"/>
    <x v="14"/>
    <x v="4"/>
    <s v="S-102"/>
    <x v="4"/>
    <n v="228"/>
    <n v="69.77"/>
    <d v="2025-06-08T00:00:00"/>
    <d v="2025-06-11T00:00:00"/>
    <n v="16.43"/>
    <n v="15907.56"/>
    <n v="3746.04"/>
    <n v="3"/>
    <n v="0.23548803210548946"/>
  </r>
  <r>
    <s v="PROD-1139"/>
    <x v="3"/>
    <x v="2"/>
    <s v="S-105"/>
    <x v="0"/>
    <n v="195"/>
    <n v="490.66"/>
    <d v="2025-02-10T00:00:00"/>
    <d v="2025-03-03T00:00:00"/>
    <n v="71.760000000000005"/>
    <n v="95678.700000000012"/>
    <n v="13993.2"/>
    <n v="21"/>
    <n v="0.14625198711939022"/>
  </r>
  <r>
    <s v="PROD-1140"/>
    <x v="18"/>
    <x v="1"/>
    <s v="S-104"/>
    <x v="1"/>
    <n v="499"/>
    <n v="56.12"/>
    <d v="2025-03-20T00:00:00"/>
    <d v="2025-03-23T00:00:00"/>
    <n v="11.15"/>
    <n v="28003.879999999997"/>
    <n v="5563.85"/>
    <n v="3"/>
    <n v="0.19868139700641485"/>
  </r>
  <r>
    <s v="PROD-1141"/>
    <x v="16"/>
    <x v="3"/>
    <s v="S-101"/>
    <x v="3"/>
    <n v="158"/>
    <n v="342.14"/>
    <d v="2025-06-25T00:00:00"/>
    <d v="2025-07-18T00:00:00"/>
    <n v="41.3"/>
    <n v="54058.119999999995"/>
    <n v="6525.4"/>
    <n v="23"/>
    <n v="0.12071082013210965"/>
  </r>
  <r>
    <s v="PROD-1142"/>
    <x v="11"/>
    <x v="0"/>
    <s v="S-103"/>
    <x v="2"/>
    <n v="439"/>
    <n v="418.21"/>
    <d v="2025-04-04T00:00:00"/>
    <d v="2025-04-11T00:00:00"/>
    <n v="81.47"/>
    <n v="183594.19"/>
    <n v="35765.33"/>
    <n v="7"/>
    <n v="0.1948064369575094"/>
  </r>
  <r>
    <s v="PROD-1143"/>
    <x v="4"/>
    <x v="3"/>
    <s v="S-103"/>
    <x v="2"/>
    <n v="476"/>
    <n v="342.02"/>
    <d v="2025-05-01T00:00:00"/>
    <d v="2025-05-16T00:00:00"/>
    <n v="65.98"/>
    <n v="162801.51999999999"/>
    <n v="31406.480000000003"/>
    <n v="15"/>
    <n v="0.19291269516402551"/>
  </r>
  <r>
    <s v="PROD-1144"/>
    <x v="11"/>
    <x v="0"/>
    <s v="S-105"/>
    <x v="0"/>
    <n v="396"/>
    <n v="23.6"/>
    <d v="2025-03-22T00:00:00"/>
    <d v="2025-04-06T00:00:00"/>
    <n v="4.26"/>
    <n v="9345.6"/>
    <n v="1686.9599999999998"/>
    <n v="15"/>
    <n v="0.18050847457627117"/>
  </r>
  <r>
    <s v="PROD-1145"/>
    <x v="17"/>
    <x v="3"/>
    <s v="S-103"/>
    <x v="2"/>
    <n v="89"/>
    <n v="388.32"/>
    <d v="2025-06-05T00:00:00"/>
    <d v="2025-07-05T00:00:00"/>
    <n v="55.76"/>
    <n v="34560.479999999996"/>
    <n v="4962.6399999999994"/>
    <n v="30"/>
    <n v="0.14359291306139266"/>
  </r>
  <r>
    <s v="PROD-1146"/>
    <x v="1"/>
    <x v="1"/>
    <s v="S-101"/>
    <x v="3"/>
    <n v="269"/>
    <n v="138.63999999999999"/>
    <d v="2025-03-22T00:00:00"/>
    <d v="2025-04-17T00:00:00"/>
    <n v="17.739999999999998"/>
    <n v="37294.159999999996"/>
    <n v="4772.0599999999995"/>
    <n v="26"/>
    <n v="0.12795729948066936"/>
  </r>
  <r>
    <s v="PROD-1147"/>
    <x v="8"/>
    <x v="4"/>
    <s v="S-102"/>
    <x v="4"/>
    <n v="169"/>
    <n v="162.66999999999999"/>
    <d v="2025-06-26T00:00:00"/>
    <d v="2025-07-15T00:00:00"/>
    <n v="32.340000000000003"/>
    <n v="27491.23"/>
    <n v="5465.4600000000009"/>
    <n v="19"/>
    <n v="0.19880740148767448"/>
  </r>
  <r>
    <s v="PROD-1148"/>
    <x v="12"/>
    <x v="4"/>
    <s v="S-102"/>
    <x v="4"/>
    <n v="355"/>
    <n v="84.53"/>
    <d v="2025-02-12T00:00:00"/>
    <d v="2025-03-13T00:00:00"/>
    <n v="18.399999999999999"/>
    <n v="30008.15"/>
    <n v="6531.9999999999991"/>
    <n v="29"/>
    <n v="0.21767419850940492"/>
  </r>
  <r>
    <s v="PROD-1149"/>
    <x v="0"/>
    <x v="0"/>
    <s v="S-103"/>
    <x v="2"/>
    <n v="219"/>
    <n v="447.92"/>
    <d v="2025-05-02T00:00:00"/>
    <d v="2025-05-25T00:00:00"/>
    <n v="48.43"/>
    <n v="98094.48000000001"/>
    <n v="10606.17"/>
    <n v="23"/>
    <n v="0.10812198606894088"/>
  </r>
  <r>
    <s v="PROD-1150"/>
    <x v="1"/>
    <x v="1"/>
    <s v="S-105"/>
    <x v="0"/>
    <n v="235"/>
    <n v="59.32"/>
    <d v="2025-05-22T00:00:00"/>
    <d v="2025-05-29T00:00:00"/>
    <n v="8.5"/>
    <n v="13940.2"/>
    <n v="1997.5"/>
    <n v="7"/>
    <n v="0.1432906271072151"/>
  </r>
  <r>
    <s v="PROD-1151"/>
    <x v="8"/>
    <x v="4"/>
    <s v="S-104"/>
    <x v="1"/>
    <n v="298"/>
    <n v="484.54"/>
    <d v="2025-01-21T00:00:00"/>
    <d v="2025-02-04T00:00:00"/>
    <n v="114.91"/>
    <n v="144392.92000000001"/>
    <n v="34243.18"/>
    <n v="14"/>
    <n v="0.23715276344574235"/>
  </r>
  <r>
    <s v="PROD-1152"/>
    <x v="15"/>
    <x v="3"/>
    <s v="S-103"/>
    <x v="2"/>
    <n v="465"/>
    <n v="397.81"/>
    <d v="2025-04-10T00:00:00"/>
    <d v="2025-05-08T00:00:00"/>
    <n v="64.62"/>
    <n v="184981.65"/>
    <n v="30048.300000000003"/>
    <n v="28"/>
    <n v="0.16243935547120486"/>
  </r>
  <r>
    <s v="PROD-1153"/>
    <x v="15"/>
    <x v="3"/>
    <s v="S-102"/>
    <x v="4"/>
    <n v="142"/>
    <n v="329.98"/>
    <d v="2025-06-17T00:00:00"/>
    <d v="2025-06-28T00:00:00"/>
    <n v="54.22"/>
    <n v="46857.16"/>
    <n v="7699.24"/>
    <n v="11"/>
    <n v="0.16431298866597974"/>
  </r>
  <r>
    <s v="PROD-1154"/>
    <x v="14"/>
    <x v="4"/>
    <s v="S-103"/>
    <x v="2"/>
    <n v="412"/>
    <n v="240.38"/>
    <d v="2025-06-27T00:00:00"/>
    <d v="2025-07-02T00:00:00"/>
    <n v="30.61"/>
    <n v="99036.56"/>
    <n v="12611.32"/>
    <n v="5"/>
    <n v="0.12734004492886264"/>
  </r>
  <r>
    <s v="PROD-1155"/>
    <x v="16"/>
    <x v="3"/>
    <s v="S-105"/>
    <x v="0"/>
    <n v="131"/>
    <n v="190.53"/>
    <d v="2025-03-08T00:00:00"/>
    <d v="2025-03-22T00:00:00"/>
    <n v="42.64"/>
    <n v="24959.43"/>
    <n v="5585.84"/>
    <n v="14"/>
    <n v="0.22379677741038156"/>
  </r>
  <r>
    <s v="PROD-1156"/>
    <x v="11"/>
    <x v="0"/>
    <s v="S-103"/>
    <x v="2"/>
    <n v="28"/>
    <n v="152.02000000000001"/>
    <d v="2025-06-21T00:00:00"/>
    <d v="2025-07-17T00:00:00"/>
    <n v="39.17"/>
    <n v="4256.5600000000004"/>
    <n v="1096.76"/>
    <n v="26"/>
    <n v="0.25766346533350876"/>
  </r>
  <r>
    <s v="PROD-1157"/>
    <x v="2"/>
    <x v="2"/>
    <s v="S-102"/>
    <x v="4"/>
    <n v="133"/>
    <n v="220.82"/>
    <d v="2025-02-17T00:00:00"/>
    <d v="2025-03-13T00:00:00"/>
    <n v="64.17"/>
    <n v="29369.059999999998"/>
    <n v="8534.61"/>
    <n v="24"/>
    <n v="0.29059867765600944"/>
  </r>
  <r>
    <s v="PROD-1158"/>
    <x v="19"/>
    <x v="0"/>
    <s v="S-101"/>
    <x v="3"/>
    <n v="242"/>
    <n v="47.92"/>
    <d v="2025-04-02T00:00:00"/>
    <d v="2025-04-08T00:00:00"/>
    <n v="11.67"/>
    <n v="11596.640000000001"/>
    <n v="2824.14"/>
    <n v="6"/>
    <n v="0.24353088480801335"/>
  </r>
  <r>
    <s v="PROD-1159"/>
    <x v="7"/>
    <x v="0"/>
    <s v="S-101"/>
    <x v="3"/>
    <n v="115"/>
    <n v="136.72999999999999"/>
    <d v="2025-06-07T00:00:00"/>
    <d v="2025-06-17T00:00:00"/>
    <n v="16.73"/>
    <n v="15723.949999999999"/>
    <n v="1923.95"/>
    <n v="10"/>
    <n v="0.12235793169019236"/>
  </r>
  <r>
    <s v="PROD-1160"/>
    <x v="9"/>
    <x v="1"/>
    <s v="S-104"/>
    <x v="1"/>
    <n v="220"/>
    <n v="321.73"/>
    <d v="2025-01-27T00:00:00"/>
    <d v="2025-02-18T00:00:00"/>
    <n v="68.790000000000006"/>
    <n v="70780.600000000006"/>
    <n v="15133.800000000001"/>
    <n v="22"/>
    <n v="0.21381282441799024"/>
  </r>
  <r>
    <s v="PROD-1161"/>
    <x v="15"/>
    <x v="3"/>
    <s v="S-104"/>
    <x v="1"/>
    <n v="375"/>
    <n v="99.62"/>
    <d v="2025-03-05T00:00:00"/>
    <d v="2025-03-26T00:00:00"/>
    <n v="26.96"/>
    <n v="37357.5"/>
    <n v="10110"/>
    <n v="21"/>
    <n v="0.27062838787392091"/>
  </r>
  <r>
    <s v="PROD-1162"/>
    <x v="7"/>
    <x v="0"/>
    <s v="S-103"/>
    <x v="2"/>
    <n v="418"/>
    <n v="178.08"/>
    <d v="2025-02-13T00:00:00"/>
    <d v="2025-02-20T00:00:00"/>
    <n v="19.899999999999999"/>
    <n v="74437.440000000002"/>
    <n v="8318.1999999999989"/>
    <n v="7"/>
    <n v="0.11174752920035938"/>
  </r>
  <r>
    <s v="PROD-1163"/>
    <x v="4"/>
    <x v="3"/>
    <s v="S-104"/>
    <x v="1"/>
    <n v="477"/>
    <n v="221.56"/>
    <d v="2025-04-25T00:00:00"/>
    <d v="2025-05-14T00:00:00"/>
    <n v="27"/>
    <n v="105684.12"/>
    <n v="12879"/>
    <n v="19"/>
    <n v="0.12186315219353674"/>
  </r>
  <r>
    <s v="PROD-1164"/>
    <x v="6"/>
    <x v="2"/>
    <s v="S-102"/>
    <x v="4"/>
    <n v="320"/>
    <n v="177.49"/>
    <d v="2025-03-13T00:00:00"/>
    <d v="2025-04-08T00:00:00"/>
    <n v="25.05"/>
    <n v="56796.800000000003"/>
    <n v="8016"/>
    <n v="26"/>
    <n v="0.14113471181475012"/>
  </r>
  <r>
    <s v="PROD-1165"/>
    <x v="8"/>
    <x v="4"/>
    <s v="S-102"/>
    <x v="4"/>
    <n v="309"/>
    <n v="458.14"/>
    <d v="2025-01-29T00:00:00"/>
    <d v="2025-02-16T00:00:00"/>
    <n v="101.03"/>
    <n v="141565.26"/>
    <n v="31218.27"/>
    <n v="18"/>
    <n v="0.22052211114506484"/>
  </r>
  <r>
    <s v="PROD-1166"/>
    <x v="11"/>
    <x v="0"/>
    <s v="S-103"/>
    <x v="2"/>
    <n v="206"/>
    <n v="233.08"/>
    <d v="2025-03-19T00:00:00"/>
    <d v="2025-04-16T00:00:00"/>
    <n v="29.66"/>
    <n v="48014.48"/>
    <n v="6109.96"/>
    <n v="28"/>
    <n v="0.12725244551227047"/>
  </r>
  <r>
    <s v="PROD-1167"/>
    <x v="7"/>
    <x v="0"/>
    <s v="S-104"/>
    <x v="1"/>
    <n v="318"/>
    <n v="37.1"/>
    <d v="2025-04-29T00:00:00"/>
    <d v="2025-05-05T00:00:00"/>
    <n v="8.15"/>
    <n v="11797.800000000001"/>
    <n v="2591.7000000000003"/>
    <n v="6"/>
    <n v="0.21967654986522911"/>
  </r>
  <r>
    <s v="PROD-1168"/>
    <x v="14"/>
    <x v="4"/>
    <s v="S-102"/>
    <x v="4"/>
    <n v="379"/>
    <n v="260.45"/>
    <d v="2025-05-30T00:00:00"/>
    <d v="2025-06-17T00:00:00"/>
    <n v="67.040000000000006"/>
    <n v="98710.55"/>
    <n v="25408.160000000003"/>
    <n v="18"/>
    <n v="0.25740065271645235"/>
  </r>
  <r>
    <s v="PROD-1169"/>
    <x v="2"/>
    <x v="2"/>
    <s v="S-103"/>
    <x v="2"/>
    <n v="218"/>
    <n v="310.37"/>
    <d v="2025-06-03T00:00:00"/>
    <d v="2025-06-25T00:00:00"/>
    <n v="52.75"/>
    <n v="67660.66"/>
    <n v="11499.5"/>
    <n v="22"/>
    <n v="0.16995843670457841"/>
  </r>
  <r>
    <s v="PROD-1170"/>
    <x v="19"/>
    <x v="0"/>
    <s v="S-105"/>
    <x v="0"/>
    <n v="323"/>
    <n v="303.06"/>
    <d v="2025-03-03T00:00:00"/>
    <d v="2025-04-01T00:00:00"/>
    <n v="55.36"/>
    <n v="97888.38"/>
    <n v="17881.28"/>
    <n v="29"/>
    <n v="0.18267009833036363"/>
  </r>
  <r>
    <s v="PROD-1171"/>
    <x v="19"/>
    <x v="0"/>
    <s v="S-103"/>
    <x v="2"/>
    <n v="447"/>
    <n v="376.14"/>
    <d v="2025-05-11T00:00:00"/>
    <d v="2025-05-18T00:00:00"/>
    <n v="81.17"/>
    <n v="168134.58"/>
    <n v="36282.99"/>
    <n v="7"/>
    <n v="0.2157973095124156"/>
  </r>
  <r>
    <s v="PROD-1172"/>
    <x v="3"/>
    <x v="2"/>
    <s v="S-101"/>
    <x v="3"/>
    <n v="37"/>
    <n v="43.93"/>
    <d v="2025-01-25T00:00:00"/>
    <d v="2025-02-06T00:00:00"/>
    <n v="8.5299999999999994"/>
    <n v="1625.41"/>
    <n v="315.60999999999996"/>
    <n v="12"/>
    <n v="0.19417254723423627"/>
  </r>
  <r>
    <s v="PROD-1173"/>
    <x v="2"/>
    <x v="2"/>
    <s v="S-101"/>
    <x v="3"/>
    <n v="127"/>
    <n v="428.47"/>
    <d v="2025-02-07T00:00:00"/>
    <d v="2025-03-09T00:00:00"/>
    <n v="71.66"/>
    <n v="54415.69"/>
    <n v="9100.82"/>
    <n v="30"/>
    <n v="0.16724624827875928"/>
  </r>
  <r>
    <s v="PROD-1174"/>
    <x v="5"/>
    <x v="4"/>
    <s v="S-103"/>
    <x v="2"/>
    <n v="318"/>
    <n v="234.68"/>
    <d v="2025-06-13T00:00:00"/>
    <d v="2025-07-03T00:00:00"/>
    <n v="25.58"/>
    <n v="74628.240000000005"/>
    <n v="8134.44"/>
    <n v="20"/>
    <n v="0.10899948866541673"/>
  </r>
  <r>
    <s v="PROD-1175"/>
    <x v="4"/>
    <x v="3"/>
    <s v="S-105"/>
    <x v="0"/>
    <n v="462"/>
    <n v="221.71"/>
    <d v="2025-05-28T00:00:00"/>
    <d v="2025-06-06T00:00:00"/>
    <n v="24.97"/>
    <n v="102430.02"/>
    <n v="11536.14"/>
    <n v="9"/>
    <n v="0.11262459970231382"/>
  </r>
  <r>
    <s v="PROD-1176"/>
    <x v="4"/>
    <x v="3"/>
    <s v="S-101"/>
    <x v="3"/>
    <n v="128"/>
    <n v="373.78"/>
    <d v="2025-05-08T00:00:00"/>
    <d v="2025-05-15T00:00:00"/>
    <n v="81.66"/>
    <n v="47843.839999999997"/>
    <n v="10452.48"/>
    <n v="7"/>
    <n v="0.21847075820001072"/>
  </r>
  <r>
    <s v="PROD-1177"/>
    <x v="8"/>
    <x v="4"/>
    <s v="S-105"/>
    <x v="0"/>
    <n v="10"/>
    <n v="388.69"/>
    <d v="2025-06-03T00:00:00"/>
    <d v="2025-06-16T00:00:00"/>
    <n v="62.72"/>
    <n v="3886.9"/>
    <n v="627.20000000000005"/>
    <n v="13"/>
    <n v="0.16136252540585042"/>
  </r>
  <r>
    <s v="PROD-1178"/>
    <x v="1"/>
    <x v="1"/>
    <s v="S-103"/>
    <x v="2"/>
    <n v="391"/>
    <n v="283.8"/>
    <d v="2025-04-03T00:00:00"/>
    <d v="2025-04-29T00:00:00"/>
    <n v="39.74"/>
    <n v="110965.8"/>
    <n v="15538.34"/>
    <n v="26"/>
    <n v="0.14002818886539817"/>
  </r>
  <r>
    <s v="PROD-1179"/>
    <x v="15"/>
    <x v="3"/>
    <s v="S-103"/>
    <x v="2"/>
    <n v="333"/>
    <n v="419.22"/>
    <d v="2025-04-13T00:00:00"/>
    <d v="2025-05-10T00:00:00"/>
    <n v="93.6"/>
    <n v="139600.26"/>
    <n v="31168.799999999999"/>
    <n v="27"/>
    <n v="0.22327179046801199"/>
  </r>
  <r>
    <s v="PROD-1180"/>
    <x v="11"/>
    <x v="0"/>
    <s v="S-103"/>
    <x v="2"/>
    <n v="197"/>
    <n v="381.42"/>
    <d v="2025-03-27T00:00:00"/>
    <d v="2025-04-13T00:00:00"/>
    <n v="97.69"/>
    <n v="75139.740000000005"/>
    <n v="19244.93"/>
    <n v="17"/>
    <n v="0.25612186041633894"/>
  </r>
  <r>
    <s v="PROD-1181"/>
    <x v="2"/>
    <x v="2"/>
    <s v="S-104"/>
    <x v="1"/>
    <n v="465"/>
    <n v="174.75"/>
    <d v="2025-03-09T00:00:00"/>
    <d v="2025-03-12T00:00:00"/>
    <n v="40.119999999999997"/>
    <n v="81258.75"/>
    <n v="18655.8"/>
    <n v="3"/>
    <n v="0.22958512160228897"/>
  </r>
  <r>
    <s v="PROD-1182"/>
    <x v="5"/>
    <x v="4"/>
    <s v="S-104"/>
    <x v="1"/>
    <n v="225"/>
    <n v="483.84"/>
    <d v="2025-05-13T00:00:00"/>
    <d v="2025-06-09T00:00:00"/>
    <n v="71.150000000000006"/>
    <n v="108864"/>
    <n v="16008.750000000002"/>
    <n v="27"/>
    <n v="0.14705274470899474"/>
  </r>
  <r>
    <s v="PROD-1183"/>
    <x v="8"/>
    <x v="4"/>
    <s v="S-102"/>
    <x v="4"/>
    <n v="241"/>
    <n v="467.23"/>
    <d v="2025-02-18T00:00:00"/>
    <d v="2025-03-16T00:00:00"/>
    <n v="78.260000000000005"/>
    <n v="112602.43000000001"/>
    <n v="18860.66"/>
    <n v="26"/>
    <n v="0.16749780621963486"/>
  </r>
  <r>
    <s v="PROD-1184"/>
    <x v="6"/>
    <x v="2"/>
    <s v="S-103"/>
    <x v="2"/>
    <n v="495"/>
    <n v="328.98"/>
    <d v="2025-04-30T00:00:00"/>
    <d v="2025-05-06T00:00:00"/>
    <n v="56.41"/>
    <n v="162845.1"/>
    <n v="27922.949999999997"/>
    <n v="6"/>
    <n v="0.17146939023648852"/>
  </r>
  <r>
    <s v="PROD-1185"/>
    <x v="9"/>
    <x v="1"/>
    <s v="S-102"/>
    <x v="4"/>
    <n v="340"/>
    <n v="317.26"/>
    <d v="2025-01-25T00:00:00"/>
    <d v="2025-02-07T00:00:00"/>
    <n v="53.15"/>
    <n v="107868.4"/>
    <n v="18071"/>
    <n v="13"/>
    <n v="0.16752821030069975"/>
  </r>
  <r>
    <s v="PROD-1186"/>
    <x v="6"/>
    <x v="2"/>
    <s v="S-101"/>
    <x v="3"/>
    <n v="133"/>
    <n v="341.05"/>
    <d v="2025-03-25T00:00:00"/>
    <d v="2025-04-02T00:00:00"/>
    <n v="85.89"/>
    <n v="45359.65"/>
    <n v="11423.37"/>
    <n v="8"/>
    <n v="0.25183990617211555"/>
  </r>
  <r>
    <s v="PROD-1187"/>
    <x v="1"/>
    <x v="1"/>
    <s v="S-104"/>
    <x v="1"/>
    <n v="460"/>
    <n v="491.78"/>
    <d v="2025-06-12T00:00:00"/>
    <d v="2025-07-10T00:00:00"/>
    <n v="64.42"/>
    <n v="226218.8"/>
    <n v="29633.200000000001"/>
    <n v="28"/>
    <n v="0.13099353369392819"/>
  </r>
  <r>
    <s v="PROD-1188"/>
    <x v="0"/>
    <x v="0"/>
    <s v="S-104"/>
    <x v="1"/>
    <n v="399"/>
    <n v="27.09"/>
    <d v="2025-01-10T00:00:00"/>
    <d v="2025-01-16T00:00:00"/>
    <n v="6.56"/>
    <n v="10808.91"/>
    <n v="2617.44"/>
    <n v="6"/>
    <n v="0.24215577703949795"/>
  </r>
  <r>
    <s v="PROD-1189"/>
    <x v="4"/>
    <x v="3"/>
    <s v="S-105"/>
    <x v="0"/>
    <n v="228"/>
    <n v="264.41000000000003"/>
    <d v="2025-02-12T00:00:00"/>
    <d v="2025-02-22T00:00:00"/>
    <n v="65.86"/>
    <n v="60285.48"/>
    <n v="15016.08"/>
    <n v="10"/>
    <n v="0.24908286373435193"/>
  </r>
  <r>
    <s v="PROD-1190"/>
    <x v="7"/>
    <x v="0"/>
    <s v="S-105"/>
    <x v="0"/>
    <n v="161"/>
    <n v="447.4"/>
    <d v="2025-05-30T00:00:00"/>
    <d v="2025-06-16T00:00:00"/>
    <n v="101.71"/>
    <n v="72031.399999999994"/>
    <n v="16375.31"/>
    <n v="17"/>
    <n v="0.22733571747876621"/>
  </r>
  <r>
    <s v="PROD-1191"/>
    <x v="17"/>
    <x v="3"/>
    <s v="S-102"/>
    <x v="4"/>
    <n v="449"/>
    <n v="256.47000000000003"/>
    <d v="2025-03-05T00:00:00"/>
    <d v="2025-03-07T00:00:00"/>
    <n v="63.32"/>
    <n v="115155.03000000001"/>
    <n v="28430.68"/>
    <n v="2"/>
    <n v="0.24689047451943694"/>
  </r>
  <r>
    <s v="PROD-1192"/>
    <x v="16"/>
    <x v="3"/>
    <s v="S-105"/>
    <x v="0"/>
    <n v="221"/>
    <n v="206.95"/>
    <d v="2025-06-24T00:00:00"/>
    <d v="2025-06-30T00:00:00"/>
    <n v="33.06"/>
    <n v="45735.95"/>
    <n v="7306.26"/>
    <n v="6"/>
    <n v="0.15974873157767577"/>
  </r>
  <r>
    <s v="PROD-1193"/>
    <x v="8"/>
    <x v="4"/>
    <s v="S-103"/>
    <x v="2"/>
    <n v="16"/>
    <n v="33.53"/>
    <d v="2025-01-12T00:00:00"/>
    <d v="2025-01-22T00:00:00"/>
    <n v="9.64"/>
    <n v="536.48"/>
    <n v="154.24"/>
    <n v="10"/>
    <n v="0.28750372800477186"/>
  </r>
  <r>
    <s v="PROD-1194"/>
    <x v="9"/>
    <x v="1"/>
    <s v="S-101"/>
    <x v="3"/>
    <n v="109"/>
    <n v="186.23"/>
    <d v="2025-05-09T00:00:00"/>
    <d v="2025-06-06T00:00:00"/>
    <n v="29.93"/>
    <n v="20299.07"/>
    <n v="3262.37"/>
    <n v="28"/>
    <n v="0.16071524459002309"/>
  </r>
  <r>
    <s v="PROD-1195"/>
    <x v="13"/>
    <x v="2"/>
    <s v="S-104"/>
    <x v="1"/>
    <n v="404"/>
    <n v="41.57"/>
    <d v="2025-05-28T00:00:00"/>
    <d v="2025-06-15T00:00:00"/>
    <n v="10.119999999999999"/>
    <n v="16794.28"/>
    <n v="4088.4799999999996"/>
    <n v="18"/>
    <n v="0.24344479191724799"/>
  </r>
  <r>
    <s v="PROD-1196"/>
    <x v="1"/>
    <x v="1"/>
    <s v="S-102"/>
    <x v="4"/>
    <n v="462"/>
    <n v="426.91"/>
    <d v="2025-06-03T00:00:00"/>
    <d v="2025-06-23T00:00:00"/>
    <n v="74.709999999999994"/>
    <n v="197232.42"/>
    <n v="34516.019999999997"/>
    <n v="20"/>
    <n v="0.17500175681056895"/>
  </r>
  <r>
    <s v="PROD-1197"/>
    <x v="2"/>
    <x v="2"/>
    <s v="S-105"/>
    <x v="0"/>
    <n v="31"/>
    <n v="288.41000000000003"/>
    <d v="2025-06-25T00:00:00"/>
    <d v="2025-07-14T00:00:00"/>
    <n v="64.290000000000006"/>
    <n v="8940.7100000000009"/>
    <n v="1992.9900000000002"/>
    <n v="19"/>
    <n v="0.22291182691307515"/>
  </r>
  <r>
    <s v="PROD-1198"/>
    <x v="1"/>
    <x v="1"/>
    <s v="S-105"/>
    <x v="0"/>
    <n v="476"/>
    <n v="108.88"/>
    <d v="2025-02-25T00:00:00"/>
    <d v="2025-03-11T00:00:00"/>
    <n v="20.74"/>
    <n v="51826.879999999997"/>
    <n v="9872.24"/>
    <n v="14"/>
    <n v="0.19048493754592211"/>
  </r>
  <r>
    <s v="PROD-1199"/>
    <x v="15"/>
    <x v="3"/>
    <s v="S-102"/>
    <x v="4"/>
    <n v="421"/>
    <n v="189.7"/>
    <d v="2025-05-21T00:00:00"/>
    <d v="2025-06-08T00:00:00"/>
    <n v="37.32"/>
    <n v="79863.7"/>
    <n v="15711.72"/>
    <n v="18"/>
    <n v="0.19673168160253032"/>
  </r>
  <r>
    <s v="PROD-1200"/>
    <x v="6"/>
    <x v="2"/>
    <s v="S-101"/>
    <x v="3"/>
    <n v="189"/>
    <n v="134.63999999999999"/>
    <d v="2025-05-30T00:00:00"/>
    <d v="2025-06-16T00:00:00"/>
    <n v="26.89"/>
    <n v="25446.959999999999"/>
    <n v="5082.21"/>
    <n v="17"/>
    <n v="0.19971776589423651"/>
  </r>
  <r>
    <s v="PROD-1201"/>
    <x v="8"/>
    <x v="4"/>
    <s v="S-102"/>
    <x v="4"/>
    <n v="188"/>
    <n v="167.05"/>
    <d v="2025-02-25T00:00:00"/>
    <d v="2025-03-21T00:00:00"/>
    <n v="18.14"/>
    <n v="31405.4"/>
    <n v="3410.32"/>
    <n v="24"/>
    <n v="0.10859024244238252"/>
  </r>
  <r>
    <s v="PROD-1202"/>
    <x v="11"/>
    <x v="0"/>
    <s v="S-102"/>
    <x v="4"/>
    <n v="358"/>
    <n v="313.76"/>
    <d v="2025-01-04T00:00:00"/>
    <d v="2025-01-30T00:00:00"/>
    <n v="38.840000000000003"/>
    <n v="112326.08"/>
    <n v="13904.720000000001"/>
    <n v="26"/>
    <n v="0.12378888322284551"/>
  </r>
  <r>
    <s v="PROD-1203"/>
    <x v="2"/>
    <x v="2"/>
    <s v="S-103"/>
    <x v="2"/>
    <n v="174"/>
    <n v="391.56"/>
    <d v="2025-03-14T00:00:00"/>
    <d v="2025-03-19T00:00:00"/>
    <n v="104.25"/>
    <n v="68131.44"/>
    <n v="18139.5"/>
    <n v="5"/>
    <n v="0.26624272142200428"/>
  </r>
  <r>
    <s v="PROD-1204"/>
    <x v="19"/>
    <x v="0"/>
    <s v="S-104"/>
    <x v="1"/>
    <n v="50"/>
    <n v="322.32"/>
    <d v="2025-03-22T00:00:00"/>
    <d v="2025-03-24T00:00:00"/>
    <n v="62.87"/>
    <n v="16116"/>
    <n v="3143.5"/>
    <n v="2"/>
    <n v="0.19505460412012907"/>
  </r>
  <r>
    <s v="PROD-1205"/>
    <x v="7"/>
    <x v="0"/>
    <s v="S-102"/>
    <x v="4"/>
    <n v="451"/>
    <n v="330.11"/>
    <d v="2025-05-29T00:00:00"/>
    <d v="2025-06-22T00:00:00"/>
    <n v="56.5"/>
    <n v="148879.61000000002"/>
    <n v="25481.5"/>
    <n v="24"/>
    <n v="0.17115506952228043"/>
  </r>
  <r>
    <s v="PROD-1206"/>
    <x v="11"/>
    <x v="0"/>
    <s v="S-104"/>
    <x v="1"/>
    <n v="270"/>
    <n v="458.45"/>
    <d v="2025-03-24T00:00:00"/>
    <d v="2025-04-23T00:00:00"/>
    <n v="84.08"/>
    <n v="123781.5"/>
    <n v="22701.599999999999"/>
    <n v="30"/>
    <n v="0.18340058894099684"/>
  </r>
  <r>
    <s v="PROD-1207"/>
    <x v="13"/>
    <x v="2"/>
    <s v="S-104"/>
    <x v="1"/>
    <n v="412"/>
    <n v="469.5"/>
    <d v="2025-03-23T00:00:00"/>
    <d v="2025-04-03T00:00:00"/>
    <n v="87.58"/>
    <n v="193434"/>
    <n v="36082.959999999999"/>
    <n v="11"/>
    <n v="0.18653887113951012"/>
  </r>
  <r>
    <s v="PROD-1208"/>
    <x v="2"/>
    <x v="2"/>
    <s v="S-104"/>
    <x v="1"/>
    <n v="155"/>
    <n v="174.39"/>
    <d v="2025-05-07T00:00:00"/>
    <d v="2025-05-22T00:00:00"/>
    <n v="22.53"/>
    <n v="27030.449999999997"/>
    <n v="3492.15"/>
    <n v="15"/>
    <n v="0.12919318768277999"/>
  </r>
  <r>
    <s v="PROD-1209"/>
    <x v="14"/>
    <x v="4"/>
    <s v="S-105"/>
    <x v="0"/>
    <n v="174"/>
    <n v="181.53"/>
    <d v="2025-02-16T00:00:00"/>
    <d v="2025-02-20T00:00:00"/>
    <n v="44.58"/>
    <n v="31586.22"/>
    <n v="7756.92"/>
    <n v="4"/>
    <n v="0.24557924310031398"/>
  </r>
  <r>
    <s v="PROD-1210"/>
    <x v="5"/>
    <x v="4"/>
    <s v="S-104"/>
    <x v="1"/>
    <n v="100"/>
    <n v="224.04"/>
    <d v="2025-02-04T00:00:00"/>
    <d v="2025-02-17T00:00:00"/>
    <n v="37.74"/>
    <n v="22404"/>
    <n v="3774"/>
    <n v="13"/>
    <n v="0.1684520621317622"/>
  </r>
  <r>
    <s v="PROD-1211"/>
    <x v="15"/>
    <x v="3"/>
    <s v="S-105"/>
    <x v="0"/>
    <n v="355"/>
    <n v="368.78"/>
    <d v="2025-01-01T00:00:00"/>
    <d v="2025-01-29T00:00:00"/>
    <n v="59.68"/>
    <n v="130916.9"/>
    <n v="21186.400000000001"/>
    <n v="28"/>
    <n v="0.16183090189272739"/>
  </r>
  <r>
    <s v="PROD-1212"/>
    <x v="17"/>
    <x v="3"/>
    <s v="S-102"/>
    <x v="4"/>
    <n v="137"/>
    <n v="434.25"/>
    <d v="2025-03-29T00:00:00"/>
    <d v="2025-04-12T00:00:00"/>
    <n v="121.19"/>
    <n v="59492.25"/>
    <n v="16603.03"/>
    <n v="14"/>
    <n v="0.27907887161773171"/>
  </r>
  <r>
    <s v="PROD-1213"/>
    <x v="10"/>
    <x v="1"/>
    <s v="S-103"/>
    <x v="2"/>
    <n v="425"/>
    <n v="362.27"/>
    <d v="2025-03-11T00:00:00"/>
    <d v="2025-03-27T00:00:00"/>
    <n v="54.68"/>
    <n v="153964.75"/>
    <n v="23239"/>
    <n v="16"/>
    <n v="0.15093714632732494"/>
  </r>
  <r>
    <s v="PROD-1214"/>
    <x v="4"/>
    <x v="3"/>
    <s v="S-101"/>
    <x v="3"/>
    <n v="193"/>
    <n v="162.09"/>
    <d v="2025-06-24T00:00:00"/>
    <d v="2025-07-12T00:00:00"/>
    <n v="21.63"/>
    <n v="31283.37"/>
    <n v="4174.59"/>
    <n v="18"/>
    <n v="0.13344438275032389"/>
  </r>
  <r>
    <s v="PROD-1215"/>
    <x v="14"/>
    <x v="4"/>
    <s v="S-101"/>
    <x v="3"/>
    <n v="125"/>
    <n v="476.97"/>
    <d v="2025-04-21T00:00:00"/>
    <d v="2025-05-16T00:00:00"/>
    <n v="118.21"/>
    <n v="59621.25"/>
    <n v="14776.25"/>
    <n v="25"/>
    <n v="0.24783529362433693"/>
  </r>
  <r>
    <s v="PROD-1216"/>
    <x v="6"/>
    <x v="2"/>
    <s v="S-103"/>
    <x v="2"/>
    <n v="110"/>
    <n v="72.3"/>
    <d v="2025-03-11T00:00:00"/>
    <d v="2025-04-08T00:00:00"/>
    <n v="14.22"/>
    <n v="7953"/>
    <n v="1564.2"/>
    <n v="28"/>
    <n v="0.19668049792531123"/>
  </r>
  <r>
    <s v="PROD-1217"/>
    <x v="12"/>
    <x v="4"/>
    <s v="S-103"/>
    <x v="2"/>
    <n v="243"/>
    <n v="61.94"/>
    <d v="2025-01-13T00:00:00"/>
    <d v="2025-02-05T00:00:00"/>
    <n v="12.6"/>
    <n v="15051.42"/>
    <n v="3061.7999999999997"/>
    <n v="23"/>
    <n v="0.20342266709719084"/>
  </r>
  <r>
    <s v="PROD-1218"/>
    <x v="7"/>
    <x v="0"/>
    <s v="S-101"/>
    <x v="3"/>
    <n v="462"/>
    <n v="269.77"/>
    <d v="2025-04-11T00:00:00"/>
    <d v="2025-04-19T00:00:00"/>
    <n v="39.68"/>
    <n v="124633.73999999999"/>
    <n v="18332.16"/>
    <n v="8"/>
    <n v="0.14708826036994477"/>
  </r>
  <r>
    <s v="PROD-1219"/>
    <x v="13"/>
    <x v="2"/>
    <s v="S-103"/>
    <x v="2"/>
    <n v="111"/>
    <n v="183.29"/>
    <d v="2025-01-06T00:00:00"/>
    <d v="2025-01-14T00:00:00"/>
    <n v="25.79"/>
    <n v="20345.189999999999"/>
    <n v="2862.69"/>
    <n v="8"/>
    <n v="0.14070598505101206"/>
  </r>
  <r>
    <s v="PROD-1220"/>
    <x v="0"/>
    <x v="0"/>
    <s v="S-104"/>
    <x v="1"/>
    <n v="304"/>
    <n v="346.84"/>
    <d v="2025-02-02T00:00:00"/>
    <d v="2025-02-25T00:00:00"/>
    <n v="94.6"/>
    <n v="105439.35999999999"/>
    <n v="28758.399999999998"/>
    <n v="23"/>
    <n v="0.27274824126398339"/>
  </r>
  <r>
    <s v="PROD-1221"/>
    <x v="9"/>
    <x v="1"/>
    <s v="S-101"/>
    <x v="3"/>
    <n v="143"/>
    <n v="286.63"/>
    <d v="2025-02-02T00:00:00"/>
    <d v="2025-02-17T00:00:00"/>
    <n v="71.63"/>
    <n v="40988.089999999997"/>
    <n v="10243.09"/>
    <n v="15"/>
    <n v="0.2499040574957262"/>
  </r>
  <r>
    <s v="PROD-1222"/>
    <x v="4"/>
    <x v="3"/>
    <s v="S-101"/>
    <x v="3"/>
    <n v="318"/>
    <n v="15.15"/>
    <d v="2025-01-10T00:00:00"/>
    <d v="2025-02-01T00:00:00"/>
    <n v="1.73"/>
    <n v="4817.7"/>
    <n v="550.14"/>
    <n v="22"/>
    <n v="0.11419141914191419"/>
  </r>
  <r>
    <s v="PROD-1223"/>
    <x v="12"/>
    <x v="4"/>
    <s v="S-105"/>
    <x v="0"/>
    <n v="408"/>
    <n v="165.42"/>
    <d v="2025-03-10T00:00:00"/>
    <d v="2025-03-30T00:00:00"/>
    <n v="37.369999999999997"/>
    <n v="67491.360000000001"/>
    <n v="15246.96"/>
    <n v="20"/>
    <n v="0.22590980534397292"/>
  </r>
  <r>
    <s v="PROD-1224"/>
    <x v="2"/>
    <x v="2"/>
    <s v="S-104"/>
    <x v="1"/>
    <n v="186"/>
    <n v="183.55"/>
    <d v="2025-05-21T00:00:00"/>
    <d v="2025-06-02T00:00:00"/>
    <n v="26.37"/>
    <n v="34140.300000000003"/>
    <n v="4904.8200000000006"/>
    <n v="12"/>
    <n v="0.14366657586488696"/>
  </r>
  <r>
    <s v="PROD-1225"/>
    <x v="2"/>
    <x v="2"/>
    <s v="S-105"/>
    <x v="0"/>
    <n v="388"/>
    <n v="474.29"/>
    <d v="2025-03-30T00:00:00"/>
    <d v="2025-04-26T00:00:00"/>
    <n v="115.15"/>
    <n v="184024.52000000002"/>
    <n v="44678.200000000004"/>
    <n v="27"/>
    <n v="0.242783950747433"/>
  </r>
  <r>
    <s v="PROD-1226"/>
    <x v="13"/>
    <x v="2"/>
    <s v="S-102"/>
    <x v="4"/>
    <n v="243"/>
    <n v="392.59"/>
    <d v="2025-01-23T00:00:00"/>
    <d v="2025-02-05T00:00:00"/>
    <n v="104.82"/>
    <n v="95399.37"/>
    <n v="25471.26"/>
    <n v="13"/>
    <n v="0.26699610280445246"/>
  </r>
  <r>
    <s v="PROD-1227"/>
    <x v="4"/>
    <x v="3"/>
    <s v="S-103"/>
    <x v="2"/>
    <n v="117"/>
    <n v="465.43"/>
    <d v="2025-02-15T00:00:00"/>
    <d v="2025-02-21T00:00:00"/>
    <n v="117.79"/>
    <n v="54455.31"/>
    <n v="13781.43"/>
    <n v="6"/>
    <n v="0.25307779902455796"/>
  </r>
  <r>
    <s v="PROD-1228"/>
    <x v="8"/>
    <x v="4"/>
    <s v="S-104"/>
    <x v="1"/>
    <n v="237"/>
    <n v="23.29"/>
    <d v="2025-04-19T00:00:00"/>
    <d v="2025-04-28T00:00:00"/>
    <n v="6.74"/>
    <n v="5519.73"/>
    <n v="1597.38"/>
    <n v="9"/>
    <n v="0.28939458995276945"/>
  </r>
  <r>
    <s v="PROD-1229"/>
    <x v="10"/>
    <x v="1"/>
    <s v="S-102"/>
    <x v="4"/>
    <n v="227"/>
    <n v="221.67"/>
    <d v="2025-06-15T00:00:00"/>
    <d v="2025-06-30T00:00:00"/>
    <n v="53.33"/>
    <n v="50319.09"/>
    <n v="12105.91"/>
    <n v="15"/>
    <n v="0.24058284837821989"/>
  </r>
  <r>
    <s v="PROD-1230"/>
    <x v="1"/>
    <x v="1"/>
    <s v="S-103"/>
    <x v="2"/>
    <n v="139"/>
    <n v="410.32"/>
    <d v="2025-01-19T00:00:00"/>
    <d v="2025-02-12T00:00:00"/>
    <n v="110.81"/>
    <n v="57034.479999999996"/>
    <n v="15402.59"/>
    <n v="24"/>
    <n v="0.27005751608500683"/>
  </r>
  <r>
    <s v="PROD-1231"/>
    <x v="15"/>
    <x v="3"/>
    <s v="S-103"/>
    <x v="2"/>
    <n v="322"/>
    <n v="88.58"/>
    <d v="2025-03-07T00:00:00"/>
    <d v="2025-03-31T00:00:00"/>
    <n v="26.14"/>
    <n v="28522.76"/>
    <n v="8417.08"/>
    <n v="24"/>
    <n v="0.29510047414766316"/>
  </r>
  <r>
    <s v="PROD-1232"/>
    <x v="15"/>
    <x v="3"/>
    <s v="S-101"/>
    <x v="3"/>
    <n v="193"/>
    <n v="166.87"/>
    <d v="2025-01-20T00:00:00"/>
    <d v="2025-02-18T00:00:00"/>
    <n v="45.5"/>
    <n v="32205.91"/>
    <n v="8781.5"/>
    <n v="29"/>
    <n v="0.27266734583807756"/>
  </r>
  <r>
    <s v="PROD-1233"/>
    <x v="18"/>
    <x v="1"/>
    <s v="S-104"/>
    <x v="1"/>
    <n v="190"/>
    <n v="384.63"/>
    <d v="2025-01-24T00:00:00"/>
    <d v="2025-02-22T00:00:00"/>
    <n v="43.8"/>
    <n v="73079.7"/>
    <n v="8322"/>
    <n v="29"/>
    <n v="0.11387567272443647"/>
  </r>
  <r>
    <s v="PROD-1234"/>
    <x v="12"/>
    <x v="4"/>
    <s v="S-102"/>
    <x v="4"/>
    <n v="124"/>
    <n v="294.62"/>
    <d v="2025-06-29T00:00:00"/>
    <d v="2025-07-11T00:00:00"/>
    <n v="82.34"/>
    <n v="36532.879999999997"/>
    <n v="10210.16"/>
    <n v="12"/>
    <n v="0.27947865046500575"/>
  </r>
  <r>
    <s v="PROD-1235"/>
    <x v="14"/>
    <x v="4"/>
    <s v="S-102"/>
    <x v="4"/>
    <n v="225"/>
    <n v="463.74"/>
    <d v="2025-01-05T00:00:00"/>
    <d v="2025-01-07T00:00:00"/>
    <n v="113.36"/>
    <n v="104341.5"/>
    <n v="25506"/>
    <n v="2"/>
    <n v="0.24444731961875188"/>
  </r>
  <r>
    <s v="PROD-1236"/>
    <x v="17"/>
    <x v="3"/>
    <s v="S-101"/>
    <x v="3"/>
    <n v="370"/>
    <n v="239.92"/>
    <d v="2025-04-01T00:00:00"/>
    <d v="2025-05-01T00:00:00"/>
    <n v="53.05"/>
    <n v="88770.4"/>
    <n v="19628.5"/>
    <n v="30"/>
    <n v="0.22111537179059687"/>
  </r>
  <r>
    <s v="PROD-1237"/>
    <x v="11"/>
    <x v="0"/>
    <s v="S-101"/>
    <x v="3"/>
    <n v="289"/>
    <n v="309.04000000000002"/>
    <d v="2025-03-24T00:00:00"/>
    <d v="2025-04-02T00:00:00"/>
    <n v="91.12"/>
    <n v="89312.560000000012"/>
    <n v="26333.68"/>
    <n v="9"/>
    <n v="0.29484856329277764"/>
  </r>
  <r>
    <s v="PROD-1238"/>
    <x v="9"/>
    <x v="1"/>
    <s v="S-105"/>
    <x v="0"/>
    <n v="214"/>
    <n v="118.63"/>
    <d v="2025-06-19T00:00:00"/>
    <d v="2025-07-07T00:00:00"/>
    <n v="16"/>
    <n v="25386.82"/>
    <n v="3424"/>
    <n v="18"/>
    <n v="0.13487313495743067"/>
  </r>
  <r>
    <s v="PROD-1239"/>
    <x v="16"/>
    <x v="3"/>
    <s v="S-105"/>
    <x v="0"/>
    <n v="500"/>
    <n v="381.1"/>
    <d v="2025-06-02T00:00:00"/>
    <d v="2025-06-24T00:00:00"/>
    <n v="74.13"/>
    <n v="190550"/>
    <n v="37065"/>
    <n v="22"/>
    <n v="0.19451587509839935"/>
  </r>
  <r>
    <s v="PROD-1240"/>
    <x v="6"/>
    <x v="2"/>
    <s v="S-104"/>
    <x v="1"/>
    <n v="299"/>
    <n v="220.3"/>
    <d v="2025-01-14T00:00:00"/>
    <d v="2025-01-25T00:00:00"/>
    <n v="38.9"/>
    <n v="65869.7"/>
    <n v="11631.1"/>
    <n v="11"/>
    <n v="0.17657739446209714"/>
  </r>
  <r>
    <s v="PROD-1241"/>
    <x v="15"/>
    <x v="3"/>
    <s v="S-104"/>
    <x v="1"/>
    <n v="281"/>
    <n v="136.65"/>
    <d v="2025-05-07T00:00:00"/>
    <d v="2025-05-27T00:00:00"/>
    <n v="39.17"/>
    <n v="38398.65"/>
    <n v="11006.77"/>
    <n v="20"/>
    <n v="0.28664471276984999"/>
  </r>
  <r>
    <s v="PROD-1242"/>
    <x v="8"/>
    <x v="4"/>
    <s v="S-102"/>
    <x v="4"/>
    <n v="141"/>
    <n v="170.28"/>
    <d v="2025-06-14T00:00:00"/>
    <d v="2025-07-11T00:00:00"/>
    <n v="33.39"/>
    <n v="24009.48"/>
    <n v="4707.99"/>
    <n v="27"/>
    <n v="0.19608879492600423"/>
  </r>
  <r>
    <s v="PROD-1243"/>
    <x v="16"/>
    <x v="3"/>
    <s v="S-101"/>
    <x v="3"/>
    <n v="344"/>
    <n v="403.19"/>
    <d v="2025-03-08T00:00:00"/>
    <d v="2025-03-10T00:00:00"/>
    <n v="101.22"/>
    <n v="138697.35999999999"/>
    <n v="34819.68"/>
    <n v="2"/>
    <n v="0.25104789305290309"/>
  </r>
  <r>
    <s v="PROD-1244"/>
    <x v="9"/>
    <x v="1"/>
    <s v="S-102"/>
    <x v="4"/>
    <n v="271"/>
    <n v="15.46"/>
    <d v="2025-04-24T00:00:00"/>
    <d v="2025-05-17T00:00:00"/>
    <n v="3.35"/>
    <n v="4189.66"/>
    <n v="907.85"/>
    <n v="23"/>
    <n v="0.2166882276843467"/>
  </r>
  <r>
    <s v="PROD-1245"/>
    <x v="3"/>
    <x v="2"/>
    <s v="S-102"/>
    <x v="4"/>
    <n v="256"/>
    <n v="491.2"/>
    <d v="2025-06-11T00:00:00"/>
    <d v="2025-06-13T00:00:00"/>
    <n v="129.27000000000001"/>
    <n v="125747.2"/>
    <n v="33093.120000000003"/>
    <n v="2"/>
    <n v="0.26317182410423456"/>
  </r>
  <r>
    <s v="PROD-1246"/>
    <x v="13"/>
    <x v="2"/>
    <s v="S-104"/>
    <x v="1"/>
    <n v="126"/>
    <n v="18.3"/>
    <d v="2025-01-19T00:00:00"/>
    <d v="2025-02-14T00:00:00"/>
    <n v="3.03"/>
    <n v="2305.8000000000002"/>
    <n v="381.78"/>
    <n v="26"/>
    <n v="0.16557377049180327"/>
  </r>
  <r>
    <s v="PROD-1247"/>
    <x v="8"/>
    <x v="4"/>
    <s v="S-105"/>
    <x v="0"/>
    <n v="104"/>
    <n v="342.11"/>
    <d v="2025-03-23T00:00:00"/>
    <d v="2025-04-16T00:00:00"/>
    <n v="58.94"/>
    <n v="35579.440000000002"/>
    <n v="6129.76"/>
    <n v="24"/>
    <n v="0.17228376837859166"/>
  </r>
  <r>
    <s v="PROD-1248"/>
    <x v="1"/>
    <x v="1"/>
    <s v="S-102"/>
    <x v="4"/>
    <n v="402"/>
    <n v="230.72"/>
    <d v="2025-02-11T00:00:00"/>
    <d v="2025-02-26T00:00:00"/>
    <n v="34.33"/>
    <n v="92749.440000000002"/>
    <n v="13800.66"/>
    <n v="15"/>
    <n v="0.14879507628294036"/>
  </r>
  <r>
    <s v="PROD-1249"/>
    <x v="1"/>
    <x v="1"/>
    <s v="S-105"/>
    <x v="0"/>
    <n v="71"/>
    <n v="491.86"/>
    <d v="2025-03-17T00:00:00"/>
    <d v="2025-03-31T00:00:00"/>
    <n v="65.11"/>
    <n v="34922.06"/>
    <n v="4622.8100000000004"/>
    <n v="14"/>
    <n v="0.13237506607571259"/>
  </r>
  <r>
    <s v="PROD-1250"/>
    <x v="8"/>
    <x v="4"/>
    <s v="S-101"/>
    <x v="3"/>
    <n v="63"/>
    <n v="338.59"/>
    <d v="2025-02-20T00:00:00"/>
    <d v="2025-03-03T00:00:00"/>
    <n v="77.599999999999994"/>
    <n v="21331.17"/>
    <n v="4888.7999999999993"/>
    <n v="11"/>
    <n v="0.22918574086653476"/>
  </r>
  <r>
    <s v="PROD-1251"/>
    <x v="19"/>
    <x v="0"/>
    <s v="S-101"/>
    <x v="3"/>
    <n v="238"/>
    <n v="481.91"/>
    <d v="2025-06-29T00:00:00"/>
    <d v="2025-07-04T00:00:00"/>
    <n v="102.58"/>
    <n v="114694.58"/>
    <n v="24414.04"/>
    <n v="5"/>
    <n v="0.21286132265360749"/>
  </r>
  <r>
    <s v="PROD-1252"/>
    <x v="3"/>
    <x v="2"/>
    <s v="S-102"/>
    <x v="4"/>
    <n v="50"/>
    <n v="155.52000000000001"/>
    <d v="2025-02-16T00:00:00"/>
    <d v="2025-03-10T00:00:00"/>
    <n v="20"/>
    <n v="7776.0000000000009"/>
    <n v="1000"/>
    <n v="22"/>
    <n v="0.12860082304526749"/>
  </r>
  <r>
    <s v="PROD-1253"/>
    <x v="1"/>
    <x v="1"/>
    <s v="S-105"/>
    <x v="0"/>
    <n v="236"/>
    <n v="455.34"/>
    <d v="2025-02-27T00:00:00"/>
    <d v="2025-03-28T00:00:00"/>
    <n v="78.2"/>
    <n v="107460.23999999999"/>
    <n v="18455.2"/>
    <n v="29"/>
    <n v="0.17173979883164231"/>
  </r>
  <r>
    <s v="PROD-1254"/>
    <x v="4"/>
    <x v="3"/>
    <s v="S-104"/>
    <x v="1"/>
    <n v="422"/>
    <n v="373.24"/>
    <d v="2025-04-11T00:00:00"/>
    <d v="2025-05-11T00:00:00"/>
    <n v="55.9"/>
    <n v="157507.28"/>
    <n v="23589.8"/>
    <n v="30"/>
    <n v="0.14976958525345621"/>
  </r>
  <r>
    <s v="PROD-1255"/>
    <x v="15"/>
    <x v="3"/>
    <s v="S-101"/>
    <x v="3"/>
    <n v="202"/>
    <n v="316.18"/>
    <d v="2025-05-27T00:00:00"/>
    <d v="2025-06-08T00:00:00"/>
    <n v="78.91"/>
    <n v="63868.36"/>
    <n v="15939.82"/>
    <n v="12"/>
    <n v="0.24957302802201276"/>
  </r>
  <r>
    <s v="PROD-1256"/>
    <x v="9"/>
    <x v="1"/>
    <s v="S-101"/>
    <x v="3"/>
    <n v="199"/>
    <n v="75.75"/>
    <d v="2025-06-12T00:00:00"/>
    <d v="2025-06-16T00:00:00"/>
    <n v="10.47"/>
    <n v="15074.25"/>
    <n v="2083.5300000000002"/>
    <n v="4"/>
    <n v="0.13821782178217823"/>
  </r>
  <r>
    <s v="PROD-1257"/>
    <x v="16"/>
    <x v="3"/>
    <s v="S-105"/>
    <x v="0"/>
    <n v="27"/>
    <n v="7.04"/>
    <d v="2025-06-28T00:00:00"/>
    <d v="2025-07-14T00:00:00"/>
    <n v="0.78"/>
    <n v="190.08"/>
    <n v="21.060000000000002"/>
    <n v="16"/>
    <n v="0.11079545454545454"/>
  </r>
  <r>
    <s v="PROD-1258"/>
    <x v="18"/>
    <x v="1"/>
    <s v="S-101"/>
    <x v="3"/>
    <n v="500"/>
    <n v="335.06"/>
    <d v="2025-05-17T00:00:00"/>
    <d v="2025-06-12T00:00:00"/>
    <n v="53.5"/>
    <n v="167530"/>
    <n v="26750"/>
    <n v="26"/>
    <n v="0.15967289440697188"/>
  </r>
  <r>
    <s v="PROD-1259"/>
    <x v="19"/>
    <x v="0"/>
    <s v="S-102"/>
    <x v="4"/>
    <n v="218"/>
    <n v="336.11"/>
    <d v="2025-06-14T00:00:00"/>
    <d v="2025-06-28T00:00:00"/>
    <n v="79.28"/>
    <n v="73271.98"/>
    <n v="17283.04"/>
    <n v="14"/>
    <n v="0.23587515991788402"/>
  </r>
  <r>
    <s v="PROD-1260"/>
    <x v="18"/>
    <x v="1"/>
    <s v="S-105"/>
    <x v="0"/>
    <n v="16"/>
    <n v="469.47"/>
    <d v="2025-05-30T00:00:00"/>
    <d v="2025-06-02T00:00:00"/>
    <n v="62.97"/>
    <n v="7511.52"/>
    <n v="1007.52"/>
    <n v="3"/>
    <n v="0.13412997635631668"/>
  </r>
  <r>
    <s v="PROD-1261"/>
    <x v="8"/>
    <x v="4"/>
    <s v="S-101"/>
    <x v="3"/>
    <n v="384"/>
    <n v="397.49"/>
    <d v="2025-02-25T00:00:00"/>
    <d v="2025-03-05T00:00:00"/>
    <n v="91.23"/>
    <n v="152636.16"/>
    <n v="35032.32"/>
    <n v="8"/>
    <n v="0.22951520792975924"/>
  </r>
  <r>
    <s v="PROD-1262"/>
    <x v="14"/>
    <x v="4"/>
    <s v="S-104"/>
    <x v="1"/>
    <n v="160"/>
    <n v="314.85000000000002"/>
    <d v="2025-06-17T00:00:00"/>
    <d v="2025-06-26T00:00:00"/>
    <n v="36.25"/>
    <n v="50376"/>
    <n v="5800"/>
    <n v="9"/>
    <n v="0.1151341908845482"/>
  </r>
  <r>
    <s v="PROD-1263"/>
    <x v="6"/>
    <x v="2"/>
    <s v="S-104"/>
    <x v="1"/>
    <n v="386"/>
    <n v="300.27"/>
    <d v="2025-02-26T00:00:00"/>
    <d v="2025-02-28T00:00:00"/>
    <n v="39.31"/>
    <n v="115904.21999999999"/>
    <n v="15173.660000000002"/>
    <n v="2"/>
    <n v="0.13091550937489593"/>
  </r>
  <r>
    <s v="PROD-1264"/>
    <x v="18"/>
    <x v="1"/>
    <s v="S-101"/>
    <x v="3"/>
    <n v="315"/>
    <n v="120.42"/>
    <d v="2025-02-13T00:00:00"/>
    <d v="2025-03-08T00:00:00"/>
    <n v="20.61"/>
    <n v="37932.300000000003"/>
    <n v="6492.15"/>
    <n v="23"/>
    <n v="0.1711509715994021"/>
  </r>
  <r>
    <s v="PROD-1265"/>
    <x v="8"/>
    <x v="4"/>
    <s v="S-103"/>
    <x v="2"/>
    <n v="169"/>
    <n v="274.95999999999998"/>
    <d v="2025-02-08T00:00:00"/>
    <d v="2025-02-24T00:00:00"/>
    <n v="43.91"/>
    <n v="46468.24"/>
    <n v="7420.7899999999991"/>
    <n v="16"/>
    <n v="0.15969595577538551"/>
  </r>
  <r>
    <s v="PROD-1266"/>
    <x v="13"/>
    <x v="2"/>
    <s v="S-102"/>
    <x v="4"/>
    <n v="25"/>
    <n v="386.92"/>
    <d v="2025-06-07T00:00:00"/>
    <d v="2025-06-13T00:00:00"/>
    <n v="106.94"/>
    <n v="9673"/>
    <n v="2673.5"/>
    <n v="6"/>
    <n v="0.2763878838002688"/>
  </r>
  <r>
    <s v="PROD-1267"/>
    <x v="17"/>
    <x v="3"/>
    <s v="S-101"/>
    <x v="3"/>
    <n v="452"/>
    <n v="404.63"/>
    <d v="2025-05-27T00:00:00"/>
    <d v="2025-05-28T00:00:00"/>
    <n v="75.959999999999994"/>
    <n v="182892.76"/>
    <n v="34333.919999999998"/>
    <n v="1"/>
    <n v="0.1877270592887329"/>
  </r>
  <r>
    <s v="PROD-1268"/>
    <x v="11"/>
    <x v="0"/>
    <s v="S-101"/>
    <x v="3"/>
    <n v="56"/>
    <n v="442.26"/>
    <d v="2025-04-12T00:00:00"/>
    <d v="2025-05-11T00:00:00"/>
    <n v="95.29"/>
    <n v="24766.559999999998"/>
    <n v="5336.2400000000007"/>
    <n v="29"/>
    <n v="0.21546149323927102"/>
  </r>
  <r>
    <s v="PROD-1269"/>
    <x v="13"/>
    <x v="2"/>
    <s v="S-103"/>
    <x v="2"/>
    <n v="22"/>
    <n v="420.2"/>
    <d v="2025-02-09T00:00:00"/>
    <d v="2025-02-16T00:00:00"/>
    <n v="53.6"/>
    <n v="9244.4"/>
    <n v="1179.2"/>
    <n v="7"/>
    <n v="0.12755830556877679"/>
  </r>
  <r>
    <s v="PROD-1270"/>
    <x v="16"/>
    <x v="3"/>
    <s v="S-102"/>
    <x v="4"/>
    <n v="92"/>
    <n v="321.37"/>
    <d v="2025-01-31T00:00:00"/>
    <d v="2025-02-17T00:00:00"/>
    <n v="79.87"/>
    <n v="29566.04"/>
    <n v="7348.0400000000009"/>
    <n v="17"/>
    <n v="0.24852973208451318"/>
  </r>
  <r>
    <s v="PROD-1271"/>
    <x v="19"/>
    <x v="0"/>
    <s v="S-105"/>
    <x v="0"/>
    <n v="324"/>
    <n v="442.37"/>
    <d v="2025-02-04T00:00:00"/>
    <d v="2025-02-19T00:00:00"/>
    <n v="45.96"/>
    <n v="143327.88"/>
    <n v="14891.04"/>
    <n v="15"/>
    <n v="0.10389492958383253"/>
  </r>
  <r>
    <s v="PROD-1272"/>
    <x v="1"/>
    <x v="1"/>
    <s v="S-102"/>
    <x v="4"/>
    <n v="341"/>
    <n v="232.08"/>
    <d v="2025-02-25T00:00:00"/>
    <d v="2025-03-06T00:00:00"/>
    <n v="59.44"/>
    <n v="79139.28"/>
    <n v="20269.04"/>
    <n v="9"/>
    <n v="0.25611857980006891"/>
  </r>
  <r>
    <s v="PROD-1273"/>
    <x v="4"/>
    <x v="3"/>
    <s v="S-104"/>
    <x v="1"/>
    <n v="286"/>
    <n v="323.75"/>
    <d v="2025-04-04T00:00:00"/>
    <d v="2025-04-05T00:00:00"/>
    <n v="84.77"/>
    <n v="92592.5"/>
    <n v="24244.219999999998"/>
    <n v="1"/>
    <n v="0.26183783783783782"/>
  </r>
  <r>
    <s v="PROD-1274"/>
    <x v="13"/>
    <x v="2"/>
    <s v="S-101"/>
    <x v="3"/>
    <n v="209"/>
    <n v="89.89"/>
    <d v="2025-02-23T00:00:00"/>
    <d v="2025-03-17T00:00:00"/>
    <n v="13.78"/>
    <n v="18787.009999999998"/>
    <n v="2880.02"/>
    <n v="22"/>
    <n v="0.15329847591500723"/>
  </r>
  <r>
    <s v="PROD-1275"/>
    <x v="17"/>
    <x v="3"/>
    <s v="S-105"/>
    <x v="0"/>
    <n v="104"/>
    <n v="224.82"/>
    <d v="2025-05-06T00:00:00"/>
    <d v="2025-05-18T00:00:00"/>
    <n v="53.34"/>
    <n v="23381.279999999999"/>
    <n v="5547.3600000000006"/>
    <n v="12"/>
    <n v="0.237256471844142"/>
  </r>
  <r>
    <s v="PROD-1276"/>
    <x v="0"/>
    <x v="0"/>
    <s v="S-102"/>
    <x v="4"/>
    <n v="48"/>
    <n v="218.37"/>
    <d v="2025-04-22T00:00:00"/>
    <d v="2025-05-04T00:00:00"/>
    <n v="45.54"/>
    <n v="10481.76"/>
    <n v="2185.92"/>
    <n v="12"/>
    <n v="0.20854512982552548"/>
  </r>
  <r>
    <s v="PROD-1277"/>
    <x v="16"/>
    <x v="3"/>
    <s v="S-105"/>
    <x v="0"/>
    <n v="310"/>
    <n v="371.75"/>
    <d v="2025-06-17T00:00:00"/>
    <d v="2025-06-21T00:00:00"/>
    <n v="86.31"/>
    <n v="115242.5"/>
    <n v="26756.100000000002"/>
    <n v="4"/>
    <n v="0.23217215870880969"/>
  </r>
  <r>
    <s v="PROD-1278"/>
    <x v="15"/>
    <x v="3"/>
    <s v="S-103"/>
    <x v="2"/>
    <n v="423"/>
    <n v="84.84"/>
    <d v="2025-01-23T00:00:00"/>
    <d v="2025-02-15T00:00:00"/>
    <n v="14.23"/>
    <n v="35887.32"/>
    <n v="6019.29"/>
    <n v="23"/>
    <n v="0.16772748703441773"/>
  </r>
  <r>
    <s v="PROD-1279"/>
    <x v="14"/>
    <x v="4"/>
    <s v="S-102"/>
    <x v="4"/>
    <n v="91"/>
    <n v="472.31"/>
    <d v="2025-06-23T00:00:00"/>
    <d v="2025-07-08T00:00:00"/>
    <n v="136.77000000000001"/>
    <n v="42980.21"/>
    <n v="12446.070000000002"/>
    <n v="15"/>
    <n v="0.2895767610255976"/>
  </r>
  <r>
    <s v="PROD-1280"/>
    <x v="18"/>
    <x v="1"/>
    <s v="S-104"/>
    <x v="1"/>
    <n v="487"/>
    <n v="404.4"/>
    <d v="2025-03-07T00:00:00"/>
    <d v="2025-04-03T00:00:00"/>
    <n v="89.18"/>
    <n v="196942.8"/>
    <n v="43430.66"/>
    <n v="27"/>
    <n v="0.22052423343224534"/>
  </r>
  <r>
    <s v="PROD-1281"/>
    <x v="16"/>
    <x v="3"/>
    <s v="S-104"/>
    <x v="1"/>
    <n v="286"/>
    <n v="139.04"/>
    <d v="2025-03-02T00:00:00"/>
    <d v="2025-03-29T00:00:00"/>
    <n v="14.52"/>
    <n v="39765.439999999995"/>
    <n v="4152.72"/>
    <n v="27"/>
    <n v="0.10443037974683544"/>
  </r>
  <r>
    <s v="PROD-1282"/>
    <x v="8"/>
    <x v="4"/>
    <s v="S-104"/>
    <x v="1"/>
    <n v="471"/>
    <n v="224.17"/>
    <d v="2025-03-28T00:00:00"/>
    <d v="2025-04-07T00:00:00"/>
    <n v="66.27"/>
    <n v="105584.06999999999"/>
    <n v="31213.17"/>
    <n v="10"/>
    <n v="0.29562385689432125"/>
  </r>
  <r>
    <s v="PROD-1283"/>
    <x v="0"/>
    <x v="0"/>
    <s v="S-102"/>
    <x v="4"/>
    <n v="174"/>
    <n v="103.76"/>
    <d v="2025-01-01T00:00:00"/>
    <d v="2025-01-11T00:00:00"/>
    <n v="12.42"/>
    <n v="18054.240000000002"/>
    <n v="2161.08"/>
    <n v="10"/>
    <n v="0.11969930609097917"/>
  </r>
  <r>
    <s v="PROD-1284"/>
    <x v="14"/>
    <x v="4"/>
    <s v="S-102"/>
    <x v="4"/>
    <n v="480"/>
    <n v="399.74"/>
    <d v="2025-05-28T00:00:00"/>
    <d v="2025-06-12T00:00:00"/>
    <n v="70.95"/>
    <n v="191875.20000000001"/>
    <n v="34056"/>
    <n v="15"/>
    <n v="0.1774903687396808"/>
  </r>
  <r>
    <s v="PROD-1285"/>
    <x v="6"/>
    <x v="2"/>
    <s v="S-105"/>
    <x v="0"/>
    <n v="253"/>
    <n v="441.02"/>
    <d v="2025-02-16T00:00:00"/>
    <d v="2025-03-10T00:00:00"/>
    <n v="123.45"/>
    <n v="111578.06"/>
    <n v="31232.850000000002"/>
    <n v="22"/>
    <n v="0.27991927803727723"/>
  </r>
  <r>
    <s v="PROD-1286"/>
    <x v="11"/>
    <x v="0"/>
    <s v="S-103"/>
    <x v="2"/>
    <n v="229"/>
    <n v="130.71"/>
    <d v="2025-02-08T00:00:00"/>
    <d v="2025-02-10T00:00:00"/>
    <n v="36.57"/>
    <n v="29932.59"/>
    <n v="8374.5300000000007"/>
    <n v="2"/>
    <n v="0.27977966490704614"/>
  </r>
  <r>
    <s v="PROD-1287"/>
    <x v="0"/>
    <x v="0"/>
    <s v="S-102"/>
    <x v="4"/>
    <n v="213"/>
    <n v="365.74"/>
    <d v="2025-01-13T00:00:00"/>
    <d v="2025-02-12T00:00:00"/>
    <n v="59.84"/>
    <n v="77902.62"/>
    <n v="12745.92"/>
    <n v="30"/>
    <n v="0.16361349592606769"/>
  </r>
  <r>
    <s v="PROD-1288"/>
    <x v="15"/>
    <x v="3"/>
    <s v="S-102"/>
    <x v="4"/>
    <n v="274"/>
    <n v="73.48"/>
    <d v="2025-06-16T00:00:00"/>
    <d v="2025-07-05T00:00:00"/>
    <n v="10.11"/>
    <n v="20133.52"/>
    <n v="2770.14"/>
    <n v="19"/>
    <n v="0.13758845944474685"/>
  </r>
  <r>
    <s v="PROD-1289"/>
    <x v="14"/>
    <x v="4"/>
    <s v="S-101"/>
    <x v="3"/>
    <n v="307"/>
    <n v="89.3"/>
    <d v="2025-05-26T00:00:00"/>
    <d v="2025-06-23T00:00:00"/>
    <n v="18.41"/>
    <n v="27415.1"/>
    <n v="5651.87"/>
    <n v="28"/>
    <n v="0.20615901455767077"/>
  </r>
  <r>
    <s v="PROD-1290"/>
    <x v="18"/>
    <x v="1"/>
    <s v="S-102"/>
    <x v="4"/>
    <n v="148"/>
    <n v="456.68"/>
    <d v="2025-01-05T00:00:00"/>
    <d v="2025-01-27T00:00:00"/>
    <n v="62.16"/>
    <n v="67588.639999999999"/>
    <n v="9199.68"/>
    <n v="22"/>
    <n v="0.13611281422440219"/>
  </r>
  <r>
    <s v="PROD-1291"/>
    <x v="15"/>
    <x v="3"/>
    <s v="S-104"/>
    <x v="1"/>
    <n v="87"/>
    <n v="267.04000000000002"/>
    <d v="2025-04-28T00:00:00"/>
    <d v="2025-05-13T00:00:00"/>
    <n v="60.87"/>
    <n v="23232.480000000003"/>
    <n v="5295.69"/>
    <n v="15"/>
    <n v="0.22794337926902333"/>
  </r>
  <r>
    <s v="PROD-1292"/>
    <x v="9"/>
    <x v="1"/>
    <s v="S-105"/>
    <x v="0"/>
    <n v="18"/>
    <n v="227.71"/>
    <d v="2025-04-11T00:00:00"/>
    <d v="2025-04-16T00:00:00"/>
    <n v="24.39"/>
    <n v="4098.78"/>
    <n v="439.02"/>
    <n v="5"/>
    <n v="0.10710992051293311"/>
  </r>
  <r>
    <s v="PROD-1293"/>
    <x v="1"/>
    <x v="1"/>
    <s v="S-103"/>
    <x v="2"/>
    <n v="223"/>
    <n v="5.6"/>
    <d v="2025-01-01T00:00:00"/>
    <d v="2025-01-25T00:00:00"/>
    <n v="1.59"/>
    <n v="1248.8"/>
    <n v="354.57"/>
    <n v="24"/>
    <n v="0.28392857142857147"/>
  </r>
  <r>
    <s v="PROD-1294"/>
    <x v="5"/>
    <x v="4"/>
    <s v="S-101"/>
    <x v="3"/>
    <n v="391"/>
    <n v="493.85"/>
    <d v="2025-03-18T00:00:00"/>
    <d v="2025-03-26T00:00:00"/>
    <n v="83.54"/>
    <n v="193095.35"/>
    <n v="32664.140000000003"/>
    <n v="8"/>
    <n v="0.16916067631872025"/>
  </r>
  <r>
    <s v="PROD-1295"/>
    <x v="18"/>
    <x v="1"/>
    <s v="S-104"/>
    <x v="1"/>
    <n v="365"/>
    <n v="57.38"/>
    <d v="2025-05-22T00:00:00"/>
    <d v="2025-06-01T00:00:00"/>
    <n v="12.62"/>
    <n v="20943.7"/>
    <n v="4606.2999999999993"/>
    <n v="10"/>
    <n v="0.2199372603694667"/>
  </r>
  <r>
    <s v="PROD-1296"/>
    <x v="10"/>
    <x v="1"/>
    <s v="S-105"/>
    <x v="0"/>
    <n v="303"/>
    <n v="310.73"/>
    <d v="2025-04-21T00:00:00"/>
    <d v="2025-04-23T00:00:00"/>
    <n v="72.44"/>
    <n v="94151.19"/>
    <n v="21949.32"/>
    <n v="2"/>
    <n v="0.23312843948122161"/>
  </r>
  <r>
    <s v="PROD-1297"/>
    <x v="0"/>
    <x v="0"/>
    <s v="S-102"/>
    <x v="4"/>
    <n v="127"/>
    <n v="172.89"/>
    <d v="2025-06-02T00:00:00"/>
    <d v="2025-06-29T00:00:00"/>
    <n v="17.8"/>
    <n v="21957.03"/>
    <n v="2260.6"/>
    <n v="27"/>
    <n v="0.1029556365318989"/>
  </r>
  <r>
    <s v="PROD-1298"/>
    <x v="16"/>
    <x v="3"/>
    <s v="S-101"/>
    <x v="3"/>
    <n v="309"/>
    <n v="369.67"/>
    <d v="2025-06-17T00:00:00"/>
    <d v="2025-06-26T00:00:00"/>
    <n v="108.89"/>
    <n v="114228.03"/>
    <n v="33647.01"/>
    <n v="9"/>
    <n v="0.29456001298455375"/>
  </r>
  <r>
    <s v="PROD-1299"/>
    <x v="7"/>
    <x v="0"/>
    <s v="S-102"/>
    <x v="4"/>
    <n v="463"/>
    <n v="199.05"/>
    <d v="2025-04-30T00:00:00"/>
    <d v="2025-05-15T00:00:00"/>
    <n v="31.86"/>
    <n v="92160.150000000009"/>
    <n v="14751.18"/>
    <n v="15"/>
    <n v="0.160060286360211"/>
  </r>
  <r>
    <s v="PROD-1300"/>
    <x v="9"/>
    <x v="1"/>
    <s v="S-103"/>
    <x v="2"/>
    <n v="429"/>
    <n v="320.5"/>
    <d v="2025-03-12T00:00:00"/>
    <d v="2025-04-02T00:00:00"/>
    <n v="84.4"/>
    <n v="137494.5"/>
    <n v="36207.600000000006"/>
    <n v="21"/>
    <n v="0.26333853354134168"/>
  </r>
  <r>
    <s v="PROD-1301"/>
    <x v="12"/>
    <x v="4"/>
    <s v="S-105"/>
    <x v="0"/>
    <n v="473"/>
    <n v="452.18"/>
    <d v="2025-04-13T00:00:00"/>
    <d v="2025-04-15T00:00:00"/>
    <n v="111.15"/>
    <n v="213881.14"/>
    <n v="52573.950000000004"/>
    <n v="2"/>
    <n v="0.24580919103012075"/>
  </r>
  <r>
    <s v="PROD-1302"/>
    <x v="0"/>
    <x v="0"/>
    <s v="S-102"/>
    <x v="4"/>
    <n v="467"/>
    <n v="272.27999999999997"/>
    <d v="2025-05-21T00:00:00"/>
    <d v="2025-06-03T00:00:00"/>
    <n v="77.22"/>
    <n v="127154.75999999998"/>
    <n v="36061.74"/>
    <n v="13"/>
    <n v="0.2836051123843103"/>
  </r>
  <r>
    <s v="PROD-1303"/>
    <x v="16"/>
    <x v="3"/>
    <s v="S-101"/>
    <x v="3"/>
    <n v="415"/>
    <n v="327.67"/>
    <d v="2025-03-01T00:00:00"/>
    <d v="2025-03-31T00:00:00"/>
    <n v="74.91"/>
    <n v="135983.05000000002"/>
    <n v="31087.649999999998"/>
    <n v="30"/>
    <n v="0.22861415448469494"/>
  </r>
  <r>
    <s v="PROD-1304"/>
    <x v="7"/>
    <x v="0"/>
    <s v="S-102"/>
    <x v="4"/>
    <n v="434"/>
    <n v="284.08999999999997"/>
    <d v="2025-02-25T00:00:00"/>
    <d v="2025-03-09T00:00:00"/>
    <n v="55.52"/>
    <n v="123295.05999999998"/>
    <n v="24095.68"/>
    <n v="12"/>
    <n v="0.19543102537928125"/>
  </r>
  <r>
    <s v="PROD-1305"/>
    <x v="8"/>
    <x v="4"/>
    <s v="S-103"/>
    <x v="2"/>
    <n v="369"/>
    <n v="225.06"/>
    <d v="2025-02-16T00:00:00"/>
    <d v="2025-02-22T00:00:00"/>
    <n v="55.2"/>
    <n v="83047.14"/>
    <n v="20368.8"/>
    <n v="6"/>
    <n v="0.24526792855238605"/>
  </r>
  <r>
    <s v="PROD-1306"/>
    <x v="19"/>
    <x v="0"/>
    <s v="S-103"/>
    <x v="2"/>
    <n v="470"/>
    <n v="71.53"/>
    <d v="2025-06-09T00:00:00"/>
    <d v="2025-07-05T00:00:00"/>
    <n v="20.52"/>
    <n v="33619.1"/>
    <n v="9644.4"/>
    <n v="26"/>
    <n v="0.28687264084999298"/>
  </r>
  <r>
    <s v="PROD-1307"/>
    <x v="15"/>
    <x v="3"/>
    <s v="S-105"/>
    <x v="0"/>
    <n v="12"/>
    <n v="110.98"/>
    <d v="2025-02-13T00:00:00"/>
    <d v="2025-03-11T00:00:00"/>
    <n v="26.03"/>
    <n v="1331.76"/>
    <n v="312.36"/>
    <n v="26"/>
    <n v="0.23454676518291584"/>
  </r>
  <r>
    <s v="PROD-1308"/>
    <x v="16"/>
    <x v="3"/>
    <s v="S-105"/>
    <x v="0"/>
    <n v="299"/>
    <n v="372.47"/>
    <d v="2025-01-25T00:00:00"/>
    <d v="2025-02-09T00:00:00"/>
    <n v="65.86"/>
    <n v="111368.53000000001"/>
    <n v="19692.14"/>
    <n v="15"/>
    <n v="0.17681960963299057"/>
  </r>
  <r>
    <s v="PROD-1309"/>
    <x v="6"/>
    <x v="2"/>
    <s v="S-104"/>
    <x v="1"/>
    <n v="75"/>
    <n v="57.93"/>
    <d v="2025-05-08T00:00:00"/>
    <d v="2025-05-23T00:00:00"/>
    <n v="8.11"/>
    <n v="4344.75"/>
    <n v="608.25"/>
    <n v="15"/>
    <n v="0.13999654755739685"/>
  </r>
  <r>
    <s v="PROD-1310"/>
    <x v="14"/>
    <x v="4"/>
    <s v="S-103"/>
    <x v="2"/>
    <n v="199"/>
    <n v="57.4"/>
    <d v="2025-05-14T00:00:00"/>
    <d v="2025-06-06T00:00:00"/>
    <n v="13.18"/>
    <n v="11422.6"/>
    <n v="2622.82"/>
    <n v="23"/>
    <n v="0.22961672473867595"/>
  </r>
  <r>
    <s v="PROD-1311"/>
    <x v="2"/>
    <x v="2"/>
    <s v="S-102"/>
    <x v="4"/>
    <n v="107"/>
    <n v="98.81"/>
    <d v="2025-06-02T00:00:00"/>
    <d v="2025-06-26T00:00:00"/>
    <n v="12.26"/>
    <n v="10572.67"/>
    <n v="1311.82"/>
    <n v="24"/>
    <n v="0.12407651047464831"/>
  </r>
  <r>
    <s v="PROD-1312"/>
    <x v="8"/>
    <x v="4"/>
    <s v="S-104"/>
    <x v="1"/>
    <n v="182"/>
    <n v="208.52"/>
    <d v="2025-04-13T00:00:00"/>
    <d v="2025-04-24T00:00:00"/>
    <n v="53.67"/>
    <n v="37950.639999999999"/>
    <n v="9767.94"/>
    <n v="11"/>
    <n v="0.25738538269710337"/>
  </r>
  <r>
    <s v="PROD-1313"/>
    <x v="17"/>
    <x v="3"/>
    <s v="S-102"/>
    <x v="4"/>
    <n v="382"/>
    <n v="307.14999999999998"/>
    <d v="2025-06-08T00:00:00"/>
    <d v="2025-06-12T00:00:00"/>
    <n v="39.130000000000003"/>
    <n v="117331.29999999999"/>
    <n v="14947.660000000002"/>
    <n v="4"/>
    <n v="0.12739703727820284"/>
  </r>
  <r>
    <s v="PROD-1314"/>
    <x v="4"/>
    <x v="3"/>
    <s v="S-102"/>
    <x v="4"/>
    <n v="275"/>
    <n v="402.51"/>
    <d v="2025-04-25T00:00:00"/>
    <d v="2025-05-11T00:00:00"/>
    <n v="86.18"/>
    <n v="110690.25"/>
    <n v="23699.500000000004"/>
    <n v="16"/>
    <n v="0.21410648182653849"/>
  </r>
  <r>
    <s v="PROD-1315"/>
    <x v="11"/>
    <x v="0"/>
    <s v="S-101"/>
    <x v="3"/>
    <n v="183"/>
    <n v="31.1"/>
    <d v="2025-01-29T00:00:00"/>
    <d v="2025-02-05T00:00:00"/>
    <n v="5.16"/>
    <n v="5691.3"/>
    <n v="944.28"/>
    <n v="7"/>
    <n v="0.16591639871382635"/>
  </r>
  <r>
    <s v="PROD-1316"/>
    <x v="12"/>
    <x v="4"/>
    <s v="S-101"/>
    <x v="3"/>
    <n v="108"/>
    <n v="387.03"/>
    <d v="2025-03-11T00:00:00"/>
    <d v="2025-04-07T00:00:00"/>
    <n v="78.430000000000007"/>
    <n v="41799.24"/>
    <n v="8470.44"/>
    <n v="27"/>
    <n v="0.20264578973206215"/>
  </r>
  <r>
    <s v="PROD-1317"/>
    <x v="0"/>
    <x v="0"/>
    <s v="S-102"/>
    <x v="4"/>
    <n v="361"/>
    <n v="118.78"/>
    <d v="2025-01-09T00:00:00"/>
    <d v="2025-01-14T00:00:00"/>
    <n v="15.74"/>
    <n v="42879.58"/>
    <n v="5682.14"/>
    <n v="5"/>
    <n v="0.13251389122747936"/>
  </r>
  <r>
    <s v="PROD-1318"/>
    <x v="18"/>
    <x v="1"/>
    <s v="S-101"/>
    <x v="3"/>
    <n v="395"/>
    <n v="40.64"/>
    <d v="2025-04-02T00:00:00"/>
    <d v="2025-04-13T00:00:00"/>
    <n v="6.45"/>
    <n v="16052.800000000001"/>
    <n v="2547.75"/>
    <n v="11"/>
    <n v="0.15871062992125984"/>
  </r>
  <r>
    <s v="PROD-1319"/>
    <x v="19"/>
    <x v="0"/>
    <s v="S-101"/>
    <x v="3"/>
    <n v="117"/>
    <n v="228.56"/>
    <d v="2025-01-29T00:00:00"/>
    <d v="2025-02-26T00:00:00"/>
    <n v="28.43"/>
    <n v="26741.52"/>
    <n v="3326.31"/>
    <n v="28"/>
    <n v="0.12438746937346867"/>
  </r>
  <r>
    <s v="PROD-1320"/>
    <x v="12"/>
    <x v="4"/>
    <s v="S-102"/>
    <x v="4"/>
    <n v="413"/>
    <n v="223.16"/>
    <d v="2025-04-17T00:00:00"/>
    <d v="2025-04-29T00:00:00"/>
    <n v="42.36"/>
    <n v="92165.08"/>
    <n v="17494.68"/>
    <n v="12"/>
    <n v="0.18981896397203801"/>
  </r>
  <r>
    <s v="PROD-1321"/>
    <x v="6"/>
    <x v="2"/>
    <s v="S-103"/>
    <x v="2"/>
    <n v="249"/>
    <n v="451.82"/>
    <d v="2025-04-16T00:00:00"/>
    <d v="2025-05-15T00:00:00"/>
    <n v="94.01"/>
    <n v="112503.18"/>
    <n v="23408.49"/>
    <n v="29"/>
    <n v="0.20806958523305744"/>
  </r>
  <r>
    <s v="PROD-1322"/>
    <x v="3"/>
    <x v="2"/>
    <s v="S-105"/>
    <x v="0"/>
    <n v="179"/>
    <n v="357.64"/>
    <d v="2025-06-16T00:00:00"/>
    <d v="2025-06-19T00:00:00"/>
    <n v="45.07"/>
    <n v="64017.56"/>
    <n v="8067.53"/>
    <n v="3"/>
    <n v="0.12602057935353989"/>
  </r>
  <r>
    <s v="PROD-1323"/>
    <x v="2"/>
    <x v="2"/>
    <s v="S-101"/>
    <x v="3"/>
    <n v="39"/>
    <n v="21.94"/>
    <d v="2025-04-29T00:00:00"/>
    <d v="2025-05-04T00:00:00"/>
    <n v="4.58"/>
    <n v="855.66000000000008"/>
    <n v="178.62"/>
    <n v="5"/>
    <n v="0.20875113947128532"/>
  </r>
  <r>
    <s v="PROD-1324"/>
    <x v="5"/>
    <x v="4"/>
    <s v="S-102"/>
    <x v="4"/>
    <n v="67"/>
    <n v="297.14"/>
    <d v="2025-05-10T00:00:00"/>
    <d v="2025-05-12T00:00:00"/>
    <n v="81.760000000000005"/>
    <n v="19908.379999999997"/>
    <n v="5477.92"/>
    <n v="2"/>
    <n v="0.2751564918893451"/>
  </r>
  <r>
    <s v="PROD-1325"/>
    <x v="4"/>
    <x v="3"/>
    <s v="S-102"/>
    <x v="4"/>
    <n v="278"/>
    <n v="107.71"/>
    <d v="2025-01-28T00:00:00"/>
    <d v="2025-02-14T00:00:00"/>
    <n v="17.55"/>
    <n v="29943.379999999997"/>
    <n v="4878.9000000000005"/>
    <n v="17"/>
    <n v="0.16293751740785445"/>
  </r>
  <r>
    <s v="PROD-1326"/>
    <x v="4"/>
    <x v="3"/>
    <s v="S-103"/>
    <x v="2"/>
    <n v="370"/>
    <n v="471.11"/>
    <d v="2025-01-08T00:00:00"/>
    <d v="2025-01-16T00:00:00"/>
    <n v="93.11"/>
    <n v="174310.7"/>
    <n v="34450.699999999997"/>
    <n v="8"/>
    <n v="0.19763961707456856"/>
  </r>
  <r>
    <s v="PROD-1327"/>
    <x v="10"/>
    <x v="1"/>
    <s v="S-104"/>
    <x v="1"/>
    <n v="42"/>
    <n v="112.74"/>
    <d v="2025-04-20T00:00:00"/>
    <d v="2025-05-14T00:00:00"/>
    <n v="16.57"/>
    <n v="4735.08"/>
    <n v="695.94"/>
    <n v="24"/>
    <n v="0.14697534149370234"/>
  </r>
  <r>
    <s v="PROD-1328"/>
    <x v="17"/>
    <x v="3"/>
    <s v="S-101"/>
    <x v="3"/>
    <n v="112"/>
    <n v="163.06"/>
    <d v="2025-03-08T00:00:00"/>
    <d v="2025-03-31T00:00:00"/>
    <n v="28.49"/>
    <n v="18262.72"/>
    <n v="3190.8799999999997"/>
    <n v="23"/>
    <n v="0.1747209616092236"/>
  </r>
  <r>
    <s v="PROD-1329"/>
    <x v="16"/>
    <x v="3"/>
    <s v="S-103"/>
    <x v="2"/>
    <n v="32"/>
    <n v="71.41"/>
    <d v="2025-05-16T00:00:00"/>
    <d v="2025-06-13T00:00:00"/>
    <n v="12.33"/>
    <n v="2285.12"/>
    <n v="394.56"/>
    <n v="28"/>
    <n v="0.17266489287214676"/>
  </r>
  <r>
    <s v="PROD-1330"/>
    <x v="5"/>
    <x v="4"/>
    <s v="S-101"/>
    <x v="3"/>
    <n v="391"/>
    <n v="316.67"/>
    <d v="2025-02-22T00:00:00"/>
    <d v="2025-03-18T00:00:00"/>
    <n v="33.08"/>
    <n v="123817.97"/>
    <n v="12934.279999999999"/>
    <n v="24"/>
    <n v="0.10446205829412321"/>
  </r>
  <r>
    <s v="PROD-1331"/>
    <x v="11"/>
    <x v="0"/>
    <s v="S-103"/>
    <x v="2"/>
    <n v="148"/>
    <n v="79.03"/>
    <d v="2025-06-10T00:00:00"/>
    <d v="2025-06-26T00:00:00"/>
    <n v="13.76"/>
    <n v="11696.44"/>
    <n v="2036.48"/>
    <n v="16"/>
    <n v="0.17411109705175248"/>
  </r>
  <r>
    <s v="PROD-1332"/>
    <x v="17"/>
    <x v="3"/>
    <s v="S-105"/>
    <x v="0"/>
    <n v="80"/>
    <n v="259.41000000000003"/>
    <d v="2025-05-29T00:00:00"/>
    <d v="2025-06-24T00:00:00"/>
    <n v="37.909999999999997"/>
    <n v="20752.800000000003"/>
    <n v="3032.7999999999997"/>
    <n v="26"/>
    <n v="0.1461393161404726"/>
  </r>
  <r>
    <s v="PROD-1333"/>
    <x v="7"/>
    <x v="0"/>
    <s v="S-104"/>
    <x v="1"/>
    <n v="415"/>
    <n v="388.53"/>
    <d v="2025-04-22T00:00:00"/>
    <d v="2025-05-21T00:00:00"/>
    <n v="54.89"/>
    <n v="161239.94999999998"/>
    <n v="22779.35"/>
    <n v="29"/>
    <n v="0.14127609193627264"/>
  </r>
  <r>
    <s v="PROD-1334"/>
    <x v="16"/>
    <x v="3"/>
    <s v="S-101"/>
    <x v="3"/>
    <n v="238"/>
    <n v="360.49"/>
    <d v="2025-04-06T00:00:00"/>
    <d v="2025-04-12T00:00:00"/>
    <n v="91.15"/>
    <n v="85796.62"/>
    <n v="21693.7"/>
    <n v="6"/>
    <n v="0.25285028710921248"/>
  </r>
  <r>
    <s v="PROD-1335"/>
    <x v="4"/>
    <x v="3"/>
    <s v="S-102"/>
    <x v="4"/>
    <n v="54"/>
    <n v="37.25"/>
    <d v="2025-06-11T00:00:00"/>
    <d v="2025-06-17T00:00:00"/>
    <n v="9.48"/>
    <n v="2011.5"/>
    <n v="511.92"/>
    <n v="6"/>
    <n v="0.254496644295302"/>
  </r>
  <r>
    <s v="PROD-1336"/>
    <x v="1"/>
    <x v="1"/>
    <s v="S-101"/>
    <x v="3"/>
    <n v="169"/>
    <n v="144.4"/>
    <d v="2025-02-02T00:00:00"/>
    <d v="2025-02-15T00:00:00"/>
    <n v="32.229999999999997"/>
    <n v="24403.600000000002"/>
    <n v="5446.87"/>
    <n v="13"/>
    <n v="0.22319944598337946"/>
  </r>
  <r>
    <s v="PROD-1337"/>
    <x v="3"/>
    <x v="2"/>
    <s v="S-104"/>
    <x v="1"/>
    <n v="280"/>
    <n v="326.27"/>
    <d v="2025-04-03T00:00:00"/>
    <d v="2025-04-24T00:00:00"/>
    <n v="67.989999999999995"/>
    <n v="91355.599999999991"/>
    <n v="19037.199999999997"/>
    <n v="21"/>
    <n v="0.20838569283109082"/>
  </r>
  <r>
    <s v="PROD-1338"/>
    <x v="10"/>
    <x v="1"/>
    <s v="S-102"/>
    <x v="4"/>
    <n v="315"/>
    <n v="84.55"/>
    <d v="2025-02-05T00:00:00"/>
    <d v="2025-02-16T00:00:00"/>
    <n v="17.690000000000001"/>
    <n v="26633.25"/>
    <n v="5572.35"/>
    <n v="11"/>
    <n v="0.20922531046717921"/>
  </r>
  <r>
    <s v="PROD-1339"/>
    <x v="7"/>
    <x v="0"/>
    <s v="S-105"/>
    <x v="0"/>
    <n v="223"/>
    <n v="478.7"/>
    <d v="2025-04-30T00:00:00"/>
    <d v="2025-05-19T00:00:00"/>
    <n v="140.21"/>
    <n v="106750.09999999999"/>
    <n v="31266.83"/>
    <n v="19"/>
    <n v="0.29289743054104872"/>
  </r>
  <r>
    <s v="PROD-1340"/>
    <x v="0"/>
    <x v="0"/>
    <s v="S-105"/>
    <x v="0"/>
    <n v="84"/>
    <n v="212.23"/>
    <d v="2025-04-23T00:00:00"/>
    <d v="2025-04-30T00:00:00"/>
    <n v="21.31"/>
    <n v="17827.32"/>
    <n v="1790.04"/>
    <n v="7"/>
    <n v="0.10040993262027045"/>
  </r>
  <r>
    <s v="PROD-1341"/>
    <x v="13"/>
    <x v="2"/>
    <s v="S-104"/>
    <x v="1"/>
    <n v="447"/>
    <n v="474.45"/>
    <d v="2025-06-11T00:00:00"/>
    <d v="2025-06-14T00:00:00"/>
    <n v="111.51"/>
    <n v="212079.15"/>
    <n v="49844.97"/>
    <n v="3"/>
    <n v="0.23503003477711035"/>
  </r>
  <r>
    <s v="PROD-1342"/>
    <x v="0"/>
    <x v="0"/>
    <s v="S-103"/>
    <x v="2"/>
    <n v="284"/>
    <n v="352.55"/>
    <d v="2025-06-10T00:00:00"/>
    <d v="2025-06-19T00:00:00"/>
    <n v="55.36"/>
    <n v="100124.2"/>
    <n v="15722.24"/>
    <n v="9"/>
    <n v="0.15702737200397107"/>
  </r>
  <r>
    <s v="PROD-1343"/>
    <x v="19"/>
    <x v="0"/>
    <s v="S-101"/>
    <x v="3"/>
    <n v="33"/>
    <n v="417.47"/>
    <d v="2025-03-26T00:00:00"/>
    <d v="2025-04-20T00:00:00"/>
    <n v="46.5"/>
    <n v="13776.51"/>
    <n v="1534.5"/>
    <n v="25"/>
    <n v="0.1113852492394663"/>
  </r>
  <r>
    <s v="PROD-1344"/>
    <x v="6"/>
    <x v="2"/>
    <s v="S-104"/>
    <x v="1"/>
    <n v="109"/>
    <n v="119.93"/>
    <d v="2025-02-06T00:00:00"/>
    <d v="2025-02-14T00:00:00"/>
    <n v="14.88"/>
    <n v="13072.37"/>
    <n v="1621.92"/>
    <n v="8"/>
    <n v="0.12407237555240556"/>
  </r>
  <r>
    <s v="PROD-1345"/>
    <x v="4"/>
    <x v="3"/>
    <s v="S-105"/>
    <x v="0"/>
    <n v="292"/>
    <n v="337.85"/>
    <d v="2025-02-23T00:00:00"/>
    <d v="2025-03-17T00:00:00"/>
    <n v="65.23"/>
    <n v="98652.200000000012"/>
    <n v="19047.16"/>
    <n v="22"/>
    <n v="0.19307384934142371"/>
  </r>
  <r>
    <s v="PROD-1346"/>
    <x v="15"/>
    <x v="3"/>
    <s v="S-103"/>
    <x v="2"/>
    <n v="320"/>
    <n v="495.05"/>
    <d v="2025-03-14T00:00:00"/>
    <d v="2025-03-28T00:00:00"/>
    <n v="50.32"/>
    <n v="158416"/>
    <n v="16102.4"/>
    <n v="14"/>
    <n v="0.10164629835370165"/>
  </r>
  <r>
    <s v="PROD-1347"/>
    <x v="2"/>
    <x v="2"/>
    <s v="S-103"/>
    <x v="2"/>
    <n v="139"/>
    <n v="251.48"/>
    <d v="2025-01-29T00:00:00"/>
    <d v="2025-02-02T00:00:00"/>
    <n v="29.87"/>
    <n v="34955.72"/>
    <n v="4151.93"/>
    <n v="4"/>
    <n v="0.11877684110068396"/>
  </r>
  <r>
    <s v="PROD-1348"/>
    <x v="1"/>
    <x v="1"/>
    <s v="S-102"/>
    <x v="4"/>
    <n v="93"/>
    <n v="211.55"/>
    <d v="2025-06-27T00:00:00"/>
    <d v="2025-07-08T00:00:00"/>
    <n v="46.74"/>
    <n v="19674.150000000001"/>
    <n v="4346.8200000000006"/>
    <n v="11"/>
    <n v="0.22094067596312927"/>
  </r>
  <r>
    <s v="PROD-1349"/>
    <x v="13"/>
    <x v="2"/>
    <s v="S-101"/>
    <x v="3"/>
    <n v="314"/>
    <n v="106.58"/>
    <d v="2025-06-20T00:00:00"/>
    <d v="2025-07-01T00:00:00"/>
    <n v="10.93"/>
    <n v="33466.120000000003"/>
    <n v="3432.02"/>
    <n v="11"/>
    <n v="0.10255207355976731"/>
  </r>
  <r>
    <s v="PROD-1350"/>
    <x v="13"/>
    <x v="2"/>
    <s v="S-103"/>
    <x v="2"/>
    <n v="213"/>
    <n v="216.99"/>
    <d v="2025-05-19T00:00:00"/>
    <d v="2025-06-01T00:00:00"/>
    <n v="55.76"/>
    <n v="46218.87"/>
    <n v="11876.88"/>
    <n v="13"/>
    <n v="0.25697036729803213"/>
  </r>
  <r>
    <s v="PROD-1351"/>
    <x v="13"/>
    <x v="2"/>
    <s v="S-101"/>
    <x v="3"/>
    <n v="146"/>
    <n v="406.2"/>
    <d v="2025-01-24T00:00:00"/>
    <d v="2025-02-08T00:00:00"/>
    <n v="50.85"/>
    <n v="59305.2"/>
    <n v="7424.1"/>
    <n v="15"/>
    <n v="0.12518463810930577"/>
  </r>
  <r>
    <s v="PROD-1352"/>
    <x v="9"/>
    <x v="1"/>
    <s v="S-102"/>
    <x v="4"/>
    <n v="376"/>
    <n v="261.77999999999997"/>
    <d v="2025-02-15T00:00:00"/>
    <d v="2025-03-09T00:00:00"/>
    <n v="47.33"/>
    <n v="98429.279999999984"/>
    <n v="17796.079999999998"/>
    <n v="22"/>
    <n v="0.18080067232026895"/>
  </r>
  <r>
    <s v="PROD-1353"/>
    <x v="17"/>
    <x v="3"/>
    <s v="S-105"/>
    <x v="0"/>
    <n v="291"/>
    <n v="444.52"/>
    <d v="2025-01-03T00:00:00"/>
    <d v="2025-01-22T00:00:00"/>
    <n v="63.3"/>
    <n v="129355.31999999999"/>
    <n v="18420.3"/>
    <n v="19"/>
    <n v="0.14240079186538288"/>
  </r>
  <r>
    <s v="PROD-1354"/>
    <x v="13"/>
    <x v="2"/>
    <s v="S-101"/>
    <x v="3"/>
    <n v="328"/>
    <n v="136.76"/>
    <d v="2025-01-10T00:00:00"/>
    <d v="2025-01-23T00:00:00"/>
    <n v="36.08"/>
    <n v="44857.279999999999"/>
    <n v="11834.24"/>
    <n v="13"/>
    <n v="0.26381983035975431"/>
  </r>
  <r>
    <s v="PROD-1355"/>
    <x v="17"/>
    <x v="3"/>
    <s v="S-101"/>
    <x v="3"/>
    <n v="391"/>
    <n v="232.02"/>
    <d v="2025-03-03T00:00:00"/>
    <d v="2025-03-21T00:00:00"/>
    <n v="53.97"/>
    <n v="90719.82"/>
    <n v="21102.27"/>
    <n v="18"/>
    <n v="0.23260925782260147"/>
  </r>
  <r>
    <s v="PROD-1356"/>
    <x v="1"/>
    <x v="1"/>
    <s v="S-102"/>
    <x v="4"/>
    <n v="27"/>
    <n v="483.96"/>
    <d v="2025-03-25T00:00:00"/>
    <d v="2025-04-07T00:00:00"/>
    <n v="142.69999999999999"/>
    <n v="13066.92"/>
    <n v="3852.8999999999996"/>
    <n v="13"/>
    <n v="0.29485907926274896"/>
  </r>
  <r>
    <s v="PROD-1357"/>
    <x v="6"/>
    <x v="2"/>
    <s v="S-101"/>
    <x v="3"/>
    <n v="153"/>
    <n v="196.08"/>
    <d v="2025-01-02T00:00:00"/>
    <d v="2025-01-11T00:00:00"/>
    <n v="34.6"/>
    <n v="30000.240000000002"/>
    <n v="5293.8"/>
    <n v="9"/>
    <n v="0.17645858833129335"/>
  </r>
  <r>
    <s v="PROD-1358"/>
    <x v="11"/>
    <x v="0"/>
    <s v="S-102"/>
    <x v="4"/>
    <n v="374"/>
    <n v="86.72"/>
    <d v="2025-06-13T00:00:00"/>
    <d v="2025-07-12T00:00:00"/>
    <n v="18.13"/>
    <n v="32433.279999999999"/>
    <n v="6780.62"/>
    <n v="29"/>
    <n v="0.20906365313653136"/>
  </r>
  <r>
    <s v="PROD-1359"/>
    <x v="3"/>
    <x v="2"/>
    <s v="S-102"/>
    <x v="4"/>
    <n v="246"/>
    <n v="176.95"/>
    <d v="2025-02-27T00:00:00"/>
    <d v="2025-03-05T00:00:00"/>
    <n v="30.7"/>
    <n v="43529.7"/>
    <n v="7552.2"/>
    <n v="6"/>
    <n v="0.17349533766600736"/>
  </r>
  <r>
    <s v="PROD-1360"/>
    <x v="5"/>
    <x v="4"/>
    <s v="S-105"/>
    <x v="0"/>
    <n v="297"/>
    <n v="115.09"/>
    <d v="2025-04-29T00:00:00"/>
    <d v="2025-05-11T00:00:00"/>
    <n v="30.37"/>
    <n v="34181.730000000003"/>
    <n v="9019.89"/>
    <n v="12"/>
    <n v="0.26388044139369188"/>
  </r>
  <r>
    <s v="PROD-1361"/>
    <x v="1"/>
    <x v="1"/>
    <s v="S-102"/>
    <x v="4"/>
    <n v="374"/>
    <n v="451.39"/>
    <d v="2025-06-02T00:00:00"/>
    <d v="2025-06-26T00:00:00"/>
    <n v="93.75"/>
    <n v="168819.86"/>
    <n v="35062.5"/>
    <n v="24"/>
    <n v="0.20769179645096258"/>
  </r>
  <r>
    <s v="PROD-1362"/>
    <x v="8"/>
    <x v="4"/>
    <s v="S-104"/>
    <x v="1"/>
    <n v="119"/>
    <n v="261.58999999999997"/>
    <d v="2025-05-12T00:00:00"/>
    <d v="2025-06-06T00:00:00"/>
    <n v="62.08"/>
    <n v="31129.209999999995"/>
    <n v="7387.5199999999995"/>
    <n v="25"/>
    <n v="0.23731794028823733"/>
  </r>
  <r>
    <s v="PROD-1363"/>
    <x v="6"/>
    <x v="2"/>
    <s v="S-103"/>
    <x v="2"/>
    <n v="173"/>
    <n v="444.83"/>
    <d v="2025-05-08T00:00:00"/>
    <d v="2025-05-16T00:00:00"/>
    <n v="51.96"/>
    <n v="76955.59"/>
    <n v="8989.08"/>
    <n v="8"/>
    <n v="0.11680866848009352"/>
  </r>
  <r>
    <s v="PROD-1364"/>
    <x v="18"/>
    <x v="1"/>
    <s v="S-103"/>
    <x v="2"/>
    <n v="467"/>
    <n v="195.43"/>
    <d v="2025-05-20T00:00:00"/>
    <d v="2025-06-18T00:00:00"/>
    <n v="32.67"/>
    <n v="91265.81"/>
    <n v="15256.890000000001"/>
    <n v="29"/>
    <n v="0.16716983062989305"/>
  </r>
  <r>
    <s v="PROD-1365"/>
    <x v="1"/>
    <x v="1"/>
    <s v="S-103"/>
    <x v="2"/>
    <n v="126"/>
    <n v="48.07"/>
    <d v="2025-01-11T00:00:00"/>
    <d v="2025-02-04T00:00:00"/>
    <n v="10.38"/>
    <n v="6056.82"/>
    <n v="1307.8800000000001"/>
    <n v="24"/>
    <n v="0.21593509465363014"/>
  </r>
  <r>
    <s v="PROD-1366"/>
    <x v="12"/>
    <x v="4"/>
    <s v="S-101"/>
    <x v="3"/>
    <n v="83"/>
    <n v="309.14999999999998"/>
    <d v="2025-01-14T00:00:00"/>
    <d v="2025-01-16T00:00:00"/>
    <n v="86.92"/>
    <n v="25659.449999999997"/>
    <n v="7214.3600000000006"/>
    <n v="2"/>
    <n v="0.28115801390910566"/>
  </r>
  <r>
    <s v="PROD-1367"/>
    <x v="1"/>
    <x v="1"/>
    <s v="S-105"/>
    <x v="0"/>
    <n v="290"/>
    <n v="317.35000000000002"/>
    <d v="2025-04-06T00:00:00"/>
    <d v="2025-04-12T00:00:00"/>
    <n v="49.23"/>
    <n v="92031.5"/>
    <n v="14276.699999999999"/>
    <n v="6"/>
    <n v="0.15512840712147469"/>
  </r>
  <r>
    <s v="PROD-1368"/>
    <x v="8"/>
    <x v="4"/>
    <s v="S-102"/>
    <x v="4"/>
    <n v="418"/>
    <n v="454.87"/>
    <d v="2025-03-20T00:00:00"/>
    <d v="2025-03-21T00:00:00"/>
    <n v="132.26"/>
    <n v="190135.66"/>
    <n v="55284.679999999993"/>
    <n v="1"/>
    <n v="0.29076439422252509"/>
  </r>
  <r>
    <s v="PROD-1369"/>
    <x v="10"/>
    <x v="1"/>
    <s v="S-104"/>
    <x v="1"/>
    <n v="408"/>
    <n v="49.98"/>
    <d v="2025-03-19T00:00:00"/>
    <d v="2025-03-31T00:00:00"/>
    <n v="7.56"/>
    <n v="20391.84"/>
    <n v="3084.48"/>
    <n v="12"/>
    <n v="0.15126050420168066"/>
  </r>
  <r>
    <s v="PROD-1370"/>
    <x v="13"/>
    <x v="2"/>
    <s v="S-102"/>
    <x v="4"/>
    <n v="450"/>
    <n v="468.98"/>
    <d v="2025-03-13T00:00:00"/>
    <d v="2025-04-04T00:00:00"/>
    <n v="101.34"/>
    <n v="211041"/>
    <n v="45603"/>
    <n v="22"/>
    <n v="0.21608597381551453"/>
  </r>
  <r>
    <s v="PROD-1371"/>
    <x v="9"/>
    <x v="1"/>
    <s v="S-105"/>
    <x v="0"/>
    <n v="321"/>
    <n v="46.68"/>
    <d v="2025-02-14T00:00:00"/>
    <d v="2025-02-19T00:00:00"/>
    <n v="6.23"/>
    <n v="14984.28"/>
    <n v="1999.8300000000002"/>
    <n v="5"/>
    <n v="0.13346186803770352"/>
  </r>
  <r>
    <s v="PROD-1372"/>
    <x v="13"/>
    <x v="2"/>
    <s v="S-101"/>
    <x v="3"/>
    <n v="23"/>
    <n v="404.88"/>
    <d v="2025-06-29T00:00:00"/>
    <d v="2025-07-04T00:00:00"/>
    <n v="70.650000000000006"/>
    <n v="9312.24"/>
    <n v="1624.95"/>
    <n v="5"/>
    <n v="0.17449614700652047"/>
  </r>
  <r>
    <s v="PROD-1373"/>
    <x v="0"/>
    <x v="0"/>
    <s v="S-102"/>
    <x v="4"/>
    <n v="342"/>
    <n v="65.52"/>
    <d v="2025-02-11T00:00:00"/>
    <d v="2025-02-17T00:00:00"/>
    <n v="8.84"/>
    <n v="22407.84"/>
    <n v="3023.2799999999997"/>
    <n v="6"/>
    <n v="0.13492063492063491"/>
  </r>
  <r>
    <s v="PROD-1374"/>
    <x v="13"/>
    <x v="2"/>
    <s v="S-101"/>
    <x v="3"/>
    <n v="121"/>
    <n v="171.08"/>
    <d v="2025-03-22T00:00:00"/>
    <d v="2025-03-25T00:00:00"/>
    <n v="24.47"/>
    <n v="20700.68"/>
    <n v="2960.87"/>
    <n v="3"/>
    <n v="0.14303249941547813"/>
  </r>
  <r>
    <s v="PROD-1375"/>
    <x v="10"/>
    <x v="1"/>
    <s v="S-105"/>
    <x v="0"/>
    <n v="341"/>
    <n v="150.05000000000001"/>
    <d v="2025-03-08T00:00:00"/>
    <d v="2025-03-31T00:00:00"/>
    <n v="15.31"/>
    <n v="51167.05"/>
    <n v="5220.71"/>
    <n v="23"/>
    <n v="0.10203265578140619"/>
  </r>
  <r>
    <s v="PROD-1376"/>
    <x v="4"/>
    <x v="3"/>
    <s v="S-105"/>
    <x v="0"/>
    <n v="371"/>
    <n v="465.63"/>
    <d v="2025-05-27T00:00:00"/>
    <d v="2025-06-12T00:00:00"/>
    <n v="52.09"/>
    <n v="172748.73"/>
    <n v="19325.390000000003"/>
    <n v="16"/>
    <n v="0.11186993965165476"/>
  </r>
  <r>
    <s v="PROD-1377"/>
    <x v="6"/>
    <x v="2"/>
    <s v="S-104"/>
    <x v="1"/>
    <n v="336"/>
    <n v="228.71"/>
    <d v="2025-02-22T00:00:00"/>
    <d v="2025-02-25T00:00:00"/>
    <n v="55.85"/>
    <n v="76846.559999999998"/>
    <n v="18765.600000000002"/>
    <n v="3"/>
    <n v="0.24419570635302348"/>
  </r>
  <r>
    <s v="PROD-1378"/>
    <x v="2"/>
    <x v="2"/>
    <s v="S-103"/>
    <x v="2"/>
    <n v="353"/>
    <n v="172.33"/>
    <d v="2025-05-28T00:00:00"/>
    <d v="2025-06-20T00:00:00"/>
    <n v="21.45"/>
    <n v="60832.490000000005"/>
    <n v="7571.8499999999995"/>
    <n v="23"/>
    <n v="0.12447049265943247"/>
  </r>
  <r>
    <s v="PROD-1379"/>
    <x v="19"/>
    <x v="0"/>
    <s v="S-101"/>
    <x v="3"/>
    <n v="235"/>
    <n v="89.2"/>
    <d v="2025-03-17T00:00:00"/>
    <d v="2025-03-19T00:00:00"/>
    <n v="13.91"/>
    <n v="20962"/>
    <n v="3268.85"/>
    <n v="2"/>
    <n v="0.15594170403587443"/>
  </r>
  <r>
    <s v="PROD-1380"/>
    <x v="5"/>
    <x v="4"/>
    <s v="S-103"/>
    <x v="2"/>
    <n v="279"/>
    <n v="248.12"/>
    <d v="2025-04-21T00:00:00"/>
    <d v="2025-05-01T00:00:00"/>
    <n v="29.57"/>
    <n v="69225.48"/>
    <n v="8250.0300000000007"/>
    <n v="10"/>
    <n v="0.11917620506206673"/>
  </r>
  <r>
    <s v="PROD-1381"/>
    <x v="0"/>
    <x v="0"/>
    <s v="S-102"/>
    <x v="4"/>
    <n v="86"/>
    <n v="474.98"/>
    <d v="2025-04-25T00:00:00"/>
    <d v="2025-05-18T00:00:00"/>
    <n v="113.05"/>
    <n v="40848.28"/>
    <n v="9722.2999999999993"/>
    <n v="23"/>
    <n v="0.23801002147458838"/>
  </r>
  <r>
    <s v="PROD-1382"/>
    <x v="16"/>
    <x v="3"/>
    <s v="S-104"/>
    <x v="1"/>
    <n v="48"/>
    <n v="305.95999999999998"/>
    <d v="2025-04-09T00:00:00"/>
    <d v="2025-04-18T00:00:00"/>
    <n v="64.45"/>
    <n v="14686.079999999998"/>
    <n v="3093.6000000000004"/>
    <n v="9"/>
    <n v="0.2106484507778795"/>
  </r>
  <r>
    <s v="PROD-1383"/>
    <x v="4"/>
    <x v="3"/>
    <s v="S-101"/>
    <x v="3"/>
    <n v="339"/>
    <n v="179.49"/>
    <d v="2025-05-06T00:00:00"/>
    <d v="2025-05-26T00:00:00"/>
    <n v="32.83"/>
    <n v="60847.11"/>
    <n v="11129.369999999999"/>
    <n v="20"/>
    <n v="0.18290712574516685"/>
  </r>
  <r>
    <s v="PROD-1384"/>
    <x v="11"/>
    <x v="0"/>
    <s v="S-101"/>
    <x v="3"/>
    <n v="139"/>
    <n v="58.04"/>
    <d v="2025-04-14T00:00:00"/>
    <d v="2025-05-09T00:00:00"/>
    <n v="10.58"/>
    <n v="8067.5599999999995"/>
    <n v="1470.6200000000001"/>
    <n v="25"/>
    <n v="0.1822880771881461"/>
  </r>
  <r>
    <s v="PROD-1385"/>
    <x v="13"/>
    <x v="2"/>
    <s v="S-104"/>
    <x v="1"/>
    <n v="470"/>
    <n v="257.29000000000002"/>
    <d v="2025-05-01T00:00:00"/>
    <d v="2025-05-08T00:00:00"/>
    <n v="54.03"/>
    <n v="120926.3"/>
    <n v="25394.100000000002"/>
    <n v="7"/>
    <n v="0.20999650200163239"/>
  </r>
  <r>
    <s v="PROD-1386"/>
    <x v="0"/>
    <x v="0"/>
    <s v="S-101"/>
    <x v="3"/>
    <n v="210"/>
    <n v="338.32"/>
    <d v="2025-04-30T00:00:00"/>
    <d v="2025-05-30T00:00:00"/>
    <n v="74.02"/>
    <n v="71047.199999999997"/>
    <n v="15544.199999999999"/>
    <n v="30"/>
    <n v="0.21878694726885789"/>
  </r>
  <r>
    <s v="PROD-1387"/>
    <x v="7"/>
    <x v="0"/>
    <s v="S-104"/>
    <x v="1"/>
    <n v="80"/>
    <n v="115.46"/>
    <d v="2025-04-02T00:00:00"/>
    <d v="2025-04-19T00:00:00"/>
    <n v="21.55"/>
    <n v="9236.7999999999993"/>
    <n v="1724"/>
    <n v="17"/>
    <n v="0.18664472544604194"/>
  </r>
  <r>
    <s v="PROD-1388"/>
    <x v="15"/>
    <x v="3"/>
    <s v="S-104"/>
    <x v="1"/>
    <n v="45"/>
    <n v="342.3"/>
    <d v="2025-06-07T00:00:00"/>
    <d v="2025-07-04T00:00:00"/>
    <n v="98.59"/>
    <n v="15403.5"/>
    <n v="4436.55"/>
    <n v="27"/>
    <n v="0.28802220274612911"/>
  </r>
  <r>
    <s v="PROD-1389"/>
    <x v="16"/>
    <x v="3"/>
    <s v="S-101"/>
    <x v="3"/>
    <n v="238"/>
    <n v="492.52"/>
    <d v="2025-02-05T00:00:00"/>
    <d v="2025-02-27T00:00:00"/>
    <n v="124.08"/>
    <n v="117219.76"/>
    <n v="29531.040000000001"/>
    <n v="22"/>
    <n v="0.25192885568098761"/>
  </r>
  <r>
    <s v="PROD-1390"/>
    <x v="8"/>
    <x v="4"/>
    <s v="S-105"/>
    <x v="0"/>
    <n v="337"/>
    <n v="254.72"/>
    <d v="2025-02-22T00:00:00"/>
    <d v="2025-03-16T00:00:00"/>
    <n v="48.86"/>
    <n v="85840.639999999999"/>
    <n v="16465.82"/>
    <n v="22"/>
    <n v="0.19181846733668342"/>
  </r>
  <r>
    <s v="PROD-1391"/>
    <x v="4"/>
    <x v="3"/>
    <s v="S-104"/>
    <x v="1"/>
    <n v="413"/>
    <n v="201.99"/>
    <d v="2025-01-27T00:00:00"/>
    <d v="2025-02-01T00:00:00"/>
    <n v="48.73"/>
    <n v="83421.87000000001"/>
    <n v="20125.489999999998"/>
    <n v="5"/>
    <n v="0.2412495668102381"/>
  </r>
  <r>
    <s v="PROD-1392"/>
    <x v="1"/>
    <x v="1"/>
    <s v="S-104"/>
    <x v="1"/>
    <n v="15"/>
    <n v="473.29"/>
    <d v="2025-06-17T00:00:00"/>
    <d v="2025-06-23T00:00:00"/>
    <n v="135.72"/>
    <n v="7099.35"/>
    <n v="2035.8"/>
    <n v="6"/>
    <n v="0.28675864691837982"/>
  </r>
  <r>
    <s v="PROD-1393"/>
    <x v="18"/>
    <x v="1"/>
    <s v="S-102"/>
    <x v="4"/>
    <n v="170"/>
    <n v="253.49"/>
    <d v="2025-04-19T00:00:00"/>
    <d v="2025-05-09T00:00:00"/>
    <n v="64.61"/>
    <n v="43093.3"/>
    <n v="10983.7"/>
    <n v="20"/>
    <n v="0.25488184938261865"/>
  </r>
  <r>
    <s v="PROD-1394"/>
    <x v="2"/>
    <x v="2"/>
    <s v="S-104"/>
    <x v="1"/>
    <n v="78"/>
    <n v="76.540000000000006"/>
    <d v="2025-02-20T00:00:00"/>
    <d v="2025-03-18T00:00:00"/>
    <n v="21.42"/>
    <n v="5970.1200000000008"/>
    <n v="1670.7600000000002"/>
    <n v="26"/>
    <n v="0.27985367128298927"/>
  </r>
  <r>
    <s v="PROD-1395"/>
    <x v="6"/>
    <x v="2"/>
    <s v="S-102"/>
    <x v="4"/>
    <n v="33"/>
    <n v="106.42"/>
    <d v="2025-06-11T00:00:00"/>
    <d v="2025-06-26T00:00:00"/>
    <n v="20.8"/>
    <n v="3511.86"/>
    <n v="686.4"/>
    <n v="15"/>
    <n v="0.19545198271001693"/>
  </r>
  <r>
    <s v="PROD-1396"/>
    <x v="0"/>
    <x v="0"/>
    <s v="S-105"/>
    <x v="0"/>
    <n v="142"/>
    <n v="133.15"/>
    <d v="2025-06-23T00:00:00"/>
    <d v="2025-06-30T00:00:00"/>
    <n v="23.43"/>
    <n v="18907.3"/>
    <n v="3327.06"/>
    <n v="7"/>
    <n v="0.17596695456252345"/>
  </r>
  <r>
    <s v="PROD-1397"/>
    <x v="11"/>
    <x v="0"/>
    <s v="S-101"/>
    <x v="3"/>
    <n v="374"/>
    <n v="406.41"/>
    <d v="2025-06-28T00:00:00"/>
    <d v="2025-07-17T00:00:00"/>
    <n v="47.92"/>
    <n v="151997.34"/>
    <n v="17922.080000000002"/>
    <n v="19"/>
    <n v="0.11791048448611008"/>
  </r>
  <r>
    <s v="PROD-1398"/>
    <x v="6"/>
    <x v="2"/>
    <s v="S-105"/>
    <x v="0"/>
    <n v="42"/>
    <n v="10.3"/>
    <d v="2025-02-03T00:00:00"/>
    <d v="2025-02-27T00:00:00"/>
    <n v="3"/>
    <n v="432.6"/>
    <n v="126"/>
    <n v="24"/>
    <n v="0.29126213592233008"/>
  </r>
  <r>
    <s v="PROD-1399"/>
    <x v="13"/>
    <x v="2"/>
    <s v="S-101"/>
    <x v="3"/>
    <n v="119"/>
    <n v="13.55"/>
    <d v="2025-03-02T00:00:00"/>
    <d v="2025-03-03T00:00:00"/>
    <n v="2.52"/>
    <n v="1612.45"/>
    <n v="299.88"/>
    <n v="1"/>
    <n v="0.18597785977859776"/>
  </r>
  <r>
    <s v="PROD-1400"/>
    <x v="5"/>
    <x v="4"/>
    <s v="S-102"/>
    <x v="4"/>
    <n v="454"/>
    <n v="388.63"/>
    <d v="2025-06-06T00:00:00"/>
    <d v="2025-07-04T00:00:00"/>
    <n v="89.96"/>
    <n v="176438.02"/>
    <n v="40841.839999999997"/>
    <n v="28"/>
    <n v="0.23147981370455187"/>
  </r>
  <r>
    <s v="PROD-1401"/>
    <x v="3"/>
    <x v="2"/>
    <s v="S-104"/>
    <x v="1"/>
    <n v="366"/>
    <n v="297.52"/>
    <d v="2025-01-27T00:00:00"/>
    <d v="2025-01-30T00:00:00"/>
    <n v="85.22"/>
    <n v="108892.31999999999"/>
    <n v="31190.52"/>
    <n v="3"/>
    <n v="0.28643452541005648"/>
  </r>
  <r>
    <s v="PROD-1402"/>
    <x v="4"/>
    <x v="3"/>
    <s v="S-102"/>
    <x v="4"/>
    <n v="34"/>
    <n v="145.82"/>
    <d v="2025-03-29T00:00:00"/>
    <d v="2025-04-22T00:00:00"/>
    <n v="39.94"/>
    <n v="4957.88"/>
    <n v="1357.96"/>
    <n v="24"/>
    <n v="0.27389932793855437"/>
  </r>
  <r>
    <s v="PROD-1403"/>
    <x v="6"/>
    <x v="2"/>
    <s v="S-101"/>
    <x v="3"/>
    <n v="198"/>
    <n v="20.66"/>
    <d v="2025-05-21T00:00:00"/>
    <d v="2025-05-24T00:00:00"/>
    <n v="5.37"/>
    <n v="4090.68"/>
    <n v="1063.26"/>
    <n v="3"/>
    <n v="0.25992255566311712"/>
  </r>
  <r>
    <s v="PROD-1404"/>
    <x v="3"/>
    <x v="2"/>
    <s v="S-102"/>
    <x v="4"/>
    <n v="215"/>
    <n v="25.62"/>
    <d v="2025-02-15T00:00:00"/>
    <d v="2025-02-19T00:00:00"/>
    <n v="4.26"/>
    <n v="5508.3"/>
    <n v="915.9"/>
    <n v="4"/>
    <n v="0.16627634660421545"/>
  </r>
  <r>
    <s v="PROD-1405"/>
    <x v="12"/>
    <x v="4"/>
    <s v="S-102"/>
    <x v="4"/>
    <n v="142"/>
    <n v="466.2"/>
    <d v="2025-05-19T00:00:00"/>
    <d v="2025-06-13T00:00:00"/>
    <n v="49.08"/>
    <n v="66200.399999999994"/>
    <n v="6969.36"/>
    <n v="25"/>
    <n v="0.10527670527670528"/>
  </r>
  <r>
    <s v="PROD-1406"/>
    <x v="6"/>
    <x v="2"/>
    <s v="S-104"/>
    <x v="1"/>
    <n v="343"/>
    <n v="410.21"/>
    <d v="2025-02-16T00:00:00"/>
    <d v="2025-03-06T00:00:00"/>
    <n v="113.39"/>
    <n v="140702.03"/>
    <n v="38892.769999999997"/>
    <n v="18"/>
    <n v="0.27641939494405304"/>
  </r>
  <r>
    <s v="PROD-1407"/>
    <x v="3"/>
    <x v="2"/>
    <s v="S-101"/>
    <x v="3"/>
    <n v="230"/>
    <n v="477.35"/>
    <d v="2025-01-09T00:00:00"/>
    <d v="2025-02-05T00:00:00"/>
    <n v="140.71"/>
    <n v="109790.5"/>
    <n v="32363.300000000003"/>
    <n v="27"/>
    <n v="0.294773227191788"/>
  </r>
  <r>
    <s v="PROD-1408"/>
    <x v="9"/>
    <x v="1"/>
    <s v="S-103"/>
    <x v="2"/>
    <n v="479"/>
    <n v="438.12"/>
    <d v="2025-01-18T00:00:00"/>
    <d v="2025-01-20T00:00:00"/>
    <n v="96.22"/>
    <n v="209859.48"/>
    <n v="46089.38"/>
    <n v="2"/>
    <n v="0.21962019538026112"/>
  </r>
  <r>
    <s v="PROD-1409"/>
    <x v="2"/>
    <x v="2"/>
    <s v="S-102"/>
    <x v="4"/>
    <n v="271"/>
    <n v="167.23"/>
    <d v="2025-06-24T00:00:00"/>
    <d v="2025-06-29T00:00:00"/>
    <n v="37.479999999999997"/>
    <n v="45319.329999999994"/>
    <n v="10157.08"/>
    <n v="5"/>
    <n v="0.22412246606470129"/>
  </r>
  <r>
    <s v="PROD-1410"/>
    <x v="16"/>
    <x v="3"/>
    <s v="S-104"/>
    <x v="1"/>
    <n v="105"/>
    <n v="448.86"/>
    <d v="2025-06-13T00:00:00"/>
    <d v="2025-07-01T00:00:00"/>
    <n v="121.2"/>
    <n v="47130.3"/>
    <n v="12726"/>
    <n v="18"/>
    <n v="0.27001737735596842"/>
  </r>
  <r>
    <s v="PROD-1411"/>
    <x v="3"/>
    <x v="2"/>
    <s v="S-102"/>
    <x v="4"/>
    <n v="307"/>
    <n v="274.52999999999997"/>
    <d v="2025-03-23T00:00:00"/>
    <d v="2025-03-25T00:00:00"/>
    <n v="74.89"/>
    <n v="84280.709999999992"/>
    <n v="22991.23"/>
    <n v="2"/>
    <n v="0.27279350162095223"/>
  </r>
  <r>
    <s v="PROD-1412"/>
    <x v="16"/>
    <x v="3"/>
    <s v="S-101"/>
    <x v="3"/>
    <n v="255"/>
    <n v="52.97"/>
    <d v="2025-05-23T00:00:00"/>
    <d v="2025-06-02T00:00:00"/>
    <n v="6.26"/>
    <n v="13507.35"/>
    <n v="1596.3"/>
    <n v="10"/>
    <n v="0.11818010194449688"/>
  </r>
  <r>
    <s v="PROD-1413"/>
    <x v="0"/>
    <x v="0"/>
    <s v="S-101"/>
    <x v="3"/>
    <n v="422"/>
    <n v="416.45"/>
    <d v="2025-03-07T00:00:00"/>
    <d v="2025-03-22T00:00:00"/>
    <n v="50.17"/>
    <n v="175741.9"/>
    <n v="21171.74"/>
    <n v="15"/>
    <n v="0.12047064473526234"/>
  </r>
  <r>
    <s v="PROD-1414"/>
    <x v="10"/>
    <x v="1"/>
    <s v="S-105"/>
    <x v="0"/>
    <n v="332"/>
    <n v="249.7"/>
    <d v="2025-02-11T00:00:00"/>
    <d v="2025-02-23T00:00:00"/>
    <n v="38.35"/>
    <n v="82900.399999999994"/>
    <n v="12732.2"/>
    <n v="12"/>
    <n v="0.15358430116139368"/>
  </r>
  <r>
    <s v="PROD-1415"/>
    <x v="14"/>
    <x v="4"/>
    <s v="S-104"/>
    <x v="1"/>
    <n v="264"/>
    <n v="68.55"/>
    <d v="2025-03-24T00:00:00"/>
    <d v="2025-04-01T00:00:00"/>
    <n v="10.87"/>
    <n v="18097.2"/>
    <n v="2869.68"/>
    <n v="8"/>
    <n v="0.1585703865791393"/>
  </r>
  <r>
    <s v="PROD-1416"/>
    <x v="5"/>
    <x v="4"/>
    <s v="S-102"/>
    <x v="4"/>
    <n v="106"/>
    <n v="269.57"/>
    <d v="2025-02-22T00:00:00"/>
    <d v="2025-03-17T00:00:00"/>
    <n v="29.26"/>
    <n v="28574.42"/>
    <n v="3101.56"/>
    <n v="23"/>
    <n v="0.10854323552324073"/>
  </r>
  <r>
    <s v="PROD-1417"/>
    <x v="13"/>
    <x v="2"/>
    <s v="S-102"/>
    <x v="4"/>
    <n v="146"/>
    <n v="193.93"/>
    <d v="2025-05-16T00:00:00"/>
    <d v="2025-05-21T00:00:00"/>
    <n v="30.14"/>
    <n v="28313.780000000002"/>
    <n v="4400.4400000000005"/>
    <n v="5"/>
    <n v="0.15541690300623937"/>
  </r>
  <r>
    <s v="PROD-1418"/>
    <x v="10"/>
    <x v="1"/>
    <s v="S-101"/>
    <x v="3"/>
    <n v="131"/>
    <n v="449.23"/>
    <d v="2025-04-05T00:00:00"/>
    <d v="2025-04-13T00:00:00"/>
    <n v="52.5"/>
    <n v="58849.130000000005"/>
    <n v="6877.5"/>
    <n v="8"/>
    <n v="0.11686663847027134"/>
  </r>
  <r>
    <s v="PROD-1419"/>
    <x v="9"/>
    <x v="1"/>
    <s v="S-105"/>
    <x v="0"/>
    <n v="430"/>
    <n v="224.25"/>
    <d v="2025-02-05T00:00:00"/>
    <d v="2025-02-25T00:00:00"/>
    <n v="30.75"/>
    <n v="96427.5"/>
    <n v="13222.5"/>
    <n v="20"/>
    <n v="0.13712374581939799"/>
  </r>
  <r>
    <s v="PROD-1420"/>
    <x v="2"/>
    <x v="2"/>
    <s v="S-105"/>
    <x v="0"/>
    <n v="345"/>
    <n v="161.94"/>
    <d v="2025-05-07T00:00:00"/>
    <d v="2025-05-28T00:00:00"/>
    <n v="47.59"/>
    <n v="55869.299999999996"/>
    <n v="16418.550000000003"/>
    <n v="21"/>
    <n v="0.2938742744226257"/>
  </r>
  <r>
    <s v="PROD-1421"/>
    <x v="3"/>
    <x v="2"/>
    <s v="S-101"/>
    <x v="3"/>
    <n v="26"/>
    <n v="14.43"/>
    <d v="2025-06-22T00:00:00"/>
    <d v="2025-06-30T00:00:00"/>
    <n v="4.29"/>
    <n v="375.18"/>
    <n v="111.54"/>
    <n v="8"/>
    <n v="0.29729729729729731"/>
  </r>
  <r>
    <s v="PROD-1422"/>
    <x v="6"/>
    <x v="2"/>
    <s v="S-103"/>
    <x v="2"/>
    <n v="419"/>
    <n v="6.86"/>
    <d v="2025-03-18T00:00:00"/>
    <d v="2025-04-06T00:00:00"/>
    <n v="1.22"/>
    <n v="2874.34"/>
    <n v="511.18"/>
    <n v="19"/>
    <n v="0.17784256559766762"/>
  </r>
  <r>
    <s v="PROD-1423"/>
    <x v="18"/>
    <x v="1"/>
    <s v="S-102"/>
    <x v="4"/>
    <n v="153"/>
    <n v="15.64"/>
    <d v="2025-01-23T00:00:00"/>
    <d v="2025-02-06T00:00:00"/>
    <n v="2.09"/>
    <n v="2392.92"/>
    <n v="319.77"/>
    <n v="14"/>
    <n v="0.13363171355498721"/>
  </r>
  <r>
    <s v="PROD-1424"/>
    <x v="14"/>
    <x v="4"/>
    <s v="S-101"/>
    <x v="3"/>
    <n v="426"/>
    <n v="74.22"/>
    <d v="2025-06-23T00:00:00"/>
    <d v="2025-07-17T00:00:00"/>
    <n v="10.75"/>
    <n v="31617.72"/>
    <n v="4579.5"/>
    <n v="24"/>
    <n v="0.14483966585825922"/>
  </r>
  <r>
    <s v="PROD-1425"/>
    <x v="17"/>
    <x v="3"/>
    <s v="S-102"/>
    <x v="4"/>
    <n v="364"/>
    <n v="156.38999999999999"/>
    <d v="2025-02-13T00:00:00"/>
    <d v="2025-02-15T00:00:00"/>
    <n v="25.2"/>
    <n v="56925.959999999992"/>
    <n v="9172.7999999999993"/>
    <n v="2"/>
    <n v="0.16113562248225591"/>
  </r>
  <r>
    <s v="PROD-1426"/>
    <x v="6"/>
    <x v="2"/>
    <s v="S-103"/>
    <x v="2"/>
    <n v="224"/>
    <n v="76.22"/>
    <d v="2025-01-23T00:00:00"/>
    <d v="2025-02-18T00:00:00"/>
    <n v="22.82"/>
    <n v="17073.28"/>
    <n v="5111.68"/>
    <n v="26"/>
    <n v="0.29939648386250328"/>
  </r>
  <r>
    <s v="PROD-1427"/>
    <x v="14"/>
    <x v="4"/>
    <s v="S-105"/>
    <x v="0"/>
    <n v="407"/>
    <n v="296.49"/>
    <d v="2025-03-31T00:00:00"/>
    <d v="2025-04-20T00:00:00"/>
    <n v="47.66"/>
    <n v="120671.43000000001"/>
    <n v="19397.62"/>
    <n v="20"/>
    <n v="0.16074741137981044"/>
  </r>
  <r>
    <s v="PROD-1428"/>
    <x v="4"/>
    <x v="3"/>
    <s v="S-103"/>
    <x v="2"/>
    <n v="72"/>
    <n v="284.11"/>
    <d v="2025-03-31T00:00:00"/>
    <d v="2025-04-08T00:00:00"/>
    <n v="61.33"/>
    <n v="20455.920000000002"/>
    <n v="4415.76"/>
    <n v="8"/>
    <n v="0.21586709373130125"/>
  </r>
  <r>
    <s v="PROD-1429"/>
    <x v="9"/>
    <x v="1"/>
    <s v="S-101"/>
    <x v="3"/>
    <n v="472"/>
    <n v="179.97"/>
    <d v="2025-01-21T00:00:00"/>
    <d v="2025-02-06T00:00:00"/>
    <n v="36.04"/>
    <n v="84945.84"/>
    <n v="17010.88"/>
    <n v="16"/>
    <n v="0.2002555981552481"/>
  </r>
  <r>
    <s v="PROD-1430"/>
    <x v="5"/>
    <x v="4"/>
    <s v="S-105"/>
    <x v="0"/>
    <n v="455"/>
    <n v="487.06"/>
    <d v="2025-04-06T00:00:00"/>
    <d v="2025-04-25T00:00:00"/>
    <n v="128.9"/>
    <n v="221612.3"/>
    <n v="58649.5"/>
    <n v="19"/>
    <n v="0.2646491192050261"/>
  </r>
  <r>
    <s v="PROD-1431"/>
    <x v="18"/>
    <x v="1"/>
    <s v="S-102"/>
    <x v="4"/>
    <n v="10"/>
    <n v="302.45999999999998"/>
    <d v="2025-04-30T00:00:00"/>
    <d v="2025-05-11T00:00:00"/>
    <n v="69.84"/>
    <n v="3024.6"/>
    <n v="698.40000000000009"/>
    <n v="11"/>
    <n v="0.23090656615750846"/>
  </r>
  <r>
    <s v="PROD-1432"/>
    <x v="16"/>
    <x v="3"/>
    <s v="S-102"/>
    <x v="4"/>
    <n v="51"/>
    <n v="442.98"/>
    <d v="2025-05-09T00:00:00"/>
    <d v="2025-05-17T00:00:00"/>
    <n v="113.43"/>
    <n v="22591.98"/>
    <n v="5784.93"/>
    <n v="8"/>
    <n v="0.25606122172558582"/>
  </r>
  <r>
    <s v="PROD-1433"/>
    <x v="5"/>
    <x v="4"/>
    <s v="S-105"/>
    <x v="0"/>
    <n v="381"/>
    <n v="273.45999999999998"/>
    <d v="2025-06-30T00:00:00"/>
    <d v="2025-07-10T00:00:00"/>
    <n v="61.46"/>
    <n v="104188.26"/>
    <n v="23416.260000000002"/>
    <n v="10"/>
    <n v="0.22474950632633658"/>
  </r>
  <r>
    <s v="PROD-1434"/>
    <x v="9"/>
    <x v="1"/>
    <s v="S-103"/>
    <x v="2"/>
    <n v="481"/>
    <n v="228.05"/>
    <d v="2025-01-27T00:00:00"/>
    <d v="2025-02-22T00:00:00"/>
    <n v="59.24"/>
    <n v="109692.05"/>
    <n v="28494.440000000002"/>
    <n v="26"/>
    <n v="0.25976759482569611"/>
  </r>
  <r>
    <s v="PROD-1435"/>
    <x v="12"/>
    <x v="4"/>
    <s v="S-101"/>
    <x v="3"/>
    <n v="122"/>
    <n v="450.44"/>
    <d v="2025-01-26T00:00:00"/>
    <d v="2025-02-19T00:00:00"/>
    <n v="70.430000000000007"/>
    <n v="54953.68"/>
    <n v="8592.4600000000009"/>
    <n v="24"/>
    <n v="0.15635822751087827"/>
  </r>
  <r>
    <s v="PROD-1436"/>
    <x v="17"/>
    <x v="3"/>
    <s v="S-105"/>
    <x v="0"/>
    <n v="433"/>
    <n v="489.99"/>
    <d v="2025-05-24T00:00:00"/>
    <d v="2025-05-28T00:00:00"/>
    <n v="69.099999999999994"/>
    <n v="212165.67"/>
    <n v="29920.3"/>
    <n v="4"/>
    <n v="0.14102328618951407"/>
  </r>
  <r>
    <s v="PROD-1437"/>
    <x v="13"/>
    <x v="2"/>
    <s v="S-103"/>
    <x v="2"/>
    <n v="31"/>
    <n v="204.38"/>
    <d v="2025-03-07T00:00:00"/>
    <d v="2025-03-28T00:00:00"/>
    <n v="52.87"/>
    <n v="6335.78"/>
    <n v="1638.97"/>
    <n v="21"/>
    <n v="0.25868480281827966"/>
  </r>
  <r>
    <s v="PROD-1438"/>
    <x v="15"/>
    <x v="3"/>
    <s v="S-104"/>
    <x v="1"/>
    <n v="439"/>
    <n v="390.34"/>
    <d v="2025-01-12T00:00:00"/>
    <d v="2025-02-09T00:00:00"/>
    <n v="92"/>
    <n v="171359.25999999998"/>
    <n v="40388"/>
    <n v="28"/>
    <n v="0.23569196085463956"/>
  </r>
  <r>
    <s v="PROD-1439"/>
    <x v="0"/>
    <x v="0"/>
    <s v="S-105"/>
    <x v="0"/>
    <n v="181"/>
    <n v="167.19"/>
    <d v="2025-06-29T00:00:00"/>
    <d v="2025-07-15T00:00:00"/>
    <n v="44.17"/>
    <n v="30261.39"/>
    <n v="7994.77"/>
    <n v="16"/>
    <n v="0.26419044201208208"/>
  </r>
  <r>
    <s v="PROD-1440"/>
    <x v="6"/>
    <x v="2"/>
    <s v="S-101"/>
    <x v="3"/>
    <n v="76"/>
    <n v="489.79"/>
    <d v="2025-05-18T00:00:00"/>
    <d v="2025-05-28T00:00:00"/>
    <n v="54.86"/>
    <n v="37224.04"/>
    <n v="4169.3599999999997"/>
    <n v="10"/>
    <n v="0.1120071867535066"/>
  </r>
  <r>
    <s v="PROD-1441"/>
    <x v="3"/>
    <x v="2"/>
    <s v="S-105"/>
    <x v="0"/>
    <n v="386"/>
    <n v="65.31"/>
    <d v="2025-05-24T00:00:00"/>
    <d v="2025-06-08T00:00:00"/>
    <n v="14.83"/>
    <n v="25209.66"/>
    <n v="5724.38"/>
    <n v="15"/>
    <n v="0.22707089266574795"/>
  </r>
  <r>
    <s v="PROD-1442"/>
    <x v="11"/>
    <x v="0"/>
    <s v="S-102"/>
    <x v="4"/>
    <n v="460"/>
    <n v="408.76"/>
    <d v="2025-01-22T00:00:00"/>
    <d v="2025-02-16T00:00:00"/>
    <n v="62.36"/>
    <n v="188029.6"/>
    <n v="28685.599999999999"/>
    <n v="25"/>
    <n v="0.15255895880223114"/>
  </r>
  <r>
    <s v="PROD-1443"/>
    <x v="19"/>
    <x v="0"/>
    <s v="S-104"/>
    <x v="1"/>
    <n v="111"/>
    <n v="277.05"/>
    <d v="2025-06-15T00:00:00"/>
    <d v="2025-07-07T00:00:00"/>
    <n v="68.88"/>
    <n v="30752.550000000003"/>
    <n v="7645.6799999999994"/>
    <n v="22"/>
    <n v="0.24861938278289114"/>
  </r>
  <r>
    <s v="PROD-1444"/>
    <x v="6"/>
    <x v="2"/>
    <s v="S-102"/>
    <x v="4"/>
    <n v="216"/>
    <n v="406.89"/>
    <d v="2025-04-08T00:00:00"/>
    <d v="2025-05-03T00:00:00"/>
    <n v="98.86"/>
    <n v="87888.239999999991"/>
    <n v="21353.759999999998"/>
    <n v="25"/>
    <n v="0.24296492909631595"/>
  </r>
  <r>
    <s v="PROD-1445"/>
    <x v="18"/>
    <x v="1"/>
    <s v="S-105"/>
    <x v="0"/>
    <n v="178"/>
    <n v="193.86"/>
    <d v="2025-03-20T00:00:00"/>
    <d v="2025-04-12T00:00:00"/>
    <n v="49.98"/>
    <n v="34507.08"/>
    <n v="8896.4399999999987"/>
    <n v="23"/>
    <n v="0.25781491798204886"/>
  </r>
  <r>
    <s v="PROD-1446"/>
    <x v="12"/>
    <x v="4"/>
    <s v="S-104"/>
    <x v="1"/>
    <n v="298"/>
    <n v="84.58"/>
    <d v="2025-05-07T00:00:00"/>
    <d v="2025-06-06T00:00:00"/>
    <n v="13.39"/>
    <n v="25204.84"/>
    <n v="3990.2200000000003"/>
    <n v="30"/>
    <n v="0.15831165760227006"/>
  </r>
  <r>
    <s v="PROD-1447"/>
    <x v="12"/>
    <x v="4"/>
    <s v="S-104"/>
    <x v="1"/>
    <n v="462"/>
    <n v="35.46"/>
    <d v="2025-01-17T00:00:00"/>
    <d v="2025-02-05T00:00:00"/>
    <n v="9.11"/>
    <n v="16382.52"/>
    <n v="4208.82"/>
    <n v="19"/>
    <n v="0.25690919345741681"/>
  </r>
  <r>
    <s v="PROD-1448"/>
    <x v="8"/>
    <x v="4"/>
    <s v="S-104"/>
    <x v="1"/>
    <n v="356"/>
    <n v="120.28"/>
    <d v="2025-04-06T00:00:00"/>
    <d v="2025-04-18T00:00:00"/>
    <n v="15.44"/>
    <n v="42819.68"/>
    <n v="5496.6399999999994"/>
    <n v="12"/>
    <n v="0.12836714333222479"/>
  </r>
  <r>
    <s v="PROD-1449"/>
    <x v="13"/>
    <x v="2"/>
    <s v="S-104"/>
    <x v="1"/>
    <n v="38"/>
    <n v="229.51"/>
    <d v="2025-06-24T00:00:00"/>
    <d v="2025-07-19T00:00:00"/>
    <n v="48.24"/>
    <n v="8721.3799999999992"/>
    <n v="1833.1200000000001"/>
    <n v="25"/>
    <n v="0.21018691995991462"/>
  </r>
  <r>
    <s v="PROD-1450"/>
    <x v="5"/>
    <x v="4"/>
    <s v="S-102"/>
    <x v="4"/>
    <n v="498"/>
    <n v="471.21"/>
    <d v="2025-04-05T00:00:00"/>
    <d v="2025-04-17T00:00:00"/>
    <n v="133.25"/>
    <n v="234662.58"/>
    <n v="66358.5"/>
    <n v="12"/>
    <n v="0.28278262345875516"/>
  </r>
  <r>
    <s v="PROD-1451"/>
    <x v="18"/>
    <x v="1"/>
    <s v="S-105"/>
    <x v="0"/>
    <n v="455"/>
    <n v="238.89"/>
    <d v="2025-05-28T00:00:00"/>
    <d v="2025-05-29T00:00:00"/>
    <n v="39.24"/>
    <n v="108694.95"/>
    <n v="17854.2"/>
    <n v="1"/>
    <n v="0.16425970111766924"/>
  </r>
  <r>
    <s v="PROD-1452"/>
    <x v="7"/>
    <x v="0"/>
    <s v="S-101"/>
    <x v="3"/>
    <n v="349"/>
    <n v="485.88"/>
    <d v="2025-03-23T00:00:00"/>
    <d v="2025-04-14T00:00:00"/>
    <n v="69.8"/>
    <n v="169572.12"/>
    <n v="24360.2"/>
    <n v="22"/>
    <n v="0.14365687000905572"/>
  </r>
  <r>
    <s v="PROD-1453"/>
    <x v="15"/>
    <x v="3"/>
    <s v="S-104"/>
    <x v="1"/>
    <n v="121"/>
    <n v="46.75"/>
    <d v="2025-02-23T00:00:00"/>
    <d v="2025-03-06T00:00:00"/>
    <n v="11.42"/>
    <n v="5656.75"/>
    <n v="1381.82"/>
    <n v="11"/>
    <n v="0.24427807486631015"/>
  </r>
  <r>
    <s v="PROD-1454"/>
    <x v="3"/>
    <x v="2"/>
    <s v="S-104"/>
    <x v="1"/>
    <n v="401"/>
    <n v="171.75"/>
    <d v="2025-06-19T00:00:00"/>
    <d v="2025-07-09T00:00:00"/>
    <n v="47.18"/>
    <n v="68871.75"/>
    <n v="18919.18"/>
    <n v="20"/>
    <n v="0.27470160116448328"/>
  </r>
  <r>
    <s v="PROD-1455"/>
    <x v="2"/>
    <x v="2"/>
    <s v="S-105"/>
    <x v="0"/>
    <n v="232"/>
    <n v="362.87"/>
    <d v="2025-06-17T00:00:00"/>
    <d v="2025-07-17T00:00:00"/>
    <n v="101.88"/>
    <n v="84185.84"/>
    <n v="23636.16"/>
    <n v="30"/>
    <n v="0.28076170529390687"/>
  </r>
  <r>
    <s v="PROD-1456"/>
    <x v="6"/>
    <x v="2"/>
    <s v="S-102"/>
    <x v="4"/>
    <n v="42"/>
    <n v="232.89"/>
    <d v="2025-04-06T00:00:00"/>
    <d v="2025-04-27T00:00:00"/>
    <n v="57.78"/>
    <n v="9781.3799999999992"/>
    <n v="2426.7600000000002"/>
    <n v="21"/>
    <n v="0.24809996135514623"/>
  </r>
  <r>
    <s v="PROD-1457"/>
    <x v="0"/>
    <x v="0"/>
    <s v="S-102"/>
    <x v="4"/>
    <n v="389"/>
    <n v="40.07"/>
    <d v="2025-06-16T00:00:00"/>
    <d v="2025-07-07T00:00:00"/>
    <n v="5.49"/>
    <n v="15587.23"/>
    <n v="2135.61"/>
    <n v="21"/>
    <n v="0.13701023209383578"/>
  </r>
  <r>
    <s v="PROD-1458"/>
    <x v="9"/>
    <x v="1"/>
    <s v="S-105"/>
    <x v="0"/>
    <n v="92"/>
    <n v="413.81"/>
    <d v="2025-01-16T00:00:00"/>
    <d v="2025-01-23T00:00:00"/>
    <n v="52.91"/>
    <n v="38070.519999999997"/>
    <n v="4867.7199999999993"/>
    <n v="7"/>
    <n v="0.12786061235832868"/>
  </r>
  <r>
    <s v="PROD-1459"/>
    <x v="3"/>
    <x v="2"/>
    <s v="S-102"/>
    <x v="4"/>
    <n v="465"/>
    <n v="480.01"/>
    <d v="2025-04-06T00:00:00"/>
    <d v="2025-04-27T00:00:00"/>
    <n v="139.31"/>
    <n v="223204.65"/>
    <n v="64779.15"/>
    <n v="21"/>
    <n v="0.29022312035165937"/>
  </r>
  <r>
    <s v="PROD-1460"/>
    <x v="14"/>
    <x v="4"/>
    <s v="S-103"/>
    <x v="2"/>
    <n v="429"/>
    <n v="263.36"/>
    <d v="2025-01-08T00:00:00"/>
    <d v="2025-01-28T00:00:00"/>
    <n v="33.119999999999997"/>
    <n v="112981.44"/>
    <n v="14208.48"/>
    <n v="20"/>
    <n v="0.12575941676792221"/>
  </r>
  <r>
    <s v="PROD-1461"/>
    <x v="1"/>
    <x v="1"/>
    <s v="S-103"/>
    <x v="2"/>
    <n v="275"/>
    <n v="451.91"/>
    <d v="2025-03-07T00:00:00"/>
    <d v="2025-03-23T00:00:00"/>
    <n v="66.099999999999994"/>
    <n v="124275.25"/>
    <n v="18177.5"/>
    <n v="16"/>
    <n v="0.14626806222477926"/>
  </r>
  <r>
    <s v="PROD-1462"/>
    <x v="13"/>
    <x v="2"/>
    <s v="S-104"/>
    <x v="1"/>
    <n v="282"/>
    <n v="129.59"/>
    <d v="2025-04-22T00:00:00"/>
    <d v="2025-05-15T00:00:00"/>
    <n v="30.36"/>
    <n v="36544.379999999997"/>
    <n v="8561.52"/>
    <n v="23"/>
    <n v="0.23427733621421404"/>
  </r>
  <r>
    <s v="PROD-1463"/>
    <x v="14"/>
    <x v="4"/>
    <s v="S-104"/>
    <x v="1"/>
    <n v="434"/>
    <n v="18.79"/>
    <d v="2025-03-29T00:00:00"/>
    <d v="2025-04-02T00:00:00"/>
    <n v="2.93"/>
    <n v="8154.86"/>
    <n v="1271.6200000000001"/>
    <n v="4"/>
    <n v="0.15593400745077171"/>
  </r>
  <r>
    <s v="PROD-1464"/>
    <x v="9"/>
    <x v="1"/>
    <s v="S-102"/>
    <x v="4"/>
    <n v="232"/>
    <n v="357.79"/>
    <d v="2025-05-21T00:00:00"/>
    <d v="2025-06-04T00:00:00"/>
    <n v="36"/>
    <n v="83007.28"/>
    <n v="8352"/>
    <n v="14"/>
    <n v="0.10061768076245842"/>
  </r>
  <r>
    <s v="PROD-1465"/>
    <x v="9"/>
    <x v="1"/>
    <s v="S-104"/>
    <x v="1"/>
    <n v="496"/>
    <n v="489.64"/>
    <d v="2025-04-15T00:00:00"/>
    <d v="2025-05-10T00:00:00"/>
    <n v="122.68"/>
    <n v="242861.44"/>
    <n v="60849.280000000006"/>
    <n v="25"/>
    <n v="0.25055142553712934"/>
  </r>
  <r>
    <s v="PROD-1466"/>
    <x v="7"/>
    <x v="0"/>
    <s v="S-101"/>
    <x v="3"/>
    <n v="456"/>
    <n v="361.18"/>
    <d v="2025-05-16T00:00:00"/>
    <d v="2025-05-17T00:00:00"/>
    <n v="57.42"/>
    <n v="164698.08000000002"/>
    <n v="26183.52"/>
    <n v="1"/>
    <n v="0.15897890248629493"/>
  </r>
  <r>
    <s v="PROD-1467"/>
    <x v="13"/>
    <x v="2"/>
    <s v="S-103"/>
    <x v="2"/>
    <n v="301"/>
    <n v="12.79"/>
    <d v="2025-05-15T00:00:00"/>
    <d v="2025-05-25T00:00:00"/>
    <n v="2.72"/>
    <n v="3849.79"/>
    <n v="818.72"/>
    <n v="10"/>
    <n v="0.21266614542611417"/>
  </r>
  <r>
    <s v="PROD-1468"/>
    <x v="17"/>
    <x v="3"/>
    <s v="S-104"/>
    <x v="1"/>
    <n v="380"/>
    <n v="201.18"/>
    <d v="2025-03-28T00:00:00"/>
    <d v="2025-04-10T00:00:00"/>
    <n v="53.59"/>
    <n v="76448.400000000009"/>
    <n v="20364.2"/>
    <n v="13"/>
    <n v="0.26637836763097722"/>
  </r>
  <r>
    <s v="PROD-1469"/>
    <x v="4"/>
    <x v="3"/>
    <s v="S-101"/>
    <x v="3"/>
    <n v="345"/>
    <n v="11.44"/>
    <d v="2025-02-11T00:00:00"/>
    <d v="2025-02-17T00:00:00"/>
    <n v="3.39"/>
    <n v="3946.7999999999997"/>
    <n v="1169.55"/>
    <n v="6"/>
    <n v="0.29632867132867136"/>
  </r>
  <r>
    <s v="PROD-1470"/>
    <x v="0"/>
    <x v="0"/>
    <s v="S-102"/>
    <x v="4"/>
    <n v="486"/>
    <n v="478.14"/>
    <d v="2025-06-25T00:00:00"/>
    <d v="2025-07-09T00:00:00"/>
    <n v="63.09"/>
    <n v="232376.03999999998"/>
    <n v="30661.74"/>
    <n v="14"/>
    <n v="0.13194880160622413"/>
  </r>
  <r>
    <s v="PROD-1471"/>
    <x v="0"/>
    <x v="0"/>
    <s v="S-101"/>
    <x v="3"/>
    <n v="120"/>
    <n v="68.5"/>
    <d v="2025-03-20T00:00:00"/>
    <d v="2025-04-09T00:00:00"/>
    <n v="19.78"/>
    <n v="8220"/>
    <n v="2373.6000000000004"/>
    <n v="20"/>
    <n v="0.28875912408759125"/>
  </r>
  <r>
    <s v="PROD-1472"/>
    <x v="17"/>
    <x v="3"/>
    <s v="S-104"/>
    <x v="1"/>
    <n v="467"/>
    <n v="421.02"/>
    <d v="2025-06-04T00:00:00"/>
    <d v="2025-06-19T00:00:00"/>
    <n v="81.849999999999994"/>
    <n v="196616.34"/>
    <n v="38223.949999999997"/>
    <n v="15"/>
    <n v="0.19440881668329296"/>
  </r>
  <r>
    <s v="PROD-1473"/>
    <x v="14"/>
    <x v="4"/>
    <s v="S-105"/>
    <x v="0"/>
    <n v="150"/>
    <n v="108.59"/>
    <d v="2025-01-30T00:00:00"/>
    <d v="2025-02-18T00:00:00"/>
    <n v="22.21"/>
    <n v="16288.5"/>
    <n v="3331.5"/>
    <n v="19"/>
    <n v="0.20453080394143108"/>
  </r>
  <r>
    <s v="PROD-1474"/>
    <x v="10"/>
    <x v="1"/>
    <s v="S-101"/>
    <x v="3"/>
    <n v="299"/>
    <n v="370.8"/>
    <d v="2025-06-26T00:00:00"/>
    <d v="2025-06-30T00:00:00"/>
    <n v="103.24"/>
    <n v="110869.2"/>
    <n v="30868.76"/>
    <n v="4"/>
    <n v="0.27842502696871629"/>
  </r>
  <r>
    <s v="PROD-1475"/>
    <x v="0"/>
    <x v="0"/>
    <s v="S-105"/>
    <x v="0"/>
    <n v="401"/>
    <n v="79.41"/>
    <d v="2025-05-05T00:00:00"/>
    <d v="2025-05-06T00:00:00"/>
    <n v="8.89"/>
    <n v="31843.41"/>
    <n v="3564.8900000000003"/>
    <n v="1"/>
    <n v="0.11195063594005794"/>
  </r>
  <r>
    <s v="PROD-1476"/>
    <x v="0"/>
    <x v="0"/>
    <s v="S-104"/>
    <x v="1"/>
    <n v="19"/>
    <n v="180.83"/>
    <d v="2025-01-07T00:00:00"/>
    <d v="2025-01-19T00:00:00"/>
    <n v="50.82"/>
    <n v="3435.7700000000004"/>
    <n v="965.58"/>
    <n v="12"/>
    <n v="0.28103743847812862"/>
  </r>
  <r>
    <s v="PROD-1477"/>
    <x v="18"/>
    <x v="1"/>
    <s v="S-104"/>
    <x v="1"/>
    <n v="362"/>
    <n v="474.51"/>
    <d v="2025-03-11T00:00:00"/>
    <d v="2025-04-01T00:00:00"/>
    <n v="66.459999999999994"/>
    <n v="171772.62"/>
    <n v="24058.519999999997"/>
    <n v="21"/>
    <n v="0.14006027270236665"/>
  </r>
  <r>
    <s v="PROD-1478"/>
    <x v="8"/>
    <x v="4"/>
    <s v="S-104"/>
    <x v="1"/>
    <n v="247"/>
    <n v="61.03"/>
    <d v="2025-03-07T00:00:00"/>
    <d v="2025-03-12T00:00:00"/>
    <n v="15.78"/>
    <n v="15074.41"/>
    <n v="3897.66"/>
    <n v="5"/>
    <n v="0.2585613632639685"/>
  </r>
  <r>
    <s v="PROD-1479"/>
    <x v="11"/>
    <x v="0"/>
    <s v="S-102"/>
    <x v="4"/>
    <n v="264"/>
    <n v="356.55"/>
    <d v="2025-01-20T00:00:00"/>
    <d v="2025-02-13T00:00:00"/>
    <n v="43.21"/>
    <n v="94129.2"/>
    <n v="11407.44"/>
    <n v="24"/>
    <n v="0.12118917402888796"/>
  </r>
  <r>
    <s v="PROD-1480"/>
    <x v="2"/>
    <x v="2"/>
    <s v="S-104"/>
    <x v="1"/>
    <n v="485"/>
    <n v="302.26"/>
    <d v="2025-03-17T00:00:00"/>
    <d v="2025-03-30T00:00:00"/>
    <n v="80"/>
    <n v="146596.1"/>
    <n v="38800"/>
    <n v="13"/>
    <n v="0.26467279825315954"/>
  </r>
  <r>
    <s v="PROD-1481"/>
    <x v="17"/>
    <x v="3"/>
    <s v="S-105"/>
    <x v="0"/>
    <n v="14"/>
    <n v="390.33"/>
    <d v="2025-01-10T00:00:00"/>
    <d v="2025-01-20T00:00:00"/>
    <n v="70.2"/>
    <n v="5464.62"/>
    <n v="982.80000000000007"/>
    <n v="10"/>
    <n v="0.17984782107447544"/>
  </r>
  <r>
    <s v="PROD-1482"/>
    <x v="12"/>
    <x v="4"/>
    <s v="S-105"/>
    <x v="0"/>
    <n v="134"/>
    <n v="495.15"/>
    <d v="2025-05-23T00:00:00"/>
    <d v="2025-06-18T00:00:00"/>
    <n v="76.28"/>
    <n v="66350.099999999991"/>
    <n v="10221.52"/>
    <n v="26"/>
    <n v="0.15405432697162477"/>
  </r>
  <r>
    <s v="PROD-1483"/>
    <x v="12"/>
    <x v="4"/>
    <s v="S-102"/>
    <x v="4"/>
    <n v="363"/>
    <n v="141.28"/>
    <d v="2025-05-19T00:00:00"/>
    <d v="2025-05-27T00:00:00"/>
    <n v="24.69"/>
    <n v="51284.639999999999"/>
    <n v="8962.4700000000012"/>
    <n v="8"/>
    <n v="0.17475934314835787"/>
  </r>
  <r>
    <s v="PROD-1484"/>
    <x v="7"/>
    <x v="0"/>
    <s v="S-105"/>
    <x v="0"/>
    <n v="208"/>
    <n v="134.72999999999999"/>
    <d v="2025-01-17T00:00:00"/>
    <d v="2025-01-24T00:00:00"/>
    <n v="23.47"/>
    <n v="28023.839999999997"/>
    <n v="4881.76"/>
    <n v="7"/>
    <n v="0.174200252356565"/>
  </r>
  <r>
    <s v="PROD-1485"/>
    <x v="12"/>
    <x v="4"/>
    <s v="S-102"/>
    <x v="4"/>
    <n v="484"/>
    <n v="489.46"/>
    <d v="2025-01-09T00:00:00"/>
    <d v="2025-01-19T00:00:00"/>
    <n v="123.17"/>
    <n v="236898.63999999998"/>
    <n v="59614.28"/>
    <n v="10"/>
    <n v="0.2516446696359253"/>
  </r>
  <r>
    <s v="PROD-1486"/>
    <x v="11"/>
    <x v="0"/>
    <s v="S-105"/>
    <x v="0"/>
    <n v="195"/>
    <n v="304.02999999999997"/>
    <d v="2025-02-03T00:00:00"/>
    <d v="2025-02-09T00:00:00"/>
    <n v="72.52"/>
    <n v="59285.849999999991"/>
    <n v="14141.4"/>
    <n v="6"/>
    <n v="0.23852909252376411"/>
  </r>
  <r>
    <s v="PROD-1487"/>
    <x v="7"/>
    <x v="0"/>
    <s v="S-105"/>
    <x v="0"/>
    <n v="393"/>
    <n v="264.76"/>
    <d v="2025-03-11T00:00:00"/>
    <d v="2025-03-13T00:00:00"/>
    <n v="75.28"/>
    <n v="104050.68"/>
    <n v="29585.040000000001"/>
    <n v="2"/>
    <n v="0.28433298081281161"/>
  </r>
  <r>
    <s v="PROD-1488"/>
    <x v="10"/>
    <x v="1"/>
    <s v="S-104"/>
    <x v="1"/>
    <n v="416"/>
    <n v="76"/>
    <d v="2025-03-27T00:00:00"/>
    <d v="2025-04-21T00:00:00"/>
    <n v="21.48"/>
    <n v="31616"/>
    <n v="8935.68"/>
    <n v="25"/>
    <n v="0.2826315789473684"/>
  </r>
  <r>
    <s v="PROD-1489"/>
    <x v="1"/>
    <x v="1"/>
    <s v="S-101"/>
    <x v="3"/>
    <n v="489"/>
    <n v="191.18"/>
    <d v="2025-02-26T00:00:00"/>
    <d v="2025-03-17T00:00:00"/>
    <n v="27.29"/>
    <n v="93487.02"/>
    <n v="13344.81"/>
    <n v="19"/>
    <n v="0.14274505701433204"/>
  </r>
  <r>
    <s v="PROD-1490"/>
    <x v="14"/>
    <x v="4"/>
    <s v="S-104"/>
    <x v="1"/>
    <n v="407"/>
    <n v="46.47"/>
    <d v="2025-03-04T00:00:00"/>
    <d v="2025-03-24T00:00:00"/>
    <n v="13.45"/>
    <n v="18913.29"/>
    <n v="5474.15"/>
    <n v="20"/>
    <n v="0.28943404346890467"/>
  </r>
  <r>
    <s v="PROD-1491"/>
    <x v="15"/>
    <x v="3"/>
    <s v="S-102"/>
    <x v="4"/>
    <n v="159"/>
    <n v="96.15"/>
    <d v="2025-04-08T00:00:00"/>
    <d v="2025-05-04T00:00:00"/>
    <n v="17.05"/>
    <n v="15287.85"/>
    <n v="2710.9500000000003"/>
    <n v="26"/>
    <n v="0.17732709308372335"/>
  </r>
  <r>
    <s v="PROD-1492"/>
    <x v="17"/>
    <x v="3"/>
    <s v="S-105"/>
    <x v="0"/>
    <n v="387"/>
    <n v="79.2"/>
    <d v="2025-02-20T00:00:00"/>
    <d v="2025-03-02T00:00:00"/>
    <n v="19.86"/>
    <n v="30650.400000000001"/>
    <n v="7685.82"/>
    <n v="10"/>
    <n v="0.25075757575757573"/>
  </r>
  <r>
    <s v="PROD-1493"/>
    <x v="15"/>
    <x v="3"/>
    <s v="S-105"/>
    <x v="0"/>
    <n v="148"/>
    <n v="256.61"/>
    <d v="2025-05-27T00:00:00"/>
    <d v="2025-05-31T00:00:00"/>
    <n v="75.95"/>
    <n v="37978.28"/>
    <n v="11240.6"/>
    <n v="4"/>
    <n v="0.29597443591442268"/>
  </r>
  <r>
    <s v="PROD-1494"/>
    <x v="9"/>
    <x v="1"/>
    <s v="S-101"/>
    <x v="3"/>
    <n v="395"/>
    <n v="247.77"/>
    <d v="2025-03-21T00:00:00"/>
    <d v="2025-04-16T00:00:00"/>
    <n v="58.79"/>
    <n v="97869.150000000009"/>
    <n v="23222.05"/>
    <n v="26"/>
    <n v="0.23727650643742179"/>
  </r>
  <r>
    <s v="PROD-1495"/>
    <x v="7"/>
    <x v="0"/>
    <s v="S-103"/>
    <x v="2"/>
    <n v="147"/>
    <n v="420.31"/>
    <d v="2025-04-18T00:00:00"/>
    <d v="2025-05-15T00:00:00"/>
    <n v="84.44"/>
    <n v="61785.57"/>
    <n v="12412.68"/>
    <n v="27"/>
    <n v="0.2008993362042302"/>
  </r>
  <r>
    <s v="PROD-1496"/>
    <x v="13"/>
    <x v="2"/>
    <s v="S-105"/>
    <x v="0"/>
    <n v="398"/>
    <n v="366.75"/>
    <d v="2025-06-18T00:00:00"/>
    <d v="2025-06-19T00:00:00"/>
    <n v="56.75"/>
    <n v="145966.5"/>
    <n v="22586.5"/>
    <n v="1"/>
    <n v="0.15473755964553509"/>
  </r>
  <r>
    <s v="PROD-1497"/>
    <x v="7"/>
    <x v="0"/>
    <s v="S-105"/>
    <x v="0"/>
    <n v="339"/>
    <n v="90.73"/>
    <d v="2025-06-03T00:00:00"/>
    <d v="2025-06-16T00:00:00"/>
    <n v="9.2799999999999994"/>
    <n v="30757.47"/>
    <n v="3145.9199999999996"/>
    <n v="13"/>
    <n v="0.10228149454425217"/>
  </r>
  <r>
    <s v="PROD-1498"/>
    <x v="1"/>
    <x v="1"/>
    <s v="S-101"/>
    <x v="3"/>
    <n v="466"/>
    <n v="103"/>
    <d v="2025-01-08T00:00:00"/>
    <d v="2025-01-17T00:00:00"/>
    <n v="30.75"/>
    <n v="47998"/>
    <n v="14329.5"/>
    <n v="9"/>
    <n v="0.29854368932038833"/>
  </r>
  <r>
    <s v="PROD-1499"/>
    <x v="3"/>
    <x v="2"/>
    <s v="S-102"/>
    <x v="4"/>
    <n v="394"/>
    <n v="49.43"/>
    <d v="2025-05-07T00:00:00"/>
    <d v="2025-05-22T00:00:00"/>
    <n v="9.5500000000000007"/>
    <n v="19475.419999999998"/>
    <n v="3762.7000000000003"/>
    <n v="15"/>
    <n v="0.19320250859801741"/>
  </r>
  <r>
    <s v="PROD-1500"/>
    <x v="6"/>
    <x v="2"/>
    <s v="S-101"/>
    <x v="3"/>
    <n v="71"/>
    <n v="264.48"/>
    <d v="2025-03-29T00:00:00"/>
    <d v="2025-04-10T00:00:00"/>
    <n v="33.619999999999997"/>
    <n v="18778.080000000002"/>
    <n v="2387.02"/>
    <n v="12"/>
    <n v="0.12711736237144583"/>
  </r>
  <r>
    <s v="PROD-1501"/>
    <x v="4"/>
    <x v="3"/>
    <s v="S-102"/>
    <x v="4"/>
    <n v="494"/>
    <n v="298.39"/>
    <d v="2025-04-20T00:00:00"/>
    <d v="2025-04-25T00:00:00"/>
    <n v="36.200000000000003"/>
    <n v="147404.66"/>
    <n v="17882.800000000003"/>
    <n v="5"/>
    <n v="0.12131773853011162"/>
  </r>
  <r>
    <s v="PROD-1502"/>
    <x v="13"/>
    <x v="2"/>
    <s v="S-104"/>
    <x v="1"/>
    <n v="296"/>
    <n v="205.49"/>
    <d v="2025-04-11T00:00:00"/>
    <d v="2025-04-25T00:00:00"/>
    <n v="38.36"/>
    <n v="60825.04"/>
    <n v="11354.56"/>
    <n v="14"/>
    <n v="0.18667575064480021"/>
  </r>
  <r>
    <s v="PROD-1503"/>
    <x v="18"/>
    <x v="1"/>
    <s v="S-104"/>
    <x v="1"/>
    <n v="214"/>
    <n v="174.47"/>
    <d v="2025-03-02T00:00:00"/>
    <d v="2025-03-19T00:00:00"/>
    <n v="44.3"/>
    <n v="37336.58"/>
    <n v="9480.1999999999989"/>
    <n v="17"/>
    <n v="0.25391184730899291"/>
  </r>
  <r>
    <s v="PROD-1504"/>
    <x v="12"/>
    <x v="4"/>
    <s v="S-103"/>
    <x v="2"/>
    <n v="487"/>
    <n v="444.07"/>
    <d v="2025-06-18T00:00:00"/>
    <d v="2025-06-19T00:00:00"/>
    <n v="45.77"/>
    <n v="216262.09"/>
    <n v="22289.99"/>
    <n v="1"/>
    <n v="0.10306933591550882"/>
  </r>
  <r>
    <s v="PROD-1505"/>
    <x v="6"/>
    <x v="2"/>
    <s v="S-103"/>
    <x v="2"/>
    <n v="111"/>
    <n v="150.99"/>
    <d v="2025-01-27T00:00:00"/>
    <d v="2025-02-17T00:00:00"/>
    <n v="44.76"/>
    <n v="16759.89"/>
    <n v="4968.3599999999997"/>
    <n v="21"/>
    <n v="0.29644347307768726"/>
  </r>
  <r>
    <s v="PROD-1506"/>
    <x v="10"/>
    <x v="1"/>
    <s v="S-101"/>
    <x v="3"/>
    <n v="369"/>
    <n v="432.52"/>
    <d v="2025-06-14T00:00:00"/>
    <d v="2025-07-12T00:00:00"/>
    <n v="110.55"/>
    <n v="159599.88"/>
    <n v="40792.949999999997"/>
    <n v="28"/>
    <n v="0.25559511698880977"/>
  </r>
  <r>
    <s v="PROD-1507"/>
    <x v="2"/>
    <x v="2"/>
    <s v="S-105"/>
    <x v="0"/>
    <n v="403"/>
    <n v="289.01"/>
    <d v="2025-02-06T00:00:00"/>
    <d v="2025-02-08T00:00:00"/>
    <n v="70.319999999999993"/>
    <n v="116471.03"/>
    <n v="28338.959999999995"/>
    <n v="2"/>
    <n v="0.24331338015985604"/>
  </r>
  <r>
    <s v="PROD-1508"/>
    <x v="14"/>
    <x v="4"/>
    <s v="S-103"/>
    <x v="2"/>
    <n v="33"/>
    <n v="341.57"/>
    <d v="2025-02-07T00:00:00"/>
    <d v="2025-03-01T00:00:00"/>
    <n v="45.16"/>
    <n v="11271.81"/>
    <n v="1490.28"/>
    <n v="22"/>
    <n v="0.13221301636560587"/>
  </r>
  <r>
    <s v="PROD-1509"/>
    <x v="8"/>
    <x v="4"/>
    <s v="S-105"/>
    <x v="0"/>
    <n v="302"/>
    <n v="257.55"/>
    <d v="2025-03-16T00:00:00"/>
    <d v="2025-03-25T00:00:00"/>
    <n v="71.03"/>
    <n v="77780.100000000006"/>
    <n v="21451.06"/>
    <n v="9"/>
    <n v="0.27579110852261696"/>
  </r>
  <r>
    <s v="PROD-1510"/>
    <x v="11"/>
    <x v="0"/>
    <s v="S-104"/>
    <x v="1"/>
    <n v="271"/>
    <n v="285.69"/>
    <d v="2025-03-14T00:00:00"/>
    <d v="2025-04-03T00:00:00"/>
    <n v="30.12"/>
    <n v="77421.990000000005"/>
    <n v="8162.52"/>
    <n v="20"/>
    <n v="0.10542896146172426"/>
  </r>
  <r>
    <s v="PROD-1511"/>
    <x v="1"/>
    <x v="1"/>
    <s v="S-105"/>
    <x v="0"/>
    <n v="488"/>
    <n v="122.32"/>
    <d v="2025-05-07T00:00:00"/>
    <d v="2025-05-31T00:00:00"/>
    <n v="18.79"/>
    <n v="59692.159999999996"/>
    <n v="9169.52"/>
    <n v="24"/>
    <n v="0.15361347285807717"/>
  </r>
  <r>
    <s v="PROD-1512"/>
    <x v="3"/>
    <x v="2"/>
    <s v="S-103"/>
    <x v="2"/>
    <n v="494"/>
    <n v="111.13"/>
    <d v="2025-05-29T00:00:00"/>
    <d v="2025-06-18T00:00:00"/>
    <n v="26.65"/>
    <n v="54898.22"/>
    <n v="13165.099999999999"/>
    <n v="20"/>
    <n v="0.23980923243048682"/>
  </r>
  <r>
    <s v="PROD-1513"/>
    <x v="8"/>
    <x v="4"/>
    <s v="S-103"/>
    <x v="2"/>
    <n v="224"/>
    <n v="400.73"/>
    <d v="2025-06-20T00:00:00"/>
    <d v="2025-07-17T00:00:00"/>
    <n v="40.840000000000003"/>
    <n v="89763.520000000004"/>
    <n v="9148.16"/>
    <n v="27"/>
    <n v="0.10191400693733936"/>
  </r>
  <r>
    <s v="PROD-1514"/>
    <x v="11"/>
    <x v="0"/>
    <s v="S-102"/>
    <x v="4"/>
    <n v="86"/>
    <n v="426.04"/>
    <d v="2025-01-14T00:00:00"/>
    <d v="2025-01-31T00:00:00"/>
    <n v="94.51"/>
    <n v="36639.440000000002"/>
    <n v="8127.8600000000006"/>
    <n v="17"/>
    <n v="0.22183363064500985"/>
  </r>
  <r>
    <s v="PROD-1515"/>
    <x v="10"/>
    <x v="1"/>
    <s v="S-101"/>
    <x v="3"/>
    <n v="327"/>
    <n v="484.99"/>
    <d v="2025-05-20T00:00:00"/>
    <d v="2025-06-18T00:00:00"/>
    <n v="70.25"/>
    <n v="158591.73000000001"/>
    <n v="22971.75"/>
    <n v="29"/>
    <n v="0.14484834738860594"/>
  </r>
  <r>
    <s v="PROD-1516"/>
    <x v="8"/>
    <x v="4"/>
    <s v="S-101"/>
    <x v="3"/>
    <n v="396"/>
    <n v="231.09"/>
    <d v="2025-03-07T00:00:00"/>
    <d v="2025-03-24T00:00:00"/>
    <n v="69.239999999999995"/>
    <n v="91511.64"/>
    <n v="27419.039999999997"/>
    <n v="17"/>
    <n v="0.29962352330260933"/>
  </r>
  <r>
    <s v="PROD-1517"/>
    <x v="4"/>
    <x v="3"/>
    <s v="S-104"/>
    <x v="1"/>
    <n v="171"/>
    <n v="139.97"/>
    <d v="2025-02-05T00:00:00"/>
    <d v="2025-02-24T00:00:00"/>
    <n v="27.41"/>
    <n v="23934.87"/>
    <n v="4687.1099999999997"/>
    <n v="19"/>
    <n v="0.19582767735943415"/>
  </r>
  <r>
    <s v="PROD-1518"/>
    <x v="19"/>
    <x v="0"/>
    <s v="S-103"/>
    <x v="2"/>
    <n v="242"/>
    <n v="480.6"/>
    <d v="2025-04-16T00:00:00"/>
    <d v="2025-04-22T00:00:00"/>
    <n v="59.49"/>
    <n v="116305.20000000001"/>
    <n v="14396.58"/>
    <n v="6"/>
    <n v="0.12378277153558052"/>
  </r>
  <r>
    <s v="PROD-1519"/>
    <x v="17"/>
    <x v="3"/>
    <s v="S-102"/>
    <x v="4"/>
    <n v="239"/>
    <n v="499.25"/>
    <d v="2025-06-06T00:00:00"/>
    <d v="2025-06-09T00:00:00"/>
    <n v="146.88"/>
    <n v="119320.75"/>
    <n v="35104.32"/>
    <n v="3"/>
    <n v="0.29420130195292937"/>
  </r>
  <r>
    <s v="PROD-1520"/>
    <x v="16"/>
    <x v="3"/>
    <s v="S-103"/>
    <x v="2"/>
    <n v="369"/>
    <n v="28.34"/>
    <d v="2025-05-12T00:00:00"/>
    <d v="2025-06-06T00:00:00"/>
    <n v="3.67"/>
    <n v="10457.459999999999"/>
    <n v="1354.23"/>
    <n v="25"/>
    <n v="0.12949894142554694"/>
  </r>
  <r>
    <s v="PROD-1521"/>
    <x v="5"/>
    <x v="4"/>
    <s v="S-102"/>
    <x v="4"/>
    <n v="56"/>
    <n v="166.1"/>
    <d v="2025-05-22T00:00:00"/>
    <d v="2025-06-19T00:00:00"/>
    <n v="17.37"/>
    <n v="9301.6"/>
    <n v="972.72"/>
    <n v="28"/>
    <n v="0.1045755568934377"/>
  </r>
  <r>
    <s v="PROD-1522"/>
    <x v="5"/>
    <x v="4"/>
    <s v="S-102"/>
    <x v="4"/>
    <n v="107"/>
    <n v="107.23"/>
    <d v="2025-03-27T00:00:00"/>
    <d v="2025-04-21T00:00:00"/>
    <n v="24.7"/>
    <n v="11473.61"/>
    <n v="2642.9"/>
    <n v="25"/>
    <n v="0.23034598526531752"/>
  </r>
  <r>
    <s v="PROD-1523"/>
    <x v="17"/>
    <x v="3"/>
    <s v="S-104"/>
    <x v="1"/>
    <n v="431"/>
    <n v="491.34"/>
    <d v="2025-04-17T00:00:00"/>
    <d v="2025-05-07T00:00:00"/>
    <n v="116.97"/>
    <n v="211767.53999999998"/>
    <n v="50414.07"/>
    <n v="20"/>
    <n v="0.23806325558676275"/>
  </r>
  <r>
    <s v="PROD-1524"/>
    <x v="4"/>
    <x v="3"/>
    <s v="S-103"/>
    <x v="2"/>
    <n v="413"/>
    <n v="428.25"/>
    <d v="2025-04-04T00:00:00"/>
    <d v="2025-04-28T00:00:00"/>
    <n v="95.22"/>
    <n v="176867.25"/>
    <n v="39325.86"/>
    <n v="24"/>
    <n v="0.22234676007005252"/>
  </r>
  <r>
    <s v="PROD-1525"/>
    <x v="8"/>
    <x v="4"/>
    <s v="S-105"/>
    <x v="0"/>
    <n v="279"/>
    <n v="360.32"/>
    <d v="2025-01-03T00:00:00"/>
    <d v="2025-01-23T00:00:00"/>
    <n v="61.74"/>
    <n v="100529.28"/>
    <n v="17225.46"/>
    <n v="20"/>
    <n v="0.17134769094138544"/>
  </r>
  <r>
    <s v="PROD-1526"/>
    <x v="14"/>
    <x v="4"/>
    <s v="S-104"/>
    <x v="1"/>
    <n v="141"/>
    <n v="192.61"/>
    <d v="2025-02-17T00:00:00"/>
    <d v="2025-02-23T00:00:00"/>
    <n v="23.35"/>
    <n v="27158.010000000002"/>
    <n v="3292.3500000000004"/>
    <n v="6"/>
    <n v="0.12122942734022117"/>
  </r>
  <r>
    <s v="PROD-1527"/>
    <x v="7"/>
    <x v="0"/>
    <s v="S-102"/>
    <x v="4"/>
    <n v="299"/>
    <n v="180.82"/>
    <d v="2025-04-27T00:00:00"/>
    <d v="2025-05-14T00:00:00"/>
    <n v="21.01"/>
    <n v="54065.18"/>
    <n v="6281.9900000000007"/>
    <n v="17"/>
    <n v="0.11619289901559564"/>
  </r>
  <r>
    <s v="PROD-1528"/>
    <x v="7"/>
    <x v="0"/>
    <s v="S-103"/>
    <x v="2"/>
    <n v="34"/>
    <n v="25.25"/>
    <d v="2025-02-10T00:00:00"/>
    <d v="2025-02-28T00:00:00"/>
    <n v="4.3499999999999996"/>
    <n v="858.5"/>
    <n v="147.89999999999998"/>
    <n v="18"/>
    <n v="0.17227722772277226"/>
  </r>
  <r>
    <s v="PROD-1529"/>
    <x v="7"/>
    <x v="0"/>
    <s v="S-105"/>
    <x v="0"/>
    <n v="59"/>
    <n v="300.45"/>
    <d v="2025-02-19T00:00:00"/>
    <d v="2025-02-24T00:00:00"/>
    <n v="47.02"/>
    <n v="17726.55"/>
    <n v="2774.1800000000003"/>
    <n v="5"/>
    <n v="0.15649858545515064"/>
  </r>
  <r>
    <s v="PROD-1530"/>
    <x v="18"/>
    <x v="1"/>
    <s v="S-102"/>
    <x v="4"/>
    <n v="433"/>
    <n v="497.73"/>
    <d v="2025-05-04T00:00:00"/>
    <d v="2025-05-05T00:00:00"/>
    <n v="59.6"/>
    <n v="215517.09"/>
    <n v="25806.799999999999"/>
    <n v="1"/>
    <n v="0.11974363610793"/>
  </r>
  <r>
    <s v="PROD-1531"/>
    <x v="5"/>
    <x v="4"/>
    <s v="S-104"/>
    <x v="1"/>
    <n v="21"/>
    <n v="109.29"/>
    <d v="2025-06-05T00:00:00"/>
    <d v="2025-06-13T00:00:00"/>
    <n v="22.75"/>
    <n v="2295.09"/>
    <n v="477.75"/>
    <n v="8"/>
    <n v="0.20816177143379996"/>
  </r>
  <r>
    <s v="PROD-1532"/>
    <x v="10"/>
    <x v="1"/>
    <s v="S-102"/>
    <x v="4"/>
    <n v="279"/>
    <n v="194.62"/>
    <d v="2025-06-14T00:00:00"/>
    <d v="2025-06-17T00:00:00"/>
    <n v="50.41"/>
    <n v="54298.98"/>
    <n v="14064.39"/>
    <n v="3"/>
    <n v="0.25901757270578563"/>
  </r>
  <r>
    <s v="PROD-1533"/>
    <x v="8"/>
    <x v="4"/>
    <s v="S-101"/>
    <x v="3"/>
    <n v="426"/>
    <n v="337.91"/>
    <d v="2025-05-09T00:00:00"/>
    <d v="2025-05-14T00:00:00"/>
    <n v="87.18"/>
    <n v="143949.66"/>
    <n v="37138.68"/>
    <n v="5"/>
    <n v="0.25799769169305437"/>
  </r>
  <r>
    <s v="PROD-1534"/>
    <x v="16"/>
    <x v="3"/>
    <s v="S-104"/>
    <x v="1"/>
    <n v="477"/>
    <n v="38.01"/>
    <d v="2025-04-25T00:00:00"/>
    <d v="2025-05-19T00:00:00"/>
    <n v="6.02"/>
    <n v="18130.77"/>
    <n v="2871.54"/>
    <n v="24"/>
    <n v="0.15837937384898709"/>
  </r>
  <r>
    <s v="PROD-1535"/>
    <x v="7"/>
    <x v="0"/>
    <s v="S-103"/>
    <x v="2"/>
    <n v="357"/>
    <n v="167.5"/>
    <d v="2025-02-08T00:00:00"/>
    <d v="2025-02-12T00:00:00"/>
    <n v="31.49"/>
    <n v="59797.5"/>
    <n v="11241.93"/>
    <n v="4"/>
    <n v="0.188"/>
  </r>
  <r>
    <s v="PROD-1536"/>
    <x v="0"/>
    <x v="0"/>
    <s v="S-105"/>
    <x v="0"/>
    <n v="412"/>
    <n v="130.79"/>
    <d v="2025-05-16T00:00:00"/>
    <d v="2025-05-27T00:00:00"/>
    <n v="38.6"/>
    <n v="53885.479999999996"/>
    <n v="15903.2"/>
    <n v="11"/>
    <n v="0.29512959706399577"/>
  </r>
  <r>
    <s v="PROD-1537"/>
    <x v="18"/>
    <x v="1"/>
    <s v="S-102"/>
    <x v="4"/>
    <n v="87"/>
    <n v="358.36"/>
    <d v="2025-02-25T00:00:00"/>
    <d v="2025-03-17T00:00:00"/>
    <n v="103.23"/>
    <n v="31177.32"/>
    <n v="8981.01"/>
    <n v="20"/>
    <n v="0.28806228373702419"/>
  </r>
  <r>
    <s v="PROD-1538"/>
    <x v="16"/>
    <x v="3"/>
    <s v="S-102"/>
    <x v="4"/>
    <n v="452"/>
    <n v="475.1"/>
    <d v="2025-02-05T00:00:00"/>
    <d v="2025-02-19T00:00:00"/>
    <n v="97.51"/>
    <n v="214745.2"/>
    <n v="44074.520000000004"/>
    <n v="14"/>
    <n v="0.20524100189433803"/>
  </r>
  <r>
    <s v="PROD-1539"/>
    <x v="14"/>
    <x v="4"/>
    <s v="S-102"/>
    <x v="4"/>
    <n v="358"/>
    <n v="351.43"/>
    <d v="2025-06-02T00:00:00"/>
    <d v="2025-06-12T00:00:00"/>
    <n v="64.72"/>
    <n v="125811.94"/>
    <n v="23169.759999999998"/>
    <n v="10"/>
    <n v="0.18416185300059756"/>
  </r>
  <r>
    <s v="PROD-1540"/>
    <x v="11"/>
    <x v="0"/>
    <s v="S-104"/>
    <x v="1"/>
    <n v="351"/>
    <n v="104.31"/>
    <d v="2025-05-15T00:00:00"/>
    <d v="2025-06-03T00:00:00"/>
    <n v="26.7"/>
    <n v="36612.81"/>
    <n v="9371.6999999999989"/>
    <n v="19"/>
    <n v="0.25596778832326716"/>
  </r>
  <r>
    <s v="PROD-1541"/>
    <x v="2"/>
    <x v="2"/>
    <s v="S-102"/>
    <x v="4"/>
    <n v="307"/>
    <n v="154.22"/>
    <d v="2025-03-08T00:00:00"/>
    <d v="2025-04-07T00:00:00"/>
    <n v="31.71"/>
    <n v="47345.54"/>
    <n v="9734.9700000000012"/>
    <n v="30"/>
    <n v="0.2056153546881079"/>
  </r>
  <r>
    <s v="PROD-1542"/>
    <x v="17"/>
    <x v="3"/>
    <s v="S-102"/>
    <x v="4"/>
    <n v="141"/>
    <n v="254.32"/>
    <d v="2025-01-25T00:00:00"/>
    <d v="2025-01-29T00:00:00"/>
    <n v="53.77"/>
    <n v="35859.120000000003"/>
    <n v="7581.5700000000006"/>
    <n v="4"/>
    <n v="0.21142654922931742"/>
  </r>
  <r>
    <s v="PROD-1543"/>
    <x v="1"/>
    <x v="1"/>
    <s v="S-103"/>
    <x v="2"/>
    <n v="255"/>
    <n v="7.9"/>
    <d v="2025-02-04T00:00:00"/>
    <d v="2025-02-21T00:00:00"/>
    <n v="1.52"/>
    <n v="2014.5"/>
    <n v="387.6"/>
    <n v="17"/>
    <n v="0.19240506329113924"/>
  </r>
  <r>
    <s v="PROD-1544"/>
    <x v="1"/>
    <x v="1"/>
    <s v="S-103"/>
    <x v="2"/>
    <n v="249"/>
    <n v="425.62"/>
    <d v="2025-02-23T00:00:00"/>
    <d v="2025-03-16T00:00:00"/>
    <n v="62.79"/>
    <n v="105979.38"/>
    <n v="15634.71"/>
    <n v="21"/>
    <n v="0.14752596212583996"/>
  </r>
  <r>
    <s v="PROD-1545"/>
    <x v="0"/>
    <x v="0"/>
    <s v="S-105"/>
    <x v="0"/>
    <n v="362"/>
    <n v="425.5"/>
    <d v="2025-01-17T00:00:00"/>
    <d v="2025-01-23T00:00:00"/>
    <n v="119.59"/>
    <n v="154031"/>
    <n v="43291.58"/>
    <n v="6"/>
    <n v="0.28105757931844888"/>
  </r>
  <r>
    <s v="PROD-1546"/>
    <x v="3"/>
    <x v="2"/>
    <s v="S-104"/>
    <x v="1"/>
    <n v="375"/>
    <n v="182.69"/>
    <d v="2025-05-22T00:00:00"/>
    <d v="2025-06-17T00:00:00"/>
    <n v="21.01"/>
    <n v="68508.75"/>
    <n v="7878.7500000000009"/>
    <n v="26"/>
    <n v="0.11500355793967924"/>
  </r>
  <r>
    <s v="PROD-1547"/>
    <x v="13"/>
    <x v="2"/>
    <s v="S-103"/>
    <x v="2"/>
    <n v="128"/>
    <n v="424.62"/>
    <d v="2025-05-28T00:00:00"/>
    <d v="2025-06-13T00:00:00"/>
    <n v="90.37"/>
    <n v="54351.360000000001"/>
    <n v="11567.36"/>
    <n v="16"/>
    <n v="0.21282558522914607"/>
  </r>
  <r>
    <s v="PROD-1548"/>
    <x v="6"/>
    <x v="2"/>
    <s v="S-104"/>
    <x v="1"/>
    <n v="223"/>
    <n v="181.99"/>
    <d v="2025-03-18T00:00:00"/>
    <d v="2025-04-09T00:00:00"/>
    <n v="20.96"/>
    <n v="40583.770000000004"/>
    <n v="4674.08"/>
    <n v="22"/>
    <n v="0.11517116325072806"/>
  </r>
  <r>
    <s v="PROD-1549"/>
    <x v="15"/>
    <x v="3"/>
    <s v="S-105"/>
    <x v="0"/>
    <n v="85"/>
    <n v="219.85"/>
    <d v="2025-04-03T00:00:00"/>
    <d v="2025-04-28T00:00:00"/>
    <n v="52.16"/>
    <n v="18687.25"/>
    <n v="4433.5999999999995"/>
    <n v="25"/>
    <n v="0.2372526722765522"/>
  </r>
  <r>
    <s v="PROD-1550"/>
    <x v="16"/>
    <x v="3"/>
    <s v="S-102"/>
    <x v="4"/>
    <n v="250"/>
    <n v="488.13"/>
    <d v="2025-05-27T00:00:00"/>
    <d v="2025-06-13T00:00:00"/>
    <n v="80.86"/>
    <n v="122032.5"/>
    <n v="20215"/>
    <n v="17"/>
    <n v="0.16565259254706738"/>
  </r>
  <r>
    <s v="PROD-1551"/>
    <x v="0"/>
    <x v="0"/>
    <s v="S-102"/>
    <x v="4"/>
    <n v="481"/>
    <n v="372.42"/>
    <d v="2025-01-24T00:00:00"/>
    <d v="2025-02-02T00:00:00"/>
    <n v="42.08"/>
    <n v="179134.02000000002"/>
    <n v="20240.48"/>
    <n v="9"/>
    <n v="0.11299070941410234"/>
  </r>
  <r>
    <s v="PROD-1552"/>
    <x v="0"/>
    <x v="0"/>
    <s v="S-105"/>
    <x v="0"/>
    <n v="304"/>
    <n v="316.06"/>
    <d v="2025-06-09T00:00:00"/>
    <d v="2025-06-30T00:00:00"/>
    <n v="65.319999999999993"/>
    <n v="96082.240000000005"/>
    <n v="19857.28"/>
    <n v="21"/>
    <n v="0.20666961969246345"/>
  </r>
  <r>
    <s v="PROD-1553"/>
    <x v="10"/>
    <x v="1"/>
    <s v="S-103"/>
    <x v="2"/>
    <n v="229"/>
    <n v="357.25"/>
    <d v="2025-06-04T00:00:00"/>
    <d v="2025-06-25T00:00:00"/>
    <n v="85.69"/>
    <n v="81810.25"/>
    <n v="19623.009999999998"/>
    <n v="21"/>
    <n v="0.23986004198740377"/>
  </r>
  <r>
    <s v="PROD-1554"/>
    <x v="17"/>
    <x v="3"/>
    <s v="S-101"/>
    <x v="3"/>
    <n v="149"/>
    <n v="352.66"/>
    <d v="2025-02-11T00:00:00"/>
    <d v="2025-02-28T00:00:00"/>
    <n v="102.24"/>
    <n v="52546.340000000004"/>
    <n v="15233.759999999998"/>
    <n v="17"/>
    <n v="0.28991096240004532"/>
  </r>
  <r>
    <s v="PROD-1555"/>
    <x v="3"/>
    <x v="2"/>
    <s v="S-104"/>
    <x v="1"/>
    <n v="194"/>
    <n v="316.49"/>
    <d v="2025-01-17T00:00:00"/>
    <d v="2025-01-25T00:00:00"/>
    <n v="73.61"/>
    <n v="61399.060000000005"/>
    <n v="14280.34"/>
    <n v="8"/>
    <n v="0.23258238806913331"/>
  </r>
  <r>
    <s v="PROD-1556"/>
    <x v="4"/>
    <x v="3"/>
    <s v="S-103"/>
    <x v="2"/>
    <n v="292"/>
    <n v="412.7"/>
    <d v="2025-02-23T00:00:00"/>
    <d v="2025-03-12T00:00:00"/>
    <n v="59.82"/>
    <n v="120508.4"/>
    <n v="17467.439999999999"/>
    <n v="17"/>
    <n v="0.14494790404652291"/>
  </r>
  <r>
    <s v="PROD-1557"/>
    <x v="7"/>
    <x v="0"/>
    <s v="S-101"/>
    <x v="3"/>
    <n v="451"/>
    <n v="6.1"/>
    <d v="2025-03-14T00:00:00"/>
    <d v="2025-04-03T00:00:00"/>
    <n v="0.88"/>
    <n v="2751.1"/>
    <n v="396.88"/>
    <n v="20"/>
    <n v="0.14426229508196722"/>
  </r>
  <r>
    <s v="PROD-1558"/>
    <x v="7"/>
    <x v="0"/>
    <s v="S-103"/>
    <x v="2"/>
    <n v="346"/>
    <n v="406.48"/>
    <d v="2025-02-23T00:00:00"/>
    <d v="2025-03-11T00:00:00"/>
    <n v="48.57"/>
    <n v="140642.08000000002"/>
    <n v="16805.22"/>
    <n v="16"/>
    <n v="0.11948927376500688"/>
  </r>
  <r>
    <s v="PROD-1559"/>
    <x v="17"/>
    <x v="3"/>
    <s v="S-105"/>
    <x v="0"/>
    <n v="120"/>
    <n v="229.36"/>
    <d v="2025-06-21T00:00:00"/>
    <d v="2025-06-22T00:00:00"/>
    <n v="46.8"/>
    <n v="27523.200000000001"/>
    <n v="5616"/>
    <n v="1"/>
    <n v="0.20404604115800487"/>
  </r>
  <r>
    <s v="PROD-1560"/>
    <x v="10"/>
    <x v="1"/>
    <s v="S-102"/>
    <x v="4"/>
    <n v="98"/>
    <n v="483.95"/>
    <d v="2025-04-08T00:00:00"/>
    <d v="2025-04-30T00:00:00"/>
    <n v="59.28"/>
    <n v="47427.1"/>
    <n v="5809.4400000000005"/>
    <n v="22"/>
    <n v="0.12249199297448084"/>
  </r>
  <r>
    <s v="PROD-1561"/>
    <x v="8"/>
    <x v="4"/>
    <s v="S-102"/>
    <x v="4"/>
    <n v="30"/>
    <n v="282.06"/>
    <d v="2025-01-19T00:00:00"/>
    <d v="2025-02-06T00:00:00"/>
    <n v="82.67"/>
    <n v="8461.7999999999993"/>
    <n v="2480.1"/>
    <n v="18"/>
    <n v="0.29309366801389775"/>
  </r>
  <r>
    <s v="PROD-1562"/>
    <x v="16"/>
    <x v="3"/>
    <s v="S-104"/>
    <x v="1"/>
    <n v="426"/>
    <n v="40.159999999999997"/>
    <d v="2025-02-03T00:00:00"/>
    <d v="2025-02-15T00:00:00"/>
    <n v="9.18"/>
    <n v="17108.16"/>
    <n v="3910.68"/>
    <n v="12"/>
    <n v="0.22858565737051795"/>
  </r>
  <r>
    <s v="PROD-1563"/>
    <x v="19"/>
    <x v="0"/>
    <s v="S-102"/>
    <x v="4"/>
    <n v="390"/>
    <n v="314.87"/>
    <d v="2025-02-09T00:00:00"/>
    <d v="2025-03-05T00:00:00"/>
    <n v="77.489999999999995"/>
    <n v="122799.3"/>
    <n v="30221.1"/>
    <n v="24"/>
    <n v="0.24610156572553751"/>
  </r>
  <r>
    <s v="PROD-1564"/>
    <x v="19"/>
    <x v="0"/>
    <s v="S-103"/>
    <x v="2"/>
    <n v="182"/>
    <n v="351.87"/>
    <d v="2025-04-13T00:00:00"/>
    <d v="2025-04-23T00:00:00"/>
    <n v="102.03"/>
    <n v="64040.340000000004"/>
    <n v="18569.46"/>
    <n v="10"/>
    <n v="0.28996504390826155"/>
  </r>
  <r>
    <s v="PROD-1565"/>
    <x v="12"/>
    <x v="4"/>
    <s v="S-102"/>
    <x v="4"/>
    <n v="49"/>
    <n v="440.41"/>
    <d v="2025-03-03T00:00:00"/>
    <d v="2025-03-19T00:00:00"/>
    <n v="109.11"/>
    <n v="21580.09"/>
    <n v="5346.39"/>
    <n v="16"/>
    <n v="0.2477464181103971"/>
  </r>
  <r>
    <s v="PROD-1566"/>
    <x v="1"/>
    <x v="1"/>
    <s v="S-105"/>
    <x v="0"/>
    <n v="252"/>
    <n v="438.37"/>
    <d v="2025-04-06T00:00:00"/>
    <d v="2025-04-11T00:00:00"/>
    <n v="58.02"/>
    <n v="110469.24"/>
    <n v="14621.04"/>
    <n v="5"/>
    <n v="0.13235394757852956"/>
  </r>
  <r>
    <s v="PROD-1567"/>
    <x v="15"/>
    <x v="3"/>
    <s v="S-102"/>
    <x v="4"/>
    <n v="169"/>
    <n v="199.09"/>
    <d v="2025-02-23T00:00:00"/>
    <d v="2025-02-25T00:00:00"/>
    <n v="36.78"/>
    <n v="33646.21"/>
    <n v="6215.8200000000006"/>
    <n v="2"/>
    <n v="0.18474056959164198"/>
  </r>
  <r>
    <s v="PROD-1568"/>
    <x v="14"/>
    <x v="4"/>
    <s v="S-104"/>
    <x v="1"/>
    <n v="65"/>
    <n v="387.69"/>
    <d v="2025-05-24T00:00:00"/>
    <d v="2025-05-26T00:00:00"/>
    <n v="55.19"/>
    <n v="25199.85"/>
    <n v="3587.35"/>
    <n v="2"/>
    <n v="0.14235600608733781"/>
  </r>
  <r>
    <s v="PROD-1569"/>
    <x v="10"/>
    <x v="1"/>
    <s v="S-105"/>
    <x v="0"/>
    <n v="343"/>
    <n v="484.89"/>
    <d v="2025-05-26T00:00:00"/>
    <d v="2025-06-17T00:00:00"/>
    <n v="102.37"/>
    <n v="166317.26999999999"/>
    <n v="35112.910000000003"/>
    <n v="22"/>
    <n v="0.21112004784590321"/>
  </r>
  <r>
    <s v="PROD-1570"/>
    <x v="18"/>
    <x v="1"/>
    <s v="S-103"/>
    <x v="2"/>
    <n v="410"/>
    <n v="262.77"/>
    <d v="2025-03-21T00:00:00"/>
    <d v="2025-03-23T00:00:00"/>
    <n v="45.19"/>
    <n v="107735.7"/>
    <n v="18527.899999999998"/>
    <n v="2"/>
    <n v="0.17197549187502378"/>
  </r>
  <r>
    <s v="PROD-1571"/>
    <x v="14"/>
    <x v="4"/>
    <s v="S-104"/>
    <x v="1"/>
    <n v="387"/>
    <n v="497.46"/>
    <d v="2025-03-25T00:00:00"/>
    <d v="2025-04-13T00:00:00"/>
    <n v="132.94"/>
    <n v="192517.02"/>
    <n v="51447.78"/>
    <n v="19"/>
    <n v="0.26723756683954492"/>
  </r>
  <r>
    <s v="PROD-1572"/>
    <x v="12"/>
    <x v="4"/>
    <s v="S-105"/>
    <x v="0"/>
    <n v="377"/>
    <n v="268.48"/>
    <d v="2025-06-28T00:00:00"/>
    <d v="2025-06-30T00:00:00"/>
    <n v="70.150000000000006"/>
    <n v="101216.96000000001"/>
    <n v="26446.550000000003"/>
    <n v="2"/>
    <n v="0.26128575685339689"/>
  </r>
  <r>
    <s v="PROD-1573"/>
    <x v="3"/>
    <x v="2"/>
    <s v="S-103"/>
    <x v="2"/>
    <n v="453"/>
    <n v="121.21"/>
    <d v="2025-06-22T00:00:00"/>
    <d v="2025-07-12T00:00:00"/>
    <n v="28.84"/>
    <n v="54908.13"/>
    <n v="13064.52"/>
    <n v="20"/>
    <n v="0.23793416384786734"/>
  </r>
  <r>
    <s v="PROD-1574"/>
    <x v="6"/>
    <x v="2"/>
    <s v="S-104"/>
    <x v="1"/>
    <n v="432"/>
    <n v="70.5"/>
    <d v="2025-01-04T00:00:00"/>
    <d v="2025-01-27T00:00:00"/>
    <n v="10.37"/>
    <n v="30456"/>
    <n v="4479.8399999999992"/>
    <n v="23"/>
    <n v="0.14709219858156028"/>
  </r>
  <r>
    <s v="PROD-1575"/>
    <x v="12"/>
    <x v="4"/>
    <s v="S-103"/>
    <x v="2"/>
    <n v="205"/>
    <n v="152.08000000000001"/>
    <d v="2025-03-25T00:00:00"/>
    <d v="2025-04-22T00:00:00"/>
    <n v="26.39"/>
    <n v="31176.400000000001"/>
    <n v="5409.95"/>
    <n v="28"/>
    <n v="0.17352709100473435"/>
  </r>
  <r>
    <s v="PROD-1576"/>
    <x v="11"/>
    <x v="0"/>
    <s v="S-105"/>
    <x v="0"/>
    <n v="150"/>
    <n v="461.73"/>
    <d v="2025-05-30T00:00:00"/>
    <d v="2025-06-16T00:00:00"/>
    <n v="67.5"/>
    <n v="69259.5"/>
    <n v="10125"/>
    <n v="17"/>
    <n v="0.1461893314274576"/>
  </r>
  <r>
    <s v="PROD-1577"/>
    <x v="17"/>
    <x v="3"/>
    <s v="S-101"/>
    <x v="3"/>
    <n v="266"/>
    <n v="9.74"/>
    <d v="2025-01-31T00:00:00"/>
    <d v="2025-02-07T00:00:00"/>
    <n v="1.8"/>
    <n v="2590.84"/>
    <n v="478.8"/>
    <n v="7"/>
    <n v="0.18480492813141683"/>
  </r>
  <r>
    <s v="PROD-1578"/>
    <x v="5"/>
    <x v="4"/>
    <s v="S-101"/>
    <x v="3"/>
    <n v="136"/>
    <n v="184.4"/>
    <d v="2025-03-05T00:00:00"/>
    <d v="2025-03-25T00:00:00"/>
    <n v="32.729999999999997"/>
    <n v="25078.400000000001"/>
    <n v="4451.28"/>
    <n v="20"/>
    <n v="0.17749457700650756"/>
  </r>
  <r>
    <s v="PROD-1579"/>
    <x v="14"/>
    <x v="4"/>
    <s v="S-102"/>
    <x v="4"/>
    <n v="103"/>
    <n v="84.97"/>
    <d v="2025-01-10T00:00:00"/>
    <d v="2025-01-30T00:00:00"/>
    <n v="13.24"/>
    <n v="8751.91"/>
    <n v="1363.72"/>
    <n v="20"/>
    <n v="0.15581970107096624"/>
  </r>
  <r>
    <s v="PROD-1580"/>
    <x v="12"/>
    <x v="4"/>
    <s v="S-105"/>
    <x v="0"/>
    <n v="199"/>
    <n v="33.32"/>
    <d v="2025-01-02T00:00:00"/>
    <d v="2025-01-24T00:00:00"/>
    <n v="8.92"/>
    <n v="6630.68"/>
    <n v="1775.08"/>
    <n v="22"/>
    <n v="0.26770708283313327"/>
  </r>
  <r>
    <s v="PROD-1581"/>
    <x v="3"/>
    <x v="2"/>
    <s v="S-105"/>
    <x v="0"/>
    <n v="43"/>
    <n v="106.93"/>
    <d v="2025-04-17T00:00:00"/>
    <d v="2025-04-27T00:00:00"/>
    <n v="15.08"/>
    <n v="4597.9900000000007"/>
    <n v="648.44000000000005"/>
    <n v="10"/>
    <n v="0.14102683998877769"/>
  </r>
  <r>
    <s v="PROD-1582"/>
    <x v="19"/>
    <x v="0"/>
    <s v="S-104"/>
    <x v="1"/>
    <n v="272"/>
    <n v="263.61"/>
    <d v="2025-05-19T00:00:00"/>
    <d v="2025-06-01T00:00:00"/>
    <n v="77.61"/>
    <n v="71701.919999999998"/>
    <n v="21109.919999999998"/>
    <n v="13"/>
    <n v="0.29441219984067368"/>
  </r>
  <r>
    <s v="PROD-1583"/>
    <x v="8"/>
    <x v="4"/>
    <s v="S-104"/>
    <x v="1"/>
    <n v="57"/>
    <n v="425.48"/>
    <d v="2025-06-27T00:00:00"/>
    <d v="2025-07-17T00:00:00"/>
    <n v="65.25"/>
    <n v="24252.36"/>
    <n v="3719.25"/>
    <n v="20"/>
    <n v="0.15335620945755382"/>
  </r>
  <r>
    <s v="PROD-1584"/>
    <x v="6"/>
    <x v="2"/>
    <s v="S-104"/>
    <x v="1"/>
    <n v="443"/>
    <n v="7.99"/>
    <d v="2025-01-11T00:00:00"/>
    <d v="2025-01-20T00:00:00"/>
    <n v="2.02"/>
    <n v="3539.57"/>
    <n v="894.86"/>
    <n v="9"/>
    <n v="0.25281602002503129"/>
  </r>
  <r>
    <s v="PROD-1585"/>
    <x v="10"/>
    <x v="1"/>
    <s v="S-102"/>
    <x v="4"/>
    <n v="60"/>
    <n v="348.74"/>
    <d v="2025-04-14T00:00:00"/>
    <d v="2025-04-21T00:00:00"/>
    <n v="79.290000000000006"/>
    <n v="20924.400000000001"/>
    <n v="4757.4000000000005"/>
    <n v="7"/>
    <n v="0.22736135803177154"/>
  </r>
  <r>
    <s v="PROD-1586"/>
    <x v="10"/>
    <x v="1"/>
    <s v="S-104"/>
    <x v="1"/>
    <n v="300"/>
    <n v="371.43"/>
    <d v="2025-05-10T00:00:00"/>
    <d v="2025-06-03T00:00:00"/>
    <n v="78.09"/>
    <n v="111429"/>
    <n v="23427"/>
    <n v="24"/>
    <n v="0.21024149907115741"/>
  </r>
  <r>
    <s v="PROD-1587"/>
    <x v="12"/>
    <x v="4"/>
    <s v="S-105"/>
    <x v="0"/>
    <n v="432"/>
    <n v="407.65"/>
    <d v="2025-04-27T00:00:00"/>
    <d v="2025-05-25T00:00:00"/>
    <n v="93.19"/>
    <n v="176104.8"/>
    <n v="40258.080000000002"/>
    <n v="28"/>
    <n v="0.22860296823255244"/>
  </r>
  <r>
    <s v="PROD-1588"/>
    <x v="1"/>
    <x v="1"/>
    <s v="S-104"/>
    <x v="1"/>
    <n v="368"/>
    <n v="418.08"/>
    <d v="2025-01-04T00:00:00"/>
    <d v="2025-01-25T00:00:00"/>
    <n v="105.44"/>
    <n v="153853.44"/>
    <n v="38801.919999999998"/>
    <n v="21"/>
    <n v="0.25220053578262536"/>
  </r>
  <r>
    <s v="PROD-1589"/>
    <x v="9"/>
    <x v="1"/>
    <s v="S-104"/>
    <x v="1"/>
    <n v="220"/>
    <n v="369.57"/>
    <d v="2025-01-06T00:00:00"/>
    <d v="2025-01-15T00:00:00"/>
    <n v="77.040000000000006"/>
    <n v="81305.399999999994"/>
    <n v="16948.800000000003"/>
    <n v="9"/>
    <n v="0.20845847877262766"/>
  </r>
  <r>
    <s v="PROD-1590"/>
    <x v="6"/>
    <x v="2"/>
    <s v="S-102"/>
    <x v="4"/>
    <n v="404"/>
    <n v="413.13"/>
    <d v="2025-02-26T00:00:00"/>
    <d v="2025-03-18T00:00:00"/>
    <n v="56.11"/>
    <n v="166904.51999999999"/>
    <n v="22668.44"/>
    <n v="20"/>
    <n v="0.13581681310967492"/>
  </r>
  <r>
    <s v="PROD-1591"/>
    <x v="0"/>
    <x v="0"/>
    <s v="S-101"/>
    <x v="3"/>
    <n v="198"/>
    <n v="135.91999999999999"/>
    <d v="2025-02-12T00:00:00"/>
    <d v="2025-03-02T00:00:00"/>
    <n v="37"/>
    <n v="26912.159999999996"/>
    <n v="7326"/>
    <n v="18"/>
    <n v="0.27221895232489701"/>
  </r>
  <r>
    <s v="PROD-1592"/>
    <x v="1"/>
    <x v="1"/>
    <s v="S-102"/>
    <x v="4"/>
    <n v="195"/>
    <n v="484.31"/>
    <d v="2025-01-14T00:00:00"/>
    <d v="2025-02-04T00:00:00"/>
    <n v="126.13"/>
    <n v="94440.45"/>
    <n v="24595.35"/>
    <n v="21"/>
    <n v="0.26043236769837502"/>
  </r>
  <r>
    <s v="PROD-1593"/>
    <x v="4"/>
    <x v="3"/>
    <s v="S-103"/>
    <x v="2"/>
    <n v="344"/>
    <n v="9.32"/>
    <d v="2025-02-14T00:00:00"/>
    <d v="2025-03-03T00:00:00"/>
    <n v="1.97"/>
    <n v="3206.08"/>
    <n v="677.68"/>
    <n v="17"/>
    <n v="0.21137339055793991"/>
  </r>
  <r>
    <s v="PROD-1594"/>
    <x v="0"/>
    <x v="0"/>
    <s v="S-104"/>
    <x v="1"/>
    <n v="68"/>
    <n v="419.01"/>
    <d v="2025-06-08T00:00:00"/>
    <d v="2025-06-27T00:00:00"/>
    <n v="55.56"/>
    <n v="28492.68"/>
    <n v="3778.08"/>
    <n v="19"/>
    <n v="0.13259826734445479"/>
  </r>
  <r>
    <s v="PROD-1595"/>
    <x v="17"/>
    <x v="3"/>
    <s v="S-103"/>
    <x v="2"/>
    <n v="388"/>
    <n v="197.07"/>
    <d v="2025-06-12T00:00:00"/>
    <d v="2025-06-29T00:00:00"/>
    <n v="19.88"/>
    <n v="76463.16"/>
    <n v="7713.44"/>
    <n v="17"/>
    <n v="0.1008778606586492"/>
  </r>
  <r>
    <s v="PROD-1596"/>
    <x v="3"/>
    <x v="2"/>
    <s v="S-102"/>
    <x v="4"/>
    <n v="45"/>
    <n v="25.83"/>
    <d v="2025-06-13T00:00:00"/>
    <d v="2025-07-10T00:00:00"/>
    <n v="6.94"/>
    <n v="1162.3499999999999"/>
    <n v="312.3"/>
    <n v="27"/>
    <n v="0.26867982965543946"/>
  </r>
  <r>
    <s v="PROD-1597"/>
    <x v="15"/>
    <x v="3"/>
    <s v="S-102"/>
    <x v="4"/>
    <n v="335"/>
    <n v="11"/>
    <d v="2025-03-10T00:00:00"/>
    <d v="2025-04-06T00:00:00"/>
    <n v="2.19"/>
    <n v="3685"/>
    <n v="733.65"/>
    <n v="27"/>
    <n v="0.1990909090909091"/>
  </r>
  <r>
    <s v="PROD-1598"/>
    <x v="7"/>
    <x v="0"/>
    <s v="S-101"/>
    <x v="3"/>
    <n v="81"/>
    <n v="280.47000000000003"/>
    <d v="2025-05-08T00:00:00"/>
    <d v="2025-05-25T00:00:00"/>
    <n v="57.08"/>
    <n v="22718.070000000003"/>
    <n v="4623.4799999999996"/>
    <n v="17"/>
    <n v="0.20351552750739826"/>
  </r>
  <r>
    <s v="PROD-1599"/>
    <x v="5"/>
    <x v="4"/>
    <s v="S-105"/>
    <x v="0"/>
    <n v="357"/>
    <n v="168.62"/>
    <d v="2025-05-12T00:00:00"/>
    <d v="2025-06-06T00:00:00"/>
    <n v="37.590000000000003"/>
    <n v="60197.340000000004"/>
    <n v="13419.630000000001"/>
    <n v="25"/>
    <n v="0.22292729213616416"/>
  </r>
  <r>
    <s v="PROD-1600"/>
    <x v="3"/>
    <x v="2"/>
    <s v="S-105"/>
    <x v="0"/>
    <n v="105"/>
    <n v="50.79"/>
    <d v="2025-02-06T00:00:00"/>
    <d v="2025-03-01T00:00:00"/>
    <n v="15.23"/>
    <n v="5332.95"/>
    <n v="1599.15"/>
    <n v="23"/>
    <n v="0.29986217759401457"/>
  </r>
  <r>
    <s v="PROD-1601"/>
    <x v="13"/>
    <x v="2"/>
    <s v="S-105"/>
    <x v="0"/>
    <n v="159"/>
    <n v="345.7"/>
    <d v="2025-01-30T00:00:00"/>
    <d v="2025-02-23T00:00:00"/>
    <n v="53.55"/>
    <n v="54966.299999999996"/>
    <n v="8514.4499999999989"/>
    <n v="24"/>
    <n v="0.15490309516922188"/>
  </r>
  <r>
    <s v="PROD-1602"/>
    <x v="3"/>
    <x v="2"/>
    <s v="S-104"/>
    <x v="1"/>
    <n v="346"/>
    <n v="154.27000000000001"/>
    <d v="2025-04-05T00:00:00"/>
    <d v="2025-04-22T00:00:00"/>
    <n v="41.89"/>
    <n v="53377.420000000006"/>
    <n v="14493.94"/>
    <n v="17"/>
    <n v="0.27153691579697931"/>
  </r>
  <r>
    <s v="PROD-1603"/>
    <x v="8"/>
    <x v="4"/>
    <s v="S-102"/>
    <x v="4"/>
    <n v="115"/>
    <n v="466.95"/>
    <d v="2025-05-06T00:00:00"/>
    <d v="2025-05-19T00:00:00"/>
    <n v="53"/>
    <n v="53699.25"/>
    <n v="6095"/>
    <n v="13"/>
    <n v="0.11350251632937146"/>
  </r>
  <r>
    <s v="PROD-1604"/>
    <x v="0"/>
    <x v="0"/>
    <s v="S-104"/>
    <x v="1"/>
    <n v="68"/>
    <n v="261.70999999999998"/>
    <d v="2025-06-19T00:00:00"/>
    <d v="2025-06-20T00:00:00"/>
    <n v="51.06"/>
    <n v="17796.28"/>
    <n v="3472.08"/>
    <n v="1"/>
    <n v="0.19510144816781935"/>
  </r>
  <r>
    <s v="PROD-1605"/>
    <x v="10"/>
    <x v="1"/>
    <s v="S-105"/>
    <x v="0"/>
    <n v="358"/>
    <n v="208.98"/>
    <d v="2025-01-27T00:00:00"/>
    <d v="2025-02-23T00:00:00"/>
    <n v="60.4"/>
    <n v="74814.84"/>
    <n v="21623.200000000001"/>
    <n v="27"/>
    <n v="0.2890228730022012"/>
  </r>
  <r>
    <s v="PROD-1606"/>
    <x v="11"/>
    <x v="0"/>
    <s v="S-101"/>
    <x v="3"/>
    <n v="357"/>
    <n v="227.65"/>
    <d v="2025-04-30T00:00:00"/>
    <d v="2025-05-06T00:00:00"/>
    <n v="52.36"/>
    <n v="81271.05"/>
    <n v="18692.52"/>
    <n v="6"/>
    <n v="0.23000219635405225"/>
  </r>
  <r>
    <s v="PROD-1607"/>
    <x v="14"/>
    <x v="4"/>
    <s v="S-102"/>
    <x v="4"/>
    <n v="276"/>
    <n v="10.76"/>
    <d v="2025-05-31T00:00:00"/>
    <d v="2025-06-16T00:00:00"/>
    <n v="2.38"/>
    <n v="2969.7599999999998"/>
    <n v="656.88"/>
    <n v="16"/>
    <n v="0.22118959107806691"/>
  </r>
  <r>
    <s v="PROD-1608"/>
    <x v="16"/>
    <x v="3"/>
    <s v="S-104"/>
    <x v="1"/>
    <n v="281"/>
    <n v="26.21"/>
    <d v="2025-02-08T00:00:00"/>
    <d v="2025-02-11T00:00:00"/>
    <n v="6.63"/>
    <n v="7365.01"/>
    <n v="1863.03"/>
    <n v="3"/>
    <n v="0.25295688668447158"/>
  </r>
  <r>
    <s v="PROD-1609"/>
    <x v="9"/>
    <x v="1"/>
    <s v="S-103"/>
    <x v="2"/>
    <n v="398"/>
    <n v="336.98"/>
    <d v="2025-06-27T00:00:00"/>
    <d v="2025-07-11T00:00:00"/>
    <n v="40.26"/>
    <n v="134118.04"/>
    <n v="16023.48"/>
    <n v="14"/>
    <n v="0.11947296575464418"/>
  </r>
  <r>
    <s v="PROD-1610"/>
    <x v="17"/>
    <x v="3"/>
    <s v="S-105"/>
    <x v="0"/>
    <n v="90"/>
    <n v="213.15"/>
    <d v="2025-03-11T00:00:00"/>
    <d v="2025-03-17T00:00:00"/>
    <n v="50.79"/>
    <n v="19183.5"/>
    <n v="4571.1000000000004"/>
    <n v="6"/>
    <n v="0.23828289936664321"/>
  </r>
  <r>
    <s v="PROD-1611"/>
    <x v="17"/>
    <x v="3"/>
    <s v="S-103"/>
    <x v="2"/>
    <n v="391"/>
    <n v="328.98"/>
    <d v="2025-05-29T00:00:00"/>
    <d v="2025-06-24T00:00:00"/>
    <n v="81.150000000000006"/>
    <n v="128631.18000000001"/>
    <n v="31729.65"/>
    <n v="26"/>
    <n v="0.24667153018420573"/>
  </r>
  <r>
    <s v="PROD-1612"/>
    <x v="18"/>
    <x v="1"/>
    <s v="S-105"/>
    <x v="0"/>
    <n v="382"/>
    <n v="211.29"/>
    <d v="2025-06-26T00:00:00"/>
    <d v="2025-07-22T00:00:00"/>
    <n v="58.47"/>
    <n v="80712.78"/>
    <n v="22335.54"/>
    <n v="26"/>
    <n v="0.27672866676132329"/>
  </r>
  <r>
    <s v="PROD-1613"/>
    <x v="17"/>
    <x v="3"/>
    <s v="S-103"/>
    <x v="2"/>
    <n v="240"/>
    <n v="346.55"/>
    <d v="2025-06-25T00:00:00"/>
    <d v="2025-07-07T00:00:00"/>
    <n v="54.57"/>
    <n v="83172"/>
    <n v="13096.8"/>
    <n v="12"/>
    <n v="0.15746645505699033"/>
  </r>
  <r>
    <s v="PROD-1614"/>
    <x v="15"/>
    <x v="3"/>
    <s v="S-101"/>
    <x v="3"/>
    <n v="232"/>
    <n v="355.71"/>
    <d v="2025-04-30T00:00:00"/>
    <d v="2025-05-27T00:00:00"/>
    <n v="43.72"/>
    <n v="82524.72"/>
    <n v="10143.039999999999"/>
    <n v="27"/>
    <n v="0.12290911135475528"/>
  </r>
  <r>
    <s v="PROD-1615"/>
    <x v="17"/>
    <x v="3"/>
    <s v="S-103"/>
    <x v="2"/>
    <n v="104"/>
    <n v="14.7"/>
    <d v="2025-01-28T00:00:00"/>
    <d v="2025-02-20T00:00:00"/>
    <n v="2.19"/>
    <n v="1528.8"/>
    <n v="227.76"/>
    <n v="23"/>
    <n v="0.1489795918367347"/>
  </r>
  <r>
    <s v="PROD-1616"/>
    <x v="4"/>
    <x v="3"/>
    <s v="S-103"/>
    <x v="2"/>
    <n v="321"/>
    <n v="499.72"/>
    <d v="2025-04-06T00:00:00"/>
    <d v="2025-05-05T00:00:00"/>
    <n v="91.14"/>
    <n v="160410.12"/>
    <n v="29255.94"/>
    <n v="29"/>
    <n v="0.18238213399503722"/>
  </r>
  <r>
    <s v="PROD-1617"/>
    <x v="11"/>
    <x v="0"/>
    <s v="S-102"/>
    <x v="4"/>
    <n v="317"/>
    <n v="453.56"/>
    <d v="2025-03-29T00:00:00"/>
    <d v="2025-04-10T00:00:00"/>
    <n v="110.21"/>
    <n v="143778.51999999999"/>
    <n v="34936.57"/>
    <n v="12"/>
    <n v="0.24298879971778814"/>
  </r>
  <r>
    <s v="PROD-1618"/>
    <x v="3"/>
    <x v="2"/>
    <s v="S-103"/>
    <x v="2"/>
    <n v="102"/>
    <n v="363.98"/>
    <d v="2025-04-26T00:00:00"/>
    <d v="2025-05-14T00:00:00"/>
    <n v="58.49"/>
    <n v="37125.96"/>
    <n v="5965.9800000000005"/>
    <n v="18"/>
    <n v="0.16069564261772626"/>
  </r>
  <r>
    <s v="PROD-1619"/>
    <x v="3"/>
    <x v="2"/>
    <s v="S-101"/>
    <x v="3"/>
    <n v="101"/>
    <n v="315.62"/>
    <d v="2025-03-23T00:00:00"/>
    <d v="2025-03-30T00:00:00"/>
    <n v="70.22"/>
    <n v="31877.62"/>
    <n v="7092.22"/>
    <n v="7"/>
    <n v="0.22248273239972119"/>
  </r>
  <r>
    <s v="PROD-1620"/>
    <x v="14"/>
    <x v="4"/>
    <s v="S-101"/>
    <x v="3"/>
    <n v="80"/>
    <n v="26.32"/>
    <d v="2025-01-15T00:00:00"/>
    <d v="2025-01-22T00:00:00"/>
    <n v="4.04"/>
    <n v="2105.6"/>
    <n v="323.2"/>
    <n v="7"/>
    <n v="0.15349544072948329"/>
  </r>
  <r>
    <s v="PROD-1621"/>
    <x v="17"/>
    <x v="3"/>
    <s v="S-104"/>
    <x v="1"/>
    <n v="122"/>
    <n v="454.24"/>
    <d v="2025-04-01T00:00:00"/>
    <d v="2025-04-12T00:00:00"/>
    <n v="135.19999999999999"/>
    <n v="55417.279999999999"/>
    <n v="16494.399999999998"/>
    <n v="11"/>
    <n v="0.29764001408946811"/>
  </r>
  <r>
    <s v="PROD-1622"/>
    <x v="6"/>
    <x v="2"/>
    <s v="S-103"/>
    <x v="2"/>
    <n v="11"/>
    <n v="332.67"/>
    <d v="2025-06-03T00:00:00"/>
    <d v="2025-06-22T00:00:00"/>
    <n v="41.15"/>
    <n v="3659.3700000000003"/>
    <n v="452.65"/>
    <n v="19"/>
    <n v="0.12369615534914478"/>
  </r>
  <r>
    <s v="PROD-1623"/>
    <x v="18"/>
    <x v="1"/>
    <s v="S-104"/>
    <x v="1"/>
    <n v="346"/>
    <n v="226.13"/>
    <d v="2025-02-13T00:00:00"/>
    <d v="2025-03-14T00:00:00"/>
    <n v="25.81"/>
    <n v="78240.98"/>
    <n v="8930.26"/>
    <n v="29"/>
    <n v="0.11413788528722416"/>
  </r>
  <r>
    <s v="PROD-1624"/>
    <x v="14"/>
    <x v="4"/>
    <s v="S-103"/>
    <x v="2"/>
    <n v="372"/>
    <n v="231.33"/>
    <d v="2025-05-07T00:00:00"/>
    <d v="2025-06-03T00:00:00"/>
    <n v="24.05"/>
    <n v="86054.760000000009"/>
    <n v="8946.6"/>
    <n v="27"/>
    <n v="0.1039640340638914"/>
  </r>
  <r>
    <s v="PROD-1625"/>
    <x v="5"/>
    <x v="4"/>
    <s v="S-103"/>
    <x v="2"/>
    <n v="421"/>
    <n v="144.24"/>
    <d v="2025-04-06T00:00:00"/>
    <d v="2025-04-24T00:00:00"/>
    <n v="40.75"/>
    <n v="60725.04"/>
    <n v="17155.75"/>
    <n v="18"/>
    <n v="0.28251525235718244"/>
  </r>
  <r>
    <s v="PROD-1626"/>
    <x v="9"/>
    <x v="1"/>
    <s v="S-105"/>
    <x v="0"/>
    <n v="202"/>
    <n v="289.63"/>
    <d v="2025-02-16T00:00:00"/>
    <d v="2025-02-28T00:00:00"/>
    <n v="43.72"/>
    <n v="58505.26"/>
    <n v="8831.44"/>
    <n v="12"/>
    <n v="0.1509512136173739"/>
  </r>
  <r>
    <s v="PROD-1627"/>
    <x v="19"/>
    <x v="0"/>
    <s v="S-102"/>
    <x v="4"/>
    <n v="378"/>
    <n v="154"/>
    <d v="2025-03-17T00:00:00"/>
    <d v="2025-04-12T00:00:00"/>
    <n v="37.96"/>
    <n v="58212"/>
    <n v="14348.880000000001"/>
    <n v="26"/>
    <n v="0.24649350649350649"/>
  </r>
  <r>
    <s v="PROD-1628"/>
    <x v="0"/>
    <x v="0"/>
    <s v="S-101"/>
    <x v="3"/>
    <n v="490"/>
    <n v="269.92"/>
    <d v="2025-01-14T00:00:00"/>
    <d v="2025-02-04T00:00:00"/>
    <n v="69.2"/>
    <n v="132260.80000000002"/>
    <n v="33908"/>
    <n v="21"/>
    <n v="0.25637225844694722"/>
  </r>
  <r>
    <s v="PROD-1629"/>
    <x v="0"/>
    <x v="0"/>
    <s v="S-105"/>
    <x v="0"/>
    <n v="458"/>
    <n v="468.4"/>
    <d v="2025-05-29T00:00:00"/>
    <d v="2025-06-13T00:00:00"/>
    <n v="122.4"/>
    <n v="214527.19999999998"/>
    <n v="56059.200000000004"/>
    <n v="15"/>
    <n v="0.26131511528608031"/>
  </r>
  <r>
    <s v="PROD-1630"/>
    <x v="2"/>
    <x v="2"/>
    <s v="S-104"/>
    <x v="1"/>
    <n v="242"/>
    <n v="239.53"/>
    <d v="2025-06-16T00:00:00"/>
    <d v="2025-07-03T00:00:00"/>
    <n v="61.1"/>
    <n v="57966.26"/>
    <n v="14786.2"/>
    <n v="17"/>
    <n v="0.25508287062163404"/>
  </r>
  <r>
    <s v="PROD-1631"/>
    <x v="7"/>
    <x v="0"/>
    <s v="S-105"/>
    <x v="0"/>
    <n v="116"/>
    <n v="380.08"/>
    <d v="2025-05-27T00:00:00"/>
    <d v="2025-06-14T00:00:00"/>
    <n v="75.400000000000006"/>
    <n v="44089.279999999999"/>
    <n v="8746.4000000000015"/>
    <n v="18"/>
    <n v="0.19837928857082721"/>
  </r>
  <r>
    <s v="PROD-1632"/>
    <x v="15"/>
    <x v="3"/>
    <s v="S-104"/>
    <x v="1"/>
    <n v="463"/>
    <n v="199.72"/>
    <d v="2025-02-12T00:00:00"/>
    <d v="2025-03-02T00:00:00"/>
    <n v="34.020000000000003"/>
    <n v="92470.36"/>
    <n v="15751.260000000002"/>
    <n v="18"/>
    <n v="0.17033847386340878"/>
  </r>
  <r>
    <s v="PROD-1633"/>
    <x v="16"/>
    <x v="3"/>
    <s v="S-102"/>
    <x v="4"/>
    <n v="151"/>
    <n v="394.17"/>
    <d v="2025-04-13T00:00:00"/>
    <d v="2025-05-01T00:00:00"/>
    <n v="69.63"/>
    <n v="59519.670000000006"/>
    <n v="10514.13"/>
    <n v="18"/>
    <n v="0.17664966892457568"/>
  </r>
  <r>
    <s v="PROD-1634"/>
    <x v="14"/>
    <x v="4"/>
    <s v="S-104"/>
    <x v="1"/>
    <n v="370"/>
    <n v="274.79000000000002"/>
    <d v="2025-02-13T00:00:00"/>
    <d v="2025-02-28T00:00:00"/>
    <n v="61.65"/>
    <n v="101672.3"/>
    <n v="22810.5"/>
    <n v="15"/>
    <n v="0.22435314239965062"/>
  </r>
  <r>
    <s v="PROD-1635"/>
    <x v="8"/>
    <x v="4"/>
    <s v="S-102"/>
    <x v="4"/>
    <n v="104"/>
    <n v="207.62"/>
    <d v="2025-02-07T00:00:00"/>
    <d v="2025-02-22T00:00:00"/>
    <n v="42.03"/>
    <n v="21592.48"/>
    <n v="4371.12"/>
    <n v="15"/>
    <n v="0.20243714478373953"/>
  </r>
  <r>
    <s v="PROD-1636"/>
    <x v="8"/>
    <x v="4"/>
    <s v="S-105"/>
    <x v="0"/>
    <n v="93"/>
    <n v="355.82"/>
    <d v="2025-06-24T00:00:00"/>
    <d v="2025-07-21T00:00:00"/>
    <n v="75.59"/>
    <n v="33091.26"/>
    <n v="7029.87"/>
    <n v="27"/>
    <n v="0.21243887358776911"/>
  </r>
  <r>
    <s v="PROD-1637"/>
    <x v="4"/>
    <x v="3"/>
    <s v="S-105"/>
    <x v="0"/>
    <n v="268"/>
    <n v="46.62"/>
    <d v="2025-04-24T00:00:00"/>
    <d v="2025-05-09T00:00:00"/>
    <n v="5.71"/>
    <n v="12494.16"/>
    <n v="1530.28"/>
    <n v="15"/>
    <n v="0.12247962247962249"/>
  </r>
  <r>
    <s v="PROD-1638"/>
    <x v="3"/>
    <x v="2"/>
    <s v="S-101"/>
    <x v="3"/>
    <n v="311"/>
    <n v="84.77"/>
    <d v="2025-03-05T00:00:00"/>
    <d v="2025-03-17T00:00:00"/>
    <n v="8.9600000000000009"/>
    <n v="26363.469999999998"/>
    <n v="2786.5600000000004"/>
    <n v="12"/>
    <n v="0.10569777043765484"/>
  </r>
  <r>
    <s v="PROD-1639"/>
    <x v="8"/>
    <x v="4"/>
    <s v="S-101"/>
    <x v="3"/>
    <n v="55"/>
    <n v="491.88"/>
    <d v="2025-06-10T00:00:00"/>
    <d v="2025-06-14T00:00:00"/>
    <n v="100.85"/>
    <n v="27053.4"/>
    <n v="5546.75"/>
    <n v="4"/>
    <n v="0.20502968203626901"/>
  </r>
  <r>
    <s v="PROD-1640"/>
    <x v="8"/>
    <x v="4"/>
    <s v="S-101"/>
    <x v="3"/>
    <n v="343"/>
    <n v="424.17"/>
    <d v="2025-05-07T00:00:00"/>
    <d v="2025-05-30T00:00:00"/>
    <n v="110.64"/>
    <n v="145490.31"/>
    <n v="37949.519999999997"/>
    <n v="23"/>
    <n v="0.26083881462621117"/>
  </r>
  <r>
    <s v="PROD-1641"/>
    <x v="9"/>
    <x v="1"/>
    <s v="S-104"/>
    <x v="1"/>
    <n v="326"/>
    <n v="30.38"/>
    <d v="2025-05-20T00:00:00"/>
    <d v="2025-05-26T00:00:00"/>
    <n v="7.41"/>
    <n v="9903.8799999999992"/>
    <n v="2415.66"/>
    <n v="6"/>
    <n v="0.24391046741277159"/>
  </r>
  <r>
    <s v="PROD-1642"/>
    <x v="18"/>
    <x v="1"/>
    <s v="S-105"/>
    <x v="0"/>
    <n v="354"/>
    <n v="137.19"/>
    <d v="2025-02-15T00:00:00"/>
    <d v="2025-02-21T00:00:00"/>
    <n v="36.14"/>
    <n v="48565.26"/>
    <n v="12793.56"/>
    <n v="6"/>
    <n v="0.263430279174867"/>
  </r>
  <r>
    <s v="PROD-1643"/>
    <x v="17"/>
    <x v="3"/>
    <s v="S-103"/>
    <x v="2"/>
    <n v="478"/>
    <n v="169.57"/>
    <d v="2025-06-03T00:00:00"/>
    <d v="2025-06-10T00:00:00"/>
    <n v="22.61"/>
    <n v="81054.459999999992"/>
    <n v="10807.58"/>
    <n v="7"/>
    <n v="0.13333726484637612"/>
  </r>
  <r>
    <s v="PROD-1644"/>
    <x v="8"/>
    <x v="4"/>
    <s v="S-105"/>
    <x v="0"/>
    <n v="429"/>
    <n v="380.39"/>
    <d v="2025-01-04T00:00:00"/>
    <d v="2025-01-06T00:00:00"/>
    <n v="113.77"/>
    <n v="163187.31"/>
    <n v="48807.33"/>
    <n v="2"/>
    <n v="0.29908777833276373"/>
  </r>
  <r>
    <s v="PROD-1645"/>
    <x v="16"/>
    <x v="3"/>
    <s v="S-101"/>
    <x v="3"/>
    <n v="213"/>
    <n v="121.45"/>
    <d v="2025-04-09T00:00:00"/>
    <d v="2025-04-17T00:00:00"/>
    <n v="23.08"/>
    <n v="25868.850000000002"/>
    <n v="4916.04"/>
    <n v="8"/>
    <n v="0.19003705228489087"/>
  </r>
  <r>
    <s v="PROD-1646"/>
    <x v="19"/>
    <x v="0"/>
    <s v="S-105"/>
    <x v="0"/>
    <n v="322"/>
    <n v="320.86"/>
    <d v="2025-05-23T00:00:00"/>
    <d v="2025-05-31T00:00:00"/>
    <n v="63.32"/>
    <n v="103316.92"/>
    <n v="20389.04"/>
    <n v="8"/>
    <n v="0.1973446362899707"/>
  </r>
  <r>
    <s v="PROD-1647"/>
    <x v="17"/>
    <x v="3"/>
    <s v="S-103"/>
    <x v="2"/>
    <n v="99"/>
    <n v="394.89"/>
    <d v="2025-03-12T00:00:00"/>
    <d v="2025-03-23T00:00:00"/>
    <n v="101.62"/>
    <n v="39094.11"/>
    <n v="10060.380000000001"/>
    <n v="11"/>
    <n v="0.25733748638861459"/>
  </r>
  <r>
    <s v="PROD-1648"/>
    <x v="11"/>
    <x v="0"/>
    <s v="S-103"/>
    <x v="2"/>
    <n v="189"/>
    <n v="374.99"/>
    <d v="2025-03-12T00:00:00"/>
    <d v="2025-03-23T00:00:00"/>
    <n v="44.93"/>
    <n v="70873.11"/>
    <n v="8491.77"/>
    <n v="11"/>
    <n v="0.11981652844075842"/>
  </r>
  <r>
    <s v="PROD-1649"/>
    <x v="18"/>
    <x v="1"/>
    <s v="S-101"/>
    <x v="3"/>
    <n v="189"/>
    <n v="461.91"/>
    <d v="2025-06-13T00:00:00"/>
    <d v="2025-06-21T00:00:00"/>
    <n v="76.98"/>
    <n v="87300.99"/>
    <n v="14549.220000000001"/>
    <n v="8"/>
    <n v="0.16665584204715203"/>
  </r>
  <r>
    <s v="PROD-1650"/>
    <x v="5"/>
    <x v="4"/>
    <s v="S-102"/>
    <x v="4"/>
    <n v="237"/>
    <n v="404.1"/>
    <d v="2025-04-27T00:00:00"/>
    <d v="2025-04-29T00:00:00"/>
    <n v="89.63"/>
    <n v="95771.700000000012"/>
    <n v="21242.309999999998"/>
    <n v="2"/>
    <n v="0.22180153427369462"/>
  </r>
  <r>
    <s v="PROD-1651"/>
    <x v="13"/>
    <x v="2"/>
    <s v="S-105"/>
    <x v="0"/>
    <n v="178"/>
    <n v="129.06"/>
    <d v="2025-05-22T00:00:00"/>
    <d v="2025-06-19T00:00:00"/>
    <n v="25.65"/>
    <n v="22972.68"/>
    <n v="4565.7"/>
    <n v="28"/>
    <n v="0.19874476987447698"/>
  </r>
  <r>
    <s v="PROD-1652"/>
    <x v="3"/>
    <x v="2"/>
    <s v="S-101"/>
    <x v="3"/>
    <n v="81"/>
    <n v="410.45"/>
    <d v="2025-04-19T00:00:00"/>
    <d v="2025-05-01T00:00:00"/>
    <n v="96.66"/>
    <n v="33246.449999999997"/>
    <n v="7829.46"/>
    <n v="12"/>
    <n v="0.2354976245584115"/>
  </r>
  <r>
    <s v="PROD-1653"/>
    <x v="13"/>
    <x v="2"/>
    <s v="S-102"/>
    <x v="4"/>
    <n v="356"/>
    <n v="132.37"/>
    <d v="2025-04-15T00:00:00"/>
    <d v="2025-04-23T00:00:00"/>
    <n v="38.4"/>
    <n v="47123.72"/>
    <n v="13670.4"/>
    <n v="8"/>
    <n v="0.29009594318954446"/>
  </r>
  <r>
    <s v="PROD-1654"/>
    <x v="10"/>
    <x v="1"/>
    <s v="S-104"/>
    <x v="1"/>
    <n v="153"/>
    <n v="347.02"/>
    <d v="2025-02-23T00:00:00"/>
    <d v="2025-03-07T00:00:00"/>
    <n v="83.56"/>
    <n v="53094.06"/>
    <n v="12784.68"/>
    <n v="12"/>
    <n v="0.24079303786525275"/>
  </r>
  <r>
    <s v="PROD-1655"/>
    <x v="3"/>
    <x v="2"/>
    <s v="S-102"/>
    <x v="4"/>
    <n v="223"/>
    <n v="314.98"/>
    <d v="2025-02-13T00:00:00"/>
    <d v="2025-02-25T00:00:00"/>
    <n v="69.489999999999995"/>
    <n v="70240.540000000008"/>
    <n v="15496.269999999999"/>
    <n v="12"/>
    <n v="0.2206171820433043"/>
  </r>
  <r>
    <s v="PROD-1656"/>
    <x v="6"/>
    <x v="2"/>
    <s v="S-105"/>
    <x v="0"/>
    <n v="143"/>
    <n v="256.25"/>
    <d v="2025-05-27T00:00:00"/>
    <d v="2025-06-18T00:00:00"/>
    <n v="63.56"/>
    <n v="36643.75"/>
    <n v="9089.08"/>
    <n v="22"/>
    <n v="0.24803902439024392"/>
  </r>
  <r>
    <s v="PROD-1657"/>
    <x v="0"/>
    <x v="0"/>
    <s v="S-105"/>
    <x v="0"/>
    <n v="259"/>
    <n v="35.06"/>
    <d v="2025-02-14T00:00:00"/>
    <d v="2025-02-26T00:00:00"/>
    <n v="7.41"/>
    <n v="9080.5400000000009"/>
    <n v="1919.19"/>
    <n v="12"/>
    <n v="0.21135196805476325"/>
  </r>
  <r>
    <s v="PROD-1658"/>
    <x v="8"/>
    <x v="4"/>
    <s v="S-102"/>
    <x v="4"/>
    <n v="52"/>
    <n v="85.56"/>
    <d v="2025-01-16T00:00:00"/>
    <d v="2025-01-31T00:00:00"/>
    <n v="15.46"/>
    <n v="4449.12"/>
    <n v="803.92000000000007"/>
    <n v="15"/>
    <n v="0.18069191210846192"/>
  </r>
  <r>
    <s v="PROD-1659"/>
    <x v="8"/>
    <x v="4"/>
    <s v="S-104"/>
    <x v="1"/>
    <n v="153"/>
    <n v="112.4"/>
    <d v="2025-03-16T00:00:00"/>
    <d v="2025-03-19T00:00:00"/>
    <n v="15.35"/>
    <n v="17197.2"/>
    <n v="2348.5499999999997"/>
    <n v="3"/>
    <n v="0.13656583629893237"/>
  </r>
  <r>
    <s v="PROD-1660"/>
    <x v="11"/>
    <x v="0"/>
    <s v="S-102"/>
    <x v="4"/>
    <n v="426"/>
    <n v="322.38"/>
    <d v="2025-02-19T00:00:00"/>
    <d v="2025-03-07T00:00:00"/>
    <n v="48.66"/>
    <n v="137333.88"/>
    <n v="20729.16"/>
    <n v="16"/>
    <n v="0.1509398846082263"/>
  </r>
  <r>
    <s v="PROD-1661"/>
    <x v="19"/>
    <x v="0"/>
    <s v="S-104"/>
    <x v="1"/>
    <n v="37"/>
    <n v="413.14"/>
    <d v="2025-05-22T00:00:00"/>
    <d v="2025-05-31T00:00:00"/>
    <n v="109.15"/>
    <n v="15286.18"/>
    <n v="4038.55"/>
    <n v="9"/>
    <n v="0.26419615626664089"/>
  </r>
  <r>
    <s v="PROD-1662"/>
    <x v="13"/>
    <x v="2"/>
    <s v="S-105"/>
    <x v="0"/>
    <n v="347"/>
    <n v="43.57"/>
    <d v="2025-02-11T00:00:00"/>
    <d v="2025-02-14T00:00:00"/>
    <n v="4.91"/>
    <n v="15118.79"/>
    <n v="1703.77"/>
    <n v="3"/>
    <n v="0.11269221941703007"/>
  </r>
  <r>
    <s v="PROD-1663"/>
    <x v="8"/>
    <x v="4"/>
    <s v="S-103"/>
    <x v="2"/>
    <n v="228"/>
    <n v="339.45"/>
    <d v="2025-06-13T00:00:00"/>
    <d v="2025-07-05T00:00:00"/>
    <n v="57.58"/>
    <n v="77394.599999999991"/>
    <n v="13128.24"/>
    <n v="22"/>
    <n v="0.16962733834143467"/>
  </r>
  <r>
    <s v="PROD-1664"/>
    <x v="12"/>
    <x v="4"/>
    <s v="S-102"/>
    <x v="4"/>
    <n v="264"/>
    <n v="452.35"/>
    <d v="2025-01-08T00:00:00"/>
    <d v="2025-01-13T00:00:00"/>
    <n v="53"/>
    <n v="119420.40000000001"/>
    <n v="13992"/>
    <n v="5"/>
    <n v="0.11716591135182933"/>
  </r>
  <r>
    <s v="PROD-1665"/>
    <x v="6"/>
    <x v="2"/>
    <s v="S-102"/>
    <x v="4"/>
    <n v="238"/>
    <n v="458"/>
    <d v="2025-01-11T00:00:00"/>
    <d v="2025-02-09T00:00:00"/>
    <n v="135.02000000000001"/>
    <n v="109004"/>
    <n v="32134.760000000002"/>
    <n v="29"/>
    <n v="0.29480349344978168"/>
  </r>
  <r>
    <s v="PROD-1666"/>
    <x v="7"/>
    <x v="0"/>
    <s v="S-102"/>
    <x v="4"/>
    <n v="315"/>
    <n v="166.61"/>
    <d v="2025-03-08T00:00:00"/>
    <d v="2025-04-06T00:00:00"/>
    <n v="48.49"/>
    <n v="52482.15"/>
    <n v="15274.35"/>
    <n v="29"/>
    <n v="0.291038953244103"/>
  </r>
  <r>
    <s v="PROD-1667"/>
    <x v="16"/>
    <x v="3"/>
    <s v="S-101"/>
    <x v="3"/>
    <n v="429"/>
    <n v="472.89"/>
    <d v="2025-05-17T00:00:00"/>
    <d v="2025-05-26T00:00:00"/>
    <n v="93.45"/>
    <n v="202869.81"/>
    <n v="40090.050000000003"/>
    <n v="9"/>
    <n v="0.19761466725877055"/>
  </r>
  <r>
    <s v="PROD-1668"/>
    <x v="19"/>
    <x v="0"/>
    <s v="S-101"/>
    <x v="3"/>
    <n v="69"/>
    <n v="372.62"/>
    <d v="2025-01-18T00:00:00"/>
    <d v="2025-02-02T00:00:00"/>
    <n v="46.92"/>
    <n v="25710.78"/>
    <n v="3237.48"/>
    <n v="15"/>
    <n v="0.12591916697976491"/>
  </r>
  <r>
    <s v="PROD-1669"/>
    <x v="16"/>
    <x v="3"/>
    <s v="S-101"/>
    <x v="3"/>
    <n v="137"/>
    <n v="407.6"/>
    <d v="2025-03-06T00:00:00"/>
    <d v="2025-03-27T00:00:00"/>
    <n v="90.89"/>
    <n v="55841.200000000004"/>
    <n v="12451.93"/>
    <n v="21"/>
    <n v="0.22298822374877331"/>
  </r>
  <r>
    <s v="PROD-1670"/>
    <x v="14"/>
    <x v="4"/>
    <s v="S-105"/>
    <x v="0"/>
    <n v="375"/>
    <n v="437.33"/>
    <d v="2025-05-06T00:00:00"/>
    <d v="2025-05-20T00:00:00"/>
    <n v="87.91"/>
    <n v="163998.75"/>
    <n v="32966.25"/>
    <n v="14"/>
    <n v="0.20101525164063749"/>
  </r>
  <r>
    <s v="PROD-1671"/>
    <x v="16"/>
    <x v="3"/>
    <s v="S-102"/>
    <x v="4"/>
    <n v="372"/>
    <n v="224.08"/>
    <d v="2025-05-19T00:00:00"/>
    <d v="2025-05-29T00:00:00"/>
    <n v="44.5"/>
    <n v="83357.760000000009"/>
    <n v="16554"/>
    <n v="10"/>
    <n v="0.19858978936094251"/>
  </r>
  <r>
    <s v="PROD-1672"/>
    <x v="14"/>
    <x v="4"/>
    <s v="S-102"/>
    <x v="4"/>
    <n v="453"/>
    <n v="194.76"/>
    <d v="2025-02-24T00:00:00"/>
    <d v="2025-02-25T00:00:00"/>
    <n v="42.96"/>
    <n v="88226.28"/>
    <n v="19460.88"/>
    <n v="1"/>
    <n v="0.22057917436845351"/>
  </r>
  <r>
    <s v="PROD-1673"/>
    <x v="15"/>
    <x v="3"/>
    <s v="S-103"/>
    <x v="2"/>
    <n v="440"/>
    <n v="257.33999999999997"/>
    <d v="2025-01-13T00:00:00"/>
    <d v="2025-01-17T00:00:00"/>
    <n v="45.03"/>
    <n v="113229.59999999999"/>
    <n v="19813.2"/>
    <n v="4"/>
    <n v="0.17498251340638846"/>
  </r>
  <r>
    <s v="PROD-1674"/>
    <x v="18"/>
    <x v="1"/>
    <s v="S-101"/>
    <x v="3"/>
    <n v="394"/>
    <n v="60.27"/>
    <d v="2025-01-07T00:00:00"/>
    <d v="2025-01-17T00:00:00"/>
    <n v="16.059999999999999"/>
    <n v="23746.38"/>
    <n v="6327.6399999999994"/>
    <n v="10"/>
    <n v="0.26646756263480997"/>
  </r>
  <r>
    <s v="PROD-1675"/>
    <x v="17"/>
    <x v="3"/>
    <s v="S-105"/>
    <x v="0"/>
    <n v="476"/>
    <n v="157.54"/>
    <d v="2025-02-22T00:00:00"/>
    <d v="2025-03-05T00:00:00"/>
    <n v="43.46"/>
    <n v="74989.039999999994"/>
    <n v="20686.96"/>
    <n v="11"/>
    <n v="0.27586644661673226"/>
  </r>
  <r>
    <s v="PROD-1676"/>
    <x v="5"/>
    <x v="4"/>
    <s v="S-105"/>
    <x v="0"/>
    <n v="163"/>
    <n v="399.32"/>
    <d v="2025-01-25T00:00:00"/>
    <d v="2025-02-13T00:00:00"/>
    <n v="71.58"/>
    <n v="65089.159999999996"/>
    <n v="11667.539999999999"/>
    <n v="19"/>
    <n v="0.1792547330461785"/>
  </r>
  <r>
    <s v="PROD-1677"/>
    <x v="19"/>
    <x v="0"/>
    <s v="S-103"/>
    <x v="2"/>
    <n v="135"/>
    <n v="352.4"/>
    <d v="2025-03-03T00:00:00"/>
    <d v="2025-03-12T00:00:00"/>
    <n v="101.8"/>
    <n v="47574"/>
    <n v="13743"/>
    <n v="9"/>
    <n v="0.28887627695800228"/>
  </r>
  <r>
    <s v="PROD-1678"/>
    <x v="18"/>
    <x v="1"/>
    <s v="S-103"/>
    <x v="2"/>
    <n v="481"/>
    <n v="191.05"/>
    <d v="2025-03-14T00:00:00"/>
    <d v="2025-03-15T00:00:00"/>
    <n v="28.5"/>
    <n v="91895.05"/>
    <n v="13708.5"/>
    <n v="1"/>
    <n v="0.14917560847945563"/>
  </r>
  <r>
    <s v="PROD-1679"/>
    <x v="14"/>
    <x v="4"/>
    <s v="S-102"/>
    <x v="4"/>
    <n v="257"/>
    <n v="449.13"/>
    <d v="2025-06-07T00:00:00"/>
    <d v="2025-06-30T00:00:00"/>
    <n v="122.02"/>
    <n v="115426.41"/>
    <n v="31359.14"/>
    <n v="23"/>
    <n v="0.27168080511210563"/>
  </r>
  <r>
    <s v="PROD-1680"/>
    <x v="5"/>
    <x v="4"/>
    <s v="S-105"/>
    <x v="0"/>
    <n v="338"/>
    <n v="432.1"/>
    <d v="2025-05-03T00:00:00"/>
    <d v="2025-05-20T00:00:00"/>
    <n v="82.14"/>
    <n v="146049.80000000002"/>
    <n v="27763.32"/>
    <n v="17"/>
    <n v="0.19009488544318445"/>
  </r>
  <r>
    <s v="PROD-1681"/>
    <x v="9"/>
    <x v="1"/>
    <s v="S-101"/>
    <x v="3"/>
    <n v="245"/>
    <n v="218.03"/>
    <d v="2025-06-25T00:00:00"/>
    <d v="2025-07-08T00:00:00"/>
    <n v="64.55"/>
    <n v="53417.35"/>
    <n v="15814.75"/>
    <n v="13"/>
    <n v="0.29606017520524697"/>
  </r>
  <r>
    <s v="PROD-1682"/>
    <x v="16"/>
    <x v="3"/>
    <s v="S-105"/>
    <x v="0"/>
    <n v="92"/>
    <n v="398.9"/>
    <d v="2025-02-12T00:00:00"/>
    <d v="2025-03-11T00:00:00"/>
    <n v="112.73"/>
    <n v="36698.799999999996"/>
    <n v="10371.16"/>
    <n v="27"/>
    <n v="0.28260215592880422"/>
  </r>
  <r>
    <s v="PROD-1683"/>
    <x v="8"/>
    <x v="4"/>
    <s v="S-105"/>
    <x v="0"/>
    <n v="307"/>
    <n v="290.3"/>
    <d v="2025-06-30T00:00:00"/>
    <d v="2025-07-30T00:00:00"/>
    <n v="30.73"/>
    <n v="89122.1"/>
    <n v="9434.11"/>
    <n v="30"/>
    <n v="0.10585601102307957"/>
  </r>
  <r>
    <s v="PROD-1684"/>
    <x v="15"/>
    <x v="3"/>
    <s v="S-103"/>
    <x v="2"/>
    <n v="12"/>
    <n v="420.08"/>
    <d v="2025-01-25T00:00:00"/>
    <d v="2025-02-11T00:00:00"/>
    <n v="48.66"/>
    <n v="5040.96"/>
    <n v="583.91999999999996"/>
    <n v="17"/>
    <n v="0.11583507903256522"/>
  </r>
  <r>
    <s v="PROD-1685"/>
    <x v="17"/>
    <x v="3"/>
    <s v="S-102"/>
    <x v="4"/>
    <n v="389"/>
    <n v="5.63"/>
    <d v="2025-02-17T00:00:00"/>
    <d v="2025-02-20T00:00:00"/>
    <n v="1.58"/>
    <n v="2190.0700000000002"/>
    <n v="614.62"/>
    <n v="3"/>
    <n v="0.28063943161634103"/>
  </r>
  <r>
    <s v="PROD-1686"/>
    <x v="10"/>
    <x v="1"/>
    <s v="S-103"/>
    <x v="2"/>
    <n v="185"/>
    <n v="161.61000000000001"/>
    <d v="2025-03-07T00:00:00"/>
    <d v="2025-03-26T00:00:00"/>
    <n v="18.97"/>
    <n v="29897.850000000002"/>
    <n v="3509.45"/>
    <n v="19"/>
    <n v="0.11738135016397498"/>
  </r>
  <r>
    <s v="PROD-1687"/>
    <x v="8"/>
    <x v="4"/>
    <s v="S-105"/>
    <x v="0"/>
    <n v="162"/>
    <n v="493.55"/>
    <d v="2025-04-28T00:00:00"/>
    <d v="2025-05-04T00:00:00"/>
    <n v="82.83"/>
    <n v="79955.100000000006"/>
    <n v="13418.46"/>
    <n v="6"/>
    <n v="0.16782494174855636"/>
  </r>
  <r>
    <s v="PROD-1688"/>
    <x v="8"/>
    <x v="4"/>
    <s v="S-105"/>
    <x v="0"/>
    <n v="236"/>
    <n v="104.77"/>
    <d v="2025-03-27T00:00:00"/>
    <d v="2025-04-05T00:00:00"/>
    <n v="15.7"/>
    <n v="24725.719999999998"/>
    <n v="3705.2"/>
    <n v="9"/>
    <n v="0.14985205688651332"/>
  </r>
  <r>
    <s v="PROD-1689"/>
    <x v="8"/>
    <x v="4"/>
    <s v="S-101"/>
    <x v="3"/>
    <n v="128"/>
    <n v="121.61"/>
    <d v="2025-05-07T00:00:00"/>
    <d v="2025-05-10T00:00:00"/>
    <n v="26.49"/>
    <n v="15566.08"/>
    <n v="3390.72"/>
    <n v="3"/>
    <n v="0.21782748129265683"/>
  </r>
  <r>
    <s v="PROD-1690"/>
    <x v="8"/>
    <x v="4"/>
    <s v="S-105"/>
    <x v="0"/>
    <n v="264"/>
    <n v="209.61"/>
    <d v="2025-05-17T00:00:00"/>
    <d v="2025-06-13T00:00:00"/>
    <n v="55.1"/>
    <n v="55337.04"/>
    <n v="14546.4"/>
    <n v="27"/>
    <n v="0.26286913792280903"/>
  </r>
  <r>
    <s v="PROD-1691"/>
    <x v="14"/>
    <x v="4"/>
    <s v="S-103"/>
    <x v="2"/>
    <n v="30"/>
    <n v="125.93"/>
    <d v="2025-02-05T00:00:00"/>
    <d v="2025-02-11T00:00:00"/>
    <n v="18.23"/>
    <n v="3777.9"/>
    <n v="546.9"/>
    <n v="6"/>
    <n v="0.14476296355117924"/>
  </r>
  <r>
    <s v="PROD-1692"/>
    <x v="10"/>
    <x v="1"/>
    <s v="S-104"/>
    <x v="1"/>
    <n v="133"/>
    <n v="112.95"/>
    <d v="2025-03-04T00:00:00"/>
    <d v="2025-03-05T00:00:00"/>
    <n v="23.66"/>
    <n v="15022.35"/>
    <n v="3146.78"/>
    <n v="1"/>
    <n v="0.20947321823815848"/>
  </r>
  <r>
    <s v="PROD-1693"/>
    <x v="8"/>
    <x v="4"/>
    <s v="S-102"/>
    <x v="4"/>
    <n v="336"/>
    <n v="407.73"/>
    <d v="2025-03-30T00:00:00"/>
    <d v="2025-04-08T00:00:00"/>
    <n v="90.24"/>
    <n v="136997.28"/>
    <n v="30320.639999999999"/>
    <n v="9"/>
    <n v="0.22132293429475386"/>
  </r>
  <r>
    <s v="PROD-1694"/>
    <x v="10"/>
    <x v="1"/>
    <s v="S-102"/>
    <x v="4"/>
    <n v="226"/>
    <n v="157.85"/>
    <d v="2025-01-21T00:00:00"/>
    <d v="2025-02-18T00:00:00"/>
    <n v="26.62"/>
    <n v="35674.1"/>
    <n v="6016.12"/>
    <n v="28"/>
    <n v="0.16864111498257842"/>
  </r>
  <r>
    <s v="PROD-1695"/>
    <x v="15"/>
    <x v="3"/>
    <s v="S-105"/>
    <x v="0"/>
    <n v="251"/>
    <n v="436.77"/>
    <d v="2025-01-24T00:00:00"/>
    <d v="2025-02-01T00:00:00"/>
    <n v="69.12"/>
    <n v="109629.26999999999"/>
    <n v="17349.120000000003"/>
    <n v="8"/>
    <n v="0.15825262724088193"/>
  </r>
  <r>
    <s v="PROD-1696"/>
    <x v="11"/>
    <x v="0"/>
    <s v="S-101"/>
    <x v="3"/>
    <n v="287"/>
    <n v="236.16"/>
    <d v="2025-01-12T00:00:00"/>
    <d v="2025-01-16T00:00:00"/>
    <n v="52.57"/>
    <n v="67777.919999999998"/>
    <n v="15087.59"/>
    <n v="4"/>
    <n v="0.22260331978319783"/>
  </r>
  <r>
    <s v="PROD-1697"/>
    <x v="2"/>
    <x v="2"/>
    <s v="S-104"/>
    <x v="1"/>
    <n v="412"/>
    <n v="280.67"/>
    <d v="2025-05-14T00:00:00"/>
    <d v="2025-06-06T00:00:00"/>
    <n v="50.5"/>
    <n v="115636.04000000001"/>
    <n v="20806"/>
    <n v="23"/>
    <n v="0.1799266041970998"/>
  </r>
  <r>
    <s v="PROD-1698"/>
    <x v="8"/>
    <x v="4"/>
    <s v="S-105"/>
    <x v="0"/>
    <n v="386"/>
    <n v="438.99"/>
    <d v="2025-06-15T00:00:00"/>
    <d v="2025-07-04T00:00:00"/>
    <n v="113.54"/>
    <n v="169450.14"/>
    <n v="43826.44"/>
    <n v="19"/>
    <n v="0.25863914895555706"/>
  </r>
  <r>
    <s v="PROD-1699"/>
    <x v="11"/>
    <x v="0"/>
    <s v="S-103"/>
    <x v="2"/>
    <n v="297"/>
    <n v="448.78"/>
    <d v="2025-03-16T00:00:00"/>
    <d v="2025-03-22T00:00:00"/>
    <n v="115.38"/>
    <n v="133287.66"/>
    <n v="34267.86"/>
    <n v="6"/>
    <n v="0.25709701858371586"/>
  </r>
  <r>
    <s v="PROD-1700"/>
    <x v="2"/>
    <x v="2"/>
    <s v="S-102"/>
    <x v="4"/>
    <n v="166"/>
    <n v="446.91"/>
    <d v="2025-05-01T00:00:00"/>
    <d v="2025-05-04T00:00:00"/>
    <n v="48.83"/>
    <n v="74187.06"/>
    <n v="8105.78"/>
    <n v="3"/>
    <n v="0.10926137253585733"/>
  </r>
  <r>
    <s v="PROD-1701"/>
    <x v="9"/>
    <x v="1"/>
    <s v="S-105"/>
    <x v="0"/>
    <n v="83"/>
    <n v="365.95"/>
    <d v="2025-01-26T00:00:00"/>
    <d v="2025-02-09T00:00:00"/>
    <n v="46"/>
    <n v="30373.85"/>
    <n v="3818"/>
    <n v="14"/>
    <n v="0.12570023227216834"/>
  </r>
  <r>
    <s v="PROD-1702"/>
    <x v="1"/>
    <x v="1"/>
    <s v="S-101"/>
    <x v="3"/>
    <n v="478"/>
    <n v="207.93"/>
    <d v="2025-05-01T00:00:00"/>
    <d v="2025-05-16T00:00:00"/>
    <n v="31.32"/>
    <n v="99390.540000000008"/>
    <n v="14970.960000000001"/>
    <n v="15"/>
    <n v="0.15062761506276151"/>
  </r>
  <r>
    <s v="PROD-1703"/>
    <x v="17"/>
    <x v="3"/>
    <s v="S-102"/>
    <x v="4"/>
    <n v="185"/>
    <n v="60.32"/>
    <d v="2025-06-17T00:00:00"/>
    <d v="2025-06-25T00:00:00"/>
    <n v="15.74"/>
    <n v="11159.2"/>
    <n v="2911.9"/>
    <n v="8"/>
    <n v="0.26094164456233421"/>
  </r>
  <r>
    <s v="PROD-1704"/>
    <x v="9"/>
    <x v="1"/>
    <s v="S-104"/>
    <x v="1"/>
    <n v="284"/>
    <n v="416.67"/>
    <d v="2025-05-12T00:00:00"/>
    <d v="2025-05-22T00:00:00"/>
    <n v="46.96"/>
    <n v="118334.28"/>
    <n v="13336.64"/>
    <n v="10"/>
    <n v="0.112703098375213"/>
  </r>
  <r>
    <s v="PROD-1705"/>
    <x v="0"/>
    <x v="0"/>
    <s v="S-104"/>
    <x v="1"/>
    <n v="116"/>
    <n v="105.37"/>
    <d v="2025-06-29T00:00:00"/>
    <d v="2025-07-12T00:00:00"/>
    <n v="29.24"/>
    <n v="12222.92"/>
    <n v="3391.8399999999997"/>
    <n v="13"/>
    <n v="0.27749833918572647"/>
  </r>
  <r>
    <s v="PROD-1706"/>
    <x v="12"/>
    <x v="4"/>
    <s v="S-101"/>
    <x v="3"/>
    <n v="323"/>
    <n v="64.45"/>
    <d v="2025-02-05T00:00:00"/>
    <d v="2025-03-01T00:00:00"/>
    <n v="12.23"/>
    <n v="20817.350000000002"/>
    <n v="3950.29"/>
    <n v="24"/>
    <n v="0.18975950349107834"/>
  </r>
  <r>
    <s v="PROD-1707"/>
    <x v="11"/>
    <x v="0"/>
    <s v="S-101"/>
    <x v="3"/>
    <n v="236"/>
    <n v="225.1"/>
    <d v="2025-03-15T00:00:00"/>
    <d v="2025-03-25T00:00:00"/>
    <n v="29.54"/>
    <n v="53123.6"/>
    <n v="6971.44"/>
    <n v="10"/>
    <n v="0.1312305641936917"/>
  </r>
  <r>
    <s v="PROD-1708"/>
    <x v="5"/>
    <x v="4"/>
    <s v="S-102"/>
    <x v="4"/>
    <n v="60"/>
    <n v="91.38"/>
    <d v="2025-03-11T00:00:00"/>
    <d v="2025-04-03T00:00:00"/>
    <n v="12.16"/>
    <n v="5482.7999999999993"/>
    <n v="729.6"/>
    <n v="23"/>
    <n v="0.13307069380608449"/>
  </r>
  <r>
    <s v="PROD-1709"/>
    <x v="16"/>
    <x v="3"/>
    <s v="S-102"/>
    <x v="4"/>
    <n v="240"/>
    <n v="413.2"/>
    <d v="2025-01-22T00:00:00"/>
    <d v="2025-01-29T00:00:00"/>
    <n v="104.17"/>
    <n v="99168"/>
    <n v="25000.799999999999"/>
    <n v="7"/>
    <n v="0.25210551790900293"/>
  </r>
  <r>
    <s v="PROD-1710"/>
    <x v="14"/>
    <x v="4"/>
    <s v="S-101"/>
    <x v="3"/>
    <n v="375"/>
    <n v="318.57"/>
    <d v="2025-01-29T00:00:00"/>
    <d v="2025-02-05T00:00:00"/>
    <n v="62.99"/>
    <n v="119463.75"/>
    <n v="23621.25"/>
    <n v="7"/>
    <n v="0.19772734406880749"/>
  </r>
  <r>
    <s v="PROD-1711"/>
    <x v="0"/>
    <x v="0"/>
    <s v="S-102"/>
    <x v="4"/>
    <n v="434"/>
    <n v="351.72"/>
    <d v="2025-02-23T00:00:00"/>
    <d v="2025-03-10T00:00:00"/>
    <n v="67.25"/>
    <n v="152646.48000000001"/>
    <n v="29186.5"/>
    <n v="15"/>
    <n v="0.1912032298419197"/>
  </r>
  <r>
    <s v="PROD-1712"/>
    <x v="11"/>
    <x v="0"/>
    <s v="S-101"/>
    <x v="3"/>
    <n v="401"/>
    <n v="458.36"/>
    <d v="2025-02-03T00:00:00"/>
    <d v="2025-02-14T00:00:00"/>
    <n v="90.66"/>
    <n v="183802.36000000002"/>
    <n v="36354.659999999996"/>
    <n v="11"/>
    <n v="0.19779212845798061"/>
  </r>
  <r>
    <s v="PROD-1713"/>
    <x v="4"/>
    <x v="3"/>
    <s v="S-104"/>
    <x v="1"/>
    <n v="132"/>
    <n v="314.86"/>
    <d v="2025-01-04T00:00:00"/>
    <d v="2025-01-11T00:00:00"/>
    <n v="59.95"/>
    <n v="41561.520000000004"/>
    <n v="7913.4000000000005"/>
    <n v="7"/>
    <n v="0.19040208346566728"/>
  </r>
  <r>
    <s v="PROD-1714"/>
    <x v="18"/>
    <x v="1"/>
    <s v="S-101"/>
    <x v="3"/>
    <n v="380"/>
    <n v="442.21"/>
    <d v="2025-06-22T00:00:00"/>
    <d v="2025-07-19T00:00:00"/>
    <n v="115.66"/>
    <n v="168039.8"/>
    <n v="43950.799999999996"/>
    <n v="27"/>
    <n v="0.26154994233508966"/>
  </r>
  <r>
    <s v="PROD-1715"/>
    <x v="7"/>
    <x v="0"/>
    <s v="S-105"/>
    <x v="0"/>
    <n v="347"/>
    <n v="186.59"/>
    <d v="2025-02-19T00:00:00"/>
    <d v="2025-03-08T00:00:00"/>
    <n v="44.96"/>
    <n v="64746.73"/>
    <n v="15601.12"/>
    <n v="17"/>
    <n v="0.24095610697250658"/>
  </r>
  <r>
    <s v="PROD-1716"/>
    <x v="18"/>
    <x v="1"/>
    <s v="S-103"/>
    <x v="2"/>
    <n v="199"/>
    <n v="297.14"/>
    <d v="2025-02-18T00:00:00"/>
    <d v="2025-02-25T00:00:00"/>
    <n v="54.87"/>
    <n v="59130.86"/>
    <n v="10919.13"/>
    <n v="7"/>
    <n v="0.18466042942720604"/>
  </r>
  <r>
    <s v="PROD-1717"/>
    <x v="19"/>
    <x v="0"/>
    <s v="S-104"/>
    <x v="1"/>
    <n v="428"/>
    <n v="240.15"/>
    <d v="2025-06-18T00:00:00"/>
    <d v="2025-07-17T00:00:00"/>
    <n v="53.44"/>
    <n v="102784.2"/>
    <n v="22872.32"/>
    <n v="29"/>
    <n v="0.22252758692483862"/>
  </r>
  <r>
    <s v="PROD-1718"/>
    <x v="13"/>
    <x v="2"/>
    <s v="S-104"/>
    <x v="1"/>
    <n v="294"/>
    <n v="269.91000000000003"/>
    <d v="2025-06-06T00:00:00"/>
    <d v="2025-06-17T00:00:00"/>
    <n v="29.21"/>
    <n v="79353.540000000008"/>
    <n v="8587.74"/>
    <n v="11"/>
    <n v="0.10822125893816456"/>
  </r>
  <r>
    <s v="PROD-1719"/>
    <x v="1"/>
    <x v="1"/>
    <s v="S-101"/>
    <x v="3"/>
    <n v="299"/>
    <n v="72.39"/>
    <d v="2025-06-16T00:00:00"/>
    <d v="2025-07-07T00:00:00"/>
    <n v="17"/>
    <n v="21644.61"/>
    <n v="5083"/>
    <n v="21"/>
    <n v="0.2348390661693604"/>
  </r>
  <r>
    <s v="PROD-1720"/>
    <x v="0"/>
    <x v="0"/>
    <s v="S-105"/>
    <x v="0"/>
    <n v="149"/>
    <n v="182.18"/>
    <d v="2025-04-17T00:00:00"/>
    <d v="2025-05-09T00:00:00"/>
    <n v="45.55"/>
    <n v="27144.82"/>
    <n v="6786.95"/>
    <n v="22"/>
    <n v="0.25002744538368643"/>
  </r>
  <r>
    <s v="PROD-1721"/>
    <x v="5"/>
    <x v="4"/>
    <s v="S-102"/>
    <x v="4"/>
    <n v="204"/>
    <n v="228.39"/>
    <d v="2025-01-18T00:00:00"/>
    <d v="2025-01-31T00:00:00"/>
    <n v="29.82"/>
    <n v="46591.56"/>
    <n v="6083.28"/>
    <n v="13"/>
    <n v="0.13056613687114146"/>
  </r>
  <r>
    <s v="PROD-1722"/>
    <x v="19"/>
    <x v="0"/>
    <s v="S-103"/>
    <x v="2"/>
    <n v="104"/>
    <n v="241.89"/>
    <d v="2025-03-03T00:00:00"/>
    <d v="2025-03-27T00:00:00"/>
    <n v="64.77"/>
    <n v="25156.559999999998"/>
    <n v="6736.08"/>
    <n v="24"/>
    <n v="0.26776634007193351"/>
  </r>
  <r>
    <s v="PROD-1723"/>
    <x v="0"/>
    <x v="0"/>
    <s v="S-101"/>
    <x v="3"/>
    <n v="311"/>
    <n v="125.86"/>
    <d v="2025-01-17T00:00:00"/>
    <d v="2025-02-16T00:00:00"/>
    <n v="27.27"/>
    <n v="39142.46"/>
    <n v="8480.9699999999993"/>
    <n v="30"/>
    <n v="0.21666931511202925"/>
  </r>
  <r>
    <s v="PROD-1724"/>
    <x v="10"/>
    <x v="1"/>
    <s v="S-101"/>
    <x v="3"/>
    <n v="497"/>
    <n v="265.02"/>
    <d v="2025-02-01T00:00:00"/>
    <d v="2025-02-14T00:00:00"/>
    <n v="69.7"/>
    <n v="131714.94"/>
    <n v="34640.9"/>
    <n v="13"/>
    <n v="0.2629990189419667"/>
  </r>
  <r>
    <s v="PROD-1725"/>
    <x v="2"/>
    <x v="2"/>
    <s v="S-101"/>
    <x v="3"/>
    <n v="429"/>
    <n v="109.36"/>
    <d v="2025-06-02T00:00:00"/>
    <d v="2025-06-05T00:00:00"/>
    <n v="13.47"/>
    <n v="46915.44"/>
    <n v="5778.63"/>
    <n v="3"/>
    <n v="0.12317117776152159"/>
  </r>
  <r>
    <s v="PROD-1726"/>
    <x v="0"/>
    <x v="0"/>
    <s v="S-104"/>
    <x v="1"/>
    <n v="330"/>
    <n v="143.36000000000001"/>
    <d v="2025-05-22T00:00:00"/>
    <d v="2025-05-25T00:00:00"/>
    <n v="38.31"/>
    <n v="47308.800000000003"/>
    <n v="12642.300000000001"/>
    <n v="3"/>
    <n v="0.2672293526785714"/>
  </r>
  <r>
    <s v="PROD-1727"/>
    <x v="6"/>
    <x v="2"/>
    <s v="S-105"/>
    <x v="0"/>
    <n v="214"/>
    <n v="315.26"/>
    <d v="2025-06-26T00:00:00"/>
    <d v="2025-07-14T00:00:00"/>
    <n v="44.99"/>
    <n v="67465.64"/>
    <n v="9627.86"/>
    <n v="18"/>
    <n v="0.14270760642009772"/>
  </r>
  <r>
    <s v="PROD-1728"/>
    <x v="0"/>
    <x v="0"/>
    <s v="S-101"/>
    <x v="3"/>
    <n v="330"/>
    <n v="118.2"/>
    <d v="2025-03-20T00:00:00"/>
    <d v="2025-04-13T00:00:00"/>
    <n v="25.28"/>
    <n v="39006"/>
    <n v="8342.4"/>
    <n v="24"/>
    <n v="0.21387478849407784"/>
  </r>
  <r>
    <s v="PROD-1729"/>
    <x v="2"/>
    <x v="2"/>
    <s v="S-102"/>
    <x v="4"/>
    <n v="371"/>
    <n v="204.88"/>
    <d v="2025-06-11T00:00:00"/>
    <d v="2025-06-30T00:00:00"/>
    <n v="24.98"/>
    <n v="76010.48"/>
    <n v="9267.58"/>
    <n v="19"/>
    <n v="0.12192502928543539"/>
  </r>
  <r>
    <s v="PROD-1730"/>
    <x v="5"/>
    <x v="4"/>
    <s v="S-102"/>
    <x v="4"/>
    <n v="345"/>
    <n v="491.76"/>
    <d v="2025-01-09T00:00:00"/>
    <d v="2025-02-03T00:00:00"/>
    <n v="116.32"/>
    <n v="169657.19999999998"/>
    <n v="40130.399999999994"/>
    <n v="25"/>
    <n v="0.23653814869041809"/>
  </r>
  <r>
    <s v="PROD-1731"/>
    <x v="2"/>
    <x v="2"/>
    <s v="S-103"/>
    <x v="2"/>
    <n v="67"/>
    <n v="35.96"/>
    <d v="2025-02-04T00:00:00"/>
    <d v="2025-02-24T00:00:00"/>
    <n v="3.69"/>
    <n v="2409.3200000000002"/>
    <n v="247.23"/>
    <n v="20"/>
    <n v="0.10261401557285872"/>
  </r>
  <r>
    <s v="PROD-1732"/>
    <x v="17"/>
    <x v="3"/>
    <s v="S-102"/>
    <x v="4"/>
    <n v="444"/>
    <n v="112.7"/>
    <d v="2025-02-12T00:00:00"/>
    <d v="2025-03-10T00:00:00"/>
    <n v="18.57"/>
    <n v="50038.8"/>
    <n v="8245.08"/>
    <n v="26"/>
    <n v="0.16477373558118899"/>
  </r>
  <r>
    <s v="PROD-1733"/>
    <x v="15"/>
    <x v="3"/>
    <s v="S-101"/>
    <x v="3"/>
    <n v="166"/>
    <n v="153.68"/>
    <d v="2025-02-19T00:00:00"/>
    <d v="2025-02-23T00:00:00"/>
    <n v="41.66"/>
    <n v="25510.880000000001"/>
    <n v="6915.5599999999995"/>
    <n v="4"/>
    <n v="0.27108276939094217"/>
  </r>
  <r>
    <s v="PROD-1734"/>
    <x v="16"/>
    <x v="3"/>
    <s v="S-104"/>
    <x v="1"/>
    <n v="463"/>
    <n v="102.02"/>
    <d v="2025-05-29T00:00:00"/>
    <d v="2025-06-08T00:00:00"/>
    <n v="24.07"/>
    <n v="47235.259999999995"/>
    <n v="11144.41"/>
    <n v="10"/>
    <n v="0.23593413056263479"/>
  </r>
  <r>
    <s v="PROD-1735"/>
    <x v="7"/>
    <x v="0"/>
    <s v="S-104"/>
    <x v="1"/>
    <n v="354"/>
    <n v="54.14"/>
    <d v="2025-05-17T00:00:00"/>
    <d v="2025-06-10T00:00:00"/>
    <n v="5.44"/>
    <n v="19165.560000000001"/>
    <n v="1925.7600000000002"/>
    <n v="24"/>
    <n v="0.10048023642408571"/>
  </r>
  <r>
    <s v="PROD-1736"/>
    <x v="3"/>
    <x v="2"/>
    <s v="S-105"/>
    <x v="0"/>
    <n v="371"/>
    <n v="402.44"/>
    <d v="2025-02-20T00:00:00"/>
    <d v="2025-03-16T00:00:00"/>
    <n v="104.68"/>
    <n v="149305.24"/>
    <n v="38836.280000000006"/>
    <n v="24"/>
    <n v="0.26011330881622108"/>
  </r>
  <r>
    <s v="PROD-1737"/>
    <x v="3"/>
    <x v="2"/>
    <s v="S-105"/>
    <x v="0"/>
    <n v="300"/>
    <n v="221.06"/>
    <d v="2025-04-30T00:00:00"/>
    <d v="2025-05-01T00:00:00"/>
    <n v="43.36"/>
    <n v="66318"/>
    <n v="13008"/>
    <n v="1"/>
    <n v="0.19614584275762237"/>
  </r>
  <r>
    <s v="PROD-1738"/>
    <x v="15"/>
    <x v="3"/>
    <s v="S-102"/>
    <x v="4"/>
    <n v="441"/>
    <n v="25.14"/>
    <d v="2025-06-29T00:00:00"/>
    <d v="2025-07-09T00:00:00"/>
    <n v="5.14"/>
    <n v="11086.74"/>
    <n v="2266.7399999999998"/>
    <n v="10"/>
    <n v="0.20445505171042161"/>
  </r>
  <r>
    <s v="PROD-1739"/>
    <x v="8"/>
    <x v="4"/>
    <s v="S-105"/>
    <x v="0"/>
    <n v="77"/>
    <n v="73.92"/>
    <d v="2025-02-06T00:00:00"/>
    <d v="2025-02-24T00:00:00"/>
    <n v="20.87"/>
    <n v="5691.84"/>
    <n v="1606.99"/>
    <n v="18"/>
    <n v="0.28233225108225107"/>
  </r>
  <r>
    <s v="PROD-1740"/>
    <x v="17"/>
    <x v="3"/>
    <s v="S-101"/>
    <x v="3"/>
    <n v="19"/>
    <n v="295.26"/>
    <d v="2025-06-26T00:00:00"/>
    <d v="2025-07-20T00:00:00"/>
    <n v="57.98"/>
    <n v="5609.94"/>
    <n v="1101.6199999999999"/>
    <n v="24"/>
    <n v="0.19636930163245953"/>
  </r>
  <r>
    <s v="PROD-1741"/>
    <x v="6"/>
    <x v="2"/>
    <s v="S-101"/>
    <x v="3"/>
    <n v="380"/>
    <n v="254.47"/>
    <d v="2025-01-28T00:00:00"/>
    <d v="2025-02-12T00:00:00"/>
    <n v="72.87"/>
    <n v="96698.6"/>
    <n v="27690.600000000002"/>
    <n v="15"/>
    <n v="0.28635988525169964"/>
  </r>
  <r>
    <s v="PROD-1742"/>
    <x v="19"/>
    <x v="0"/>
    <s v="S-102"/>
    <x v="4"/>
    <n v="437"/>
    <n v="81.03"/>
    <d v="2025-01-28T00:00:00"/>
    <d v="2025-01-30T00:00:00"/>
    <n v="14.12"/>
    <n v="35410.11"/>
    <n v="6170.44"/>
    <n v="2"/>
    <n v="0.17425644822905095"/>
  </r>
  <r>
    <s v="PROD-1743"/>
    <x v="14"/>
    <x v="4"/>
    <s v="S-102"/>
    <x v="4"/>
    <n v="140"/>
    <n v="286.58"/>
    <d v="2025-02-08T00:00:00"/>
    <d v="2025-02-23T00:00:00"/>
    <n v="71.45"/>
    <n v="40121.199999999997"/>
    <n v="10003"/>
    <n v="15"/>
    <n v="0.2493195617279643"/>
  </r>
  <r>
    <s v="PROD-1744"/>
    <x v="10"/>
    <x v="1"/>
    <s v="S-105"/>
    <x v="0"/>
    <n v="148"/>
    <n v="413.06"/>
    <d v="2025-04-25T00:00:00"/>
    <d v="2025-05-06T00:00:00"/>
    <n v="120.36"/>
    <n v="61132.88"/>
    <n v="17813.28"/>
    <n v="11"/>
    <n v="0.29138623928727059"/>
  </r>
  <r>
    <s v="PROD-1745"/>
    <x v="16"/>
    <x v="3"/>
    <s v="S-103"/>
    <x v="2"/>
    <n v="314"/>
    <n v="467.9"/>
    <d v="2025-01-21T00:00:00"/>
    <d v="2025-02-14T00:00:00"/>
    <n v="105.69"/>
    <n v="146920.6"/>
    <n v="33186.659999999996"/>
    <n v="24"/>
    <n v="0.22588159863218638"/>
  </r>
  <r>
    <s v="PROD-1746"/>
    <x v="3"/>
    <x v="2"/>
    <s v="S-101"/>
    <x v="3"/>
    <n v="294"/>
    <n v="52.8"/>
    <d v="2025-06-23T00:00:00"/>
    <d v="2025-06-27T00:00:00"/>
    <n v="14.62"/>
    <n v="15523.199999999999"/>
    <n v="4298.28"/>
    <n v="4"/>
    <n v="0.27689393939393941"/>
  </r>
  <r>
    <s v="PROD-1747"/>
    <x v="16"/>
    <x v="3"/>
    <s v="S-103"/>
    <x v="2"/>
    <n v="298"/>
    <n v="53.61"/>
    <d v="2025-04-14T00:00:00"/>
    <d v="2025-04-27T00:00:00"/>
    <n v="9.35"/>
    <n v="15975.78"/>
    <n v="2786.2999999999997"/>
    <n v="13"/>
    <n v="0.17440775974631598"/>
  </r>
  <r>
    <s v="PROD-1748"/>
    <x v="3"/>
    <x v="2"/>
    <s v="S-102"/>
    <x v="4"/>
    <n v="218"/>
    <n v="405.35"/>
    <d v="2025-02-05T00:00:00"/>
    <d v="2025-02-18T00:00:00"/>
    <n v="118.62"/>
    <n v="88366.3"/>
    <n v="25859.16"/>
    <n v="13"/>
    <n v="0.29263599358579007"/>
  </r>
  <r>
    <s v="PROD-1749"/>
    <x v="10"/>
    <x v="1"/>
    <s v="S-103"/>
    <x v="2"/>
    <n v="232"/>
    <n v="165.9"/>
    <d v="2025-03-12T00:00:00"/>
    <d v="2025-03-20T00:00:00"/>
    <n v="30.3"/>
    <n v="38488.800000000003"/>
    <n v="7029.6"/>
    <n v="8"/>
    <n v="0.18264014466546111"/>
  </r>
  <r>
    <s v="PROD-1750"/>
    <x v="18"/>
    <x v="1"/>
    <s v="S-102"/>
    <x v="4"/>
    <n v="178"/>
    <n v="367.46"/>
    <d v="2025-05-27T00:00:00"/>
    <d v="2025-06-07T00:00:00"/>
    <n v="48.92"/>
    <n v="65407.88"/>
    <n v="8707.76"/>
    <n v="11"/>
    <n v="0.13313013661350898"/>
  </r>
  <r>
    <s v="PROD-1751"/>
    <x v="12"/>
    <x v="4"/>
    <s v="S-104"/>
    <x v="1"/>
    <n v="375"/>
    <n v="82.93"/>
    <d v="2025-05-09T00:00:00"/>
    <d v="2025-05-18T00:00:00"/>
    <n v="12.35"/>
    <n v="31098.750000000004"/>
    <n v="4631.25"/>
    <n v="9"/>
    <n v="0.14892077655854333"/>
  </r>
  <r>
    <s v="PROD-1752"/>
    <x v="13"/>
    <x v="2"/>
    <s v="S-104"/>
    <x v="1"/>
    <n v="382"/>
    <n v="185.11"/>
    <d v="2025-04-25T00:00:00"/>
    <d v="2025-05-04T00:00:00"/>
    <n v="47.67"/>
    <n v="70712.02"/>
    <n v="18209.940000000002"/>
    <n v="9"/>
    <n v="0.25752255415698772"/>
  </r>
  <r>
    <s v="PROD-1753"/>
    <x v="15"/>
    <x v="3"/>
    <s v="S-104"/>
    <x v="1"/>
    <n v="126"/>
    <n v="152.96"/>
    <d v="2025-06-25T00:00:00"/>
    <d v="2025-07-06T00:00:00"/>
    <n v="41.88"/>
    <n v="19272.960000000003"/>
    <n v="5276.88"/>
    <n v="11"/>
    <n v="0.27379707112970714"/>
  </r>
  <r>
    <s v="PROD-1754"/>
    <x v="8"/>
    <x v="4"/>
    <s v="S-105"/>
    <x v="0"/>
    <n v="34"/>
    <n v="342.6"/>
    <d v="2025-06-15T00:00:00"/>
    <d v="2025-06-26T00:00:00"/>
    <n v="54.09"/>
    <n v="11648.400000000001"/>
    <n v="1839.0600000000002"/>
    <n v="11"/>
    <n v="0.15788091068301227"/>
  </r>
  <r>
    <s v="PROD-1755"/>
    <x v="4"/>
    <x v="3"/>
    <s v="S-102"/>
    <x v="4"/>
    <n v="230"/>
    <n v="383.7"/>
    <d v="2025-05-03T00:00:00"/>
    <d v="2025-05-27T00:00:00"/>
    <n v="47.56"/>
    <n v="88251"/>
    <n v="10938.800000000001"/>
    <n v="24"/>
    <n v="0.1239510033880636"/>
  </r>
  <r>
    <s v="PROD-1756"/>
    <x v="8"/>
    <x v="4"/>
    <s v="S-104"/>
    <x v="1"/>
    <n v="39"/>
    <n v="185.49"/>
    <d v="2025-01-03T00:00:00"/>
    <d v="2025-01-12T00:00:00"/>
    <n v="27.4"/>
    <n v="7234.1100000000006"/>
    <n v="1068.5999999999999"/>
    <n v="9"/>
    <n v="0.14771685805164697"/>
  </r>
  <r>
    <s v="PROD-1757"/>
    <x v="9"/>
    <x v="1"/>
    <s v="S-101"/>
    <x v="3"/>
    <n v="352"/>
    <n v="217.85"/>
    <d v="2025-02-22T00:00:00"/>
    <d v="2025-03-15T00:00:00"/>
    <n v="22.37"/>
    <n v="76683.199999999997"/>
    <n v="7874.2400000000007"/>
    <n v="21"/>
    <n v="0.10268533394537527"/>
  </r>
  <r>
    <s v="PROD-1758"/>
    <x v="10"/>
    <x v="1"/>
    <s v="S-104"/>
    <x v="1"/>
    <n v="301"/>
    <n v="122.58"/>
    <d v="2025-03-16T00:00:00"/>
    <d v="2025-04-14T00:00:00"/>
    <n v="21.88"/>
    <n v="36896.58"/>
    <n v="6585.88"/>
    <n v="29"/>
    <n v="0.17849567629303312"/>
  </r>
  <r>
    <s v="PROD-1759"/>
    <x v="1"/>
    <x v="1"/>
    <s v="S-105"/>
    <x v="0"/>
    <n v="381"/>
    <n v="134.32"/>
    <d v="2025-02-14T00:00:00"/>
    <d v="2025-02-27T00:00:00"/>
    <n v="29.08"/>
    <n v="51175.92"/>
    <n v="11079.48"/>
    <n v="13"/>
    <n v="0.21649791542584873"/>
  </r>
  <r>
    <s v="PROD-1760"/>
    <x v="1"/>
    <x v="1"/>
    <s v="S-103"/>
    <x v="2"/>
    <n v="68"/>
    <n v="141.53"/>
    <d v="2025-05-29T00:00:00"/>
    <d v="2025-06-07T00:00:00"/>
    <n v="27.7"/>
    <n v="9624.0400000000009"/>
    <n v="1883.6"/>
    <n v="9"/>
    <n v="0.19571822228502792"/>
  </r>
  <r>
    <s v="PROD-1761"/>
    <x v="15"/>
    <x v="3"/>
    <s v="S-101"/>
    <x v="3"/>
    <n v="469"/>
    <n v="422.55"/>
    <d v="2025-01-31T00:00:00"/>
    <d v="2025-02-28T00:00:00"/>
    <n v="93.39"/>
    <n v="198175.95"/>
    <n v="43799.91"/>
    <n v="28"/>
    <n v="0.22101526446574368"/>
  </r>
  <r>
    <s v="PROD-1762"/>
    <x v="7"/>
    <x v="0"/>
    <s v="S-101"/>
    <x v="3"/>
    <n v="101"/>
    <n v="130.31"/>
    <d v="2025-06-07T00:00:00"/>
    <d v="2025-06-20T00:00:00"/>
    <n v="14.06"/>
    <n v="13161.31"/>
    <n v="1420.06"/>
    <n v="13"/>
    <n v="0.10789655437034763"/>
  </r>
  <r>
    <s v="PROD-1763"/>
    <x v="3"/>
    <x v="2"/>
    <s v="S-105"/>
    <x v="0"/>
    <n v="409"/>
    <n v="86.87"/>
    <d v="2025-04-03T00:00:00"/>
    <d v="2025-04-05T00:00:00"/>
    <n v="14.12"/>
    <n v="35529.83"/>
    <n v="5775.08"/>
    <n v="2"/>
    <n v="0.16254172902037525"/>
  </r>
  <r>
    <s v="PROD-1764"/>
    <x v="13"/>
    <x v="2"/>
    <s v="S-101"/>
    <x v="3"/>
    <n v="479"/>
    <n v="56.48"/>
    <d v="2025-05-03T00:00:00"/>
    <d v="2025-05-18T00:00:00"/>
    <n v="13.53"/>
    <n v="27053.919999999998"/>
    <n v="6480.87"/>
    <n v="15"/>
    <n v="0.23955382436260622"/>
  </r>
  <r>
    <s v="PROD-1765"/>
    <x v="9"/>
    <x v="1"/>
    <s v="S-101"/>
    <x v="3"/>
    <n v="236"/>
    <n v="122.69"/>
    <d v="2025-03-12T00:00:00"/>
    <d v="2025-04-09T00:00:00"/>
    <n v="34.9"/>
    <n v="28954.84"/>
    <n v="8236.4"/>
    <n v="28"/>
    <n v="0.28445676094221206"/>
  </r>
  <r>
    <s v="PROD-1766"/>
    <x v="7"/>
    <x v="0"/>
    <s v="S-105"/>
    <x v="0"/>
    <n v="402"/>
    <n v="60.41"/>
    <d v="2025-06-23T00:00:00"/>
    <d v="2025-07-11T00:00:00"/>
    <n v="10.53"/>
    <n v="24284.82"/>
    <n v="4233.0599999999995"/>
    <n v="18"/>
    <n v="0.17430888925674556"/>
  </r>
  <r>
    <s v="PROD-1767"/>
    <x v="2"/>
    <x v="2"/>
    <s v="S-104"/>
    <x v="1"/>
    <n v="186"/>
    <n v="459.37"/>
    <d v="2025-03-06T00:00:00"/>
    <d v="2025-03-26T00:00:00"/>
    <n v="64.66"/>
    <n v="85442.82"/>
    <n v="12026.76"/>
    <n v="20"/>
    <n v="0.14075799464483965"/>
  </r>
  <r>
    <s v="PROD-1768"/>
    <x v="17"/>
    <x v="3"/>
    <s v="S-101"/>
    <x v="3"/>
    <n v="105"/>
    <n v="343.51"/>
    <d v="2025-03-30T00:00:00"/>
    <d v="2025-04-12T00:00:00"/>
    <n v="56.25"/>
    <n v="36068.549999999996"/>
    <n v="5906.25"/>
    <n v="13"/>
    <n v="0.16375069139180809"/>
  </r>
  <r>
    <s v="PROD-1769"/>
    <x v="4"/>
    <x v="3"/>
    <s v="S-101"/>
    <x v="3"/>
    <n v="446"/>
    <n v="254.26"/>
    <d v="2025-05-24T00:00:00"/>
    <d v="2025-05-29T00:00:00"/>
    <n v="30"/>
    <n v="113399.95999999999"/>
    <n v="13380"/>
    <n v="5"/>
    <n v="0.117989459608275"/>
  </r>
  <r>
    <s v="PROD-1770"/>
    <x v="17"/>
    <x v="3"/>
    <s v="S-102"/>
    <x v="4"/>
    <n v="164"/>
    <n v="207.58"/>
    <d v="2025-04-30T00:00:00"/>
    <d v="2025-05-11T00:00:00"/>
    <n v="47.4"/>
    <n v="34043.120000000003"/>
    <n v="7773.5999999999995"/>
    <n v="11"/>
    <n v="0.22834569804412755"/>
  </r>
  <r>
    <s v="PROD-1771"/>
    <x v="12"/>
    <x v="4"/>
    <s v="S-105"/>
    <x v="0"/>
    <n v="229"/>
    <n v="363.21"/>
    <d v="2025-06-07T00:00:00"/>
    <d v="2025-06-14T00:00:00"/>
    <n v="61.75"/>
    <n v="83175.09"/>
    <n v="14140.75"/>
    <n v="7"/>
    <n v="0.17001183888108809"/>
  </r>
  <r>
    <s v="PROD-1772"/>
    <x v="15"/>
    <x v="3"/>
    <s v="S-103"/>
    <x v="2"/>
    <n v="194"/>
    <n v="169.11"/>
    <d v="2025-01-20T00:00:00"/>
    <d v="2025-02-10T00:00:00"/>
    <n v="44.72"/>
    <n v="32807.340000000004"/>
    <n v="8675.68"/>
    <n v="21"/>
    <n v="0.26444326178227184"/>
  </r>
  <r>
    <s v="PROD-1773"/>
    <x v="11"/>
    <x v="0"/>
    <s v="S-101"/>
    <x v="3"/>
    <n v="72"/>
    <n v="389.17"/>
    <d v="2025-03-08T00:00:00"/>
    <d v="2025-03-28T00:00:00"/>
    <n v="80.83"/>
    <n v="28020.240000000002"/>
    <n v="5819.76"/>
    <n v="20"/>
    <n v="0.20769843513117658"/>
  </r>
  <r>
    <s v="PROD-1774"/>
    <x v="5"/>
    <x v="4"/>
    <s v="S-104"/>
    <x v="1"/>
    <n v="482"/>
    <n v="452.38"/>
    <d v="2025-02-14T00:00:00"/>
    <d v="2025-03-11T00:00:00"/>
    <n v="88.44"/>
    <n v="218047.16"/>
    <n v="42628.08"/>
    <n v="25"/>
    <n v="0.19549935894601883"/>
  </r>
  <r>
    <s v="PROD-1775"/>
    <x v="9"/>
    <x v="1"/>
    <s v="S-102"/>
    <x v="4"/>
    <n v="278"/>
    <n v="132.97999999999999"/>
    <d v="2025-03-23T00:00:00"/>
    <d v="2025-04-12T00:00:00"/>
    <n v="24.05"/>
    <n v="36968.439999999995"/>
    <n v="6685.9000000000005"/>
    <n v="20"/>
    <n v="0.18085426379906755"/>
  </r>
  <r>
    <s v="PROD-1776"/>
    <x v="17"/>
    <x v="3"/>
    <s v="S-104"/>
    <x v="1"/>
    <n v="439"/>
    <n v="334.19"/>
    <d v="2025-03-04T00:00:00"/>
    <d v="2025-03-17T00:00:00"/>
    <n v="58.42"/>
    <n v="146709.41"/>
    <n v="25646.38"/>
    <n v="13"/>
    <n v="0.17481073640743292"/>
  </r>
  <r>
    <s v="PROD-1777"/>
    <x v="0"/>
    <x v="0"/>
    <s v="S-104"/>
    <x v="1"/>
    <n v="189"/>
    <n v="365.97"/>
    <d v="2025-01-02T00:00:00"/>
    <d v="2025-01-16T00:00:00"/>
    <n v="40.47"/>
    <n v="69168.33"/>
    <n v="7648.83"/>
    <n v="14"/>
    <n v="0.11058283465857856"/>
  </r>
  <r>
    <s v="PROD-1778"/>
    <x v="11"/>
    <x v="0"/>
    <s v="S-104"/>
    <x v="1"/>
    <n v="35"/>
    <n v="313.08"/>
    <d v="2025-03-17T00:00:00"/>
    <d v="2025-04-06T00:00:00"/>
    <n v="89.11"/>
    <n v="10957.8"/>
    <n v="3118.85"/>
    <n v="20"/>
    <n v="0.28462373834163796"/>
  </r>
  <r>
    <s v="PROD-1779"/>
    <x v="18"/>
    <x v="1"/>
    <s v="S-103"/>
    <x v="2"/>
    <n v="165"/>
    <n v="155.34"/>
    <d v="2025-01-30T00:00:00"/>
    <d v="2025-02-09T00:00:00"/>
    <n v="30.32"/>
    <n v="25631.100000000002"/>
    <n v="5002.8"/>
    <n v="10"/>
    <n v="0.19518475601905497"/>
  </r>
  <r>
    <s v="PROD-1780"/>
    <x v="5"/>
    <x v="4"/>
    <s v="S-101"/>
    <x v="3"/>
    <n v="88"/>
    <n v="340.55"/>
    <d v="2025-01-14T00:00:00"/>
    <d v="2025-02-09T00:00:00"/>
    <n v="56.39"/>
    <n v="29968.400000000001"/>
    <n v="4962.32"/>
    <n v="26"/>
    <n v="0.16558508295404492"/>
  </r>
  <r>
    <s v="PROD-1781"/>
    <x v="19"/>
    <x v="0"/>
    <s v="S-105"/>
    <x v="0"/>
    <n v="291"/>
    <n v="498.18"/>
    <d v="2025-05-09T00:00:00"/>
    <d v="2025-06-08T00:00:00"/>
    <n v="68.8"/>
    <n v="144970.38"/>
    <n v="20020.8"/>
    <n v="30"/>
    <n v="0.13810269380545184"/>
  </r>
  <r>
    <s v="PROD-1782"/>
    <x v="7"/>
    <x v="0"/>
    <s v="S-101"/>
    <x v="3"/>
    <n v="368"/>
    <n v="75.540000000000006"/>
    <d v="2025-05-13T00:00:00"/>
    <d v="2025-05-27T00:00:00"/>
    <n v="17.809999999999999"/>
    <n v="27798.720000000001"/>
    <n v="6554.08"/>
    <n v="14"/>
    <n v="0.23576912893831078"/>
  </r>
  <r>
    <s v="PROD-1783"/>
    <x v="6"/>
    <x v="2"/>
    <s v="S-102"/>
    <x v="4"/>
    <n v="122"/>
    <n v="171.7"/>
    <d v="2025-04-02T00:00:00"/>
    <d v="2025-04-23T00:00:00"/>
    <n v="24.15"/>
    <n v="20947.399999999998"/>
    <n v="2946.2999999999997"/>
    <n v="21"/>
    <n v="0.14065230052417008"/>
  </r>
  <r>
    <s v="PROD-1784"/>
    <x v="10"/>
    <x v="1"/>
    <s v="S-101"/>
    <x v="3"/>
    <n v="280"/>
    <n v="139.47999999999999"/>
    <d v="2025-06-12T00:00:00"/>
    <d v="2025-06-27T00:00:00"/>
    <n v="27.73"/>
    <n v="39054.399999999994"/>
    <n v="7764.4000000000005"/>
    <n v="15"/>
    <n v="0.19880986521365071"/>
  </r>
  <r>
    <s v="PROD-1785"/>
    <x v="10"/>
    <x v="1"/>
    <s v="S-105"/>
    <x v="0"/>
    <n v="400"/>
    <n v="54.35"/>
    <d v="2025-05-05T00:00:00"/>
    <d v="2025-05-26T00:00:00"/>
    <n v="13.78"/>
    <n v="21740"/>
    <n v="5512"/>
    <n v="21"/>
    <n v="0.25354185832566695"/>
  </r>
  <r>
    <s v="PROD-1786"/>
    <x v="3"/>
    <x v="2"/>
    <s v="S-102"/>
    <x v="4"/>
    <n v="331"/>
    <n v="281.11"/>
    <d v="2025-01-03T00:00:00"/>
    <d v="2025-01-20T00:00:00"/>
    <n v="70.59"/>
    <n v="93047.41"/>
    <n v="23365.29"/>
    <n v="17"/>
    <n v="0.25111166447298211"/>
  </r>
  <r>
    <s v="PROD-1787"/>
    <x v="18"/>
    <x v="1"/>
    <s v="S-103"/>
    <x v="2"/>
    <n v="110"/>
    <n v="49.6"/>
    <d v="2025-04-19T00:00:00"/>
    <d v="2025-05-09T00:00:00"/>
    <n v="5.57"/>
    <n v="5456"/>
    <n v="612.70000000000005"/>
    <n v="20"/>
    <n v="0.1122983870967742"/>
  </r>
  <r>
    <s v="PROD-1788"/>
    <x v="8"/>
    <x v="4"/>
    <s v="S-104"/>
    <x v="1"/>
    <n v="295"/>
    <n v="260.07"/>
    <d v="2025-04-08T00:00:00"/>
    <d v="2025-04-24T00:00:00"/>
    <n v="41.38"/>
    <n v="76720.649999999994"/>
    <n v="12207.1"/>
    <n v="16"/>
    <n v="0.15911100857461455"/>
  </r>
  <r>
    <s v="PROD-1789"/>
    <x v="1"/>
    <x v="1"/>
    <s v="S-102"/>
    <x v="4"/>
    <n v="159"/>
    <n v="82.67"/>
    <d v="2025-02-01T00:00:00"/>
    <d v="2025-02-27T00:00:00"/>
    <n v="12.36"/>
    <n v="13144.53"/>
    <n v="1965.24"/>
    <n v="26"/>
    <n v="0.14951010039917745"/>
  </r>
  <r>
    <s v="PROD-1790"/>
    <x v="2"/>
    <x v="2"/>
    <s v="S-101"/>
    <x v="3"/>
    <n v="286"/>
    <n v="379.26"/>
    <d v="2025-04-30T00:00:00"/>
    <d v="2025-05-10T00:00:00"/>
    <n v="66.78"/>
    <n v="108468.36"/>
    <n v="19099.080000000002"/>
    <n v="10"/>
    <n v="0.17607973421926912"/>
  </r>
  <r>
    <s v="PROD-1791"/>
    <x v="0"/>
    <x v="0"/>
    <s v="S-101"/>
    <x v="3"/>
    <n v="229"/>
    <n v="15.8"/>
    <d v="2025-05-21T00:00:00"/>
    <d v="2025-06-11T00:00:00"/>
    <n v="3.79"/>
    <n v="3618.2000000000003"/>
    <n v="867.91"/>
    <n v="21"/>
    <n v="0.23987341772151899"/>
  </r>
  <r>
    <s v="PROD-1792"/>
    <x v="0"/>
    <x v="0"/>
    <s v="S-102"/>
    <x v="4"/>
    <n v="449"/>
    <n v="26.25"/>
    <d v="2025-04-27T00:00:00"/>
    <d v="2025-05-14T00:00:00"/>
    <n v="4.1500000000000004"/>
    <n v="11786.25"/>
    <n v="1863.3500000000001"/>
    <n v="17"/>
    <n v="0.15809523809523812"/>
  </r>
  <r>
    <s v="PROD-1793"/>
    <x v="12"/>
    <x v="4"/>
    <s v="S-103"/>
    <x v="2"/>
    <n v="197"/>
    <n v="284.88"/>
    <d v="2025-06-04T00:00:00"/>
    <d v="2025-06-27T00:00:00"/>
    <n v="55.59"/>
    <n v="56121.36"/>
    <n v="10951.230000000001"/>
    <n v="23"/>
    <n v="0.19513479359730415"/>
  </r>
  <r>
    <s v="PROD-1794"/>
    <x v="3"/>
    <x v="2"/>
    <s v="S-105"/>
    <x v="0"/>
    <n v="308"/>
    <n v="220.6"/>
    <d v="2025-04-13T00:00:00"/>
    <d v="2025-04-25T00:00:00"/>
    <n v="53.97"/>
    <n v="67944.800000000003"/>
    <n v="16622.759999999998"/>
    <n v="12"/>
    <n v="0.24465095194922937"/>
  </r>
  <r>
    <s v="PROD-1795"/>
    <x v="10"/>
    <x v="1"/>
    <s v="S-102"/>
    <x v="4"/>
    <n v="284"/>
    <n v="84.5"/>
    <d v="2025-06-08T00:00:00"/>
    <d v="2025-06-13T00:00:00"/>
    <n v="11.94"/>
    <n v="23998"/>
    <n v="3390.96"/>
    <n v="5"/>
    <n v="0.14130177514792899"/>
  </r>
  <r>
    <s v="PROD-1796"/>
    <x v="13"/>
    <x v="2"/>
    <s v="S-105"/>
    <x v="0"/>
    <n v="495"/>
    <n v="54.62"/>
    <d v="2025-04-23T00:00:00"/>
    <d v="2025-05-07T00:00:00"/>
    <n v="11.41"/>
    <n v="27036.899999999998"/>
    <n v="5647.95"/>
    <n v="14"/>
    <n v="0.20889783961918712"/>
  </r>
  <r>
    <s v="PROD-1797"/>
    <x v="8"/>
    <x v="4"/>
    <s v="S-103"/>
    <x v="2"/>
    <n v="100"/>
    <n v="453.84"/>
    <d v="2025-04-30T00:00:00"/>
    <d v="2025-05-18T00:00:00"/>
    <n v="53.49"/>
    <n v="45384"/>
    <n v="5349"/>
    <n v="18"/>
    <n v="0.11786092014806981"/>
  </r>
  <r>
    <s v="PROD-1798"/>
    <x v="12"/>
    <x v="4"/>
    <s v="S-102"/>
    <x v="4"/>
    <n v="43"/>
    <n v="33.69"/>
    <d v="2025-06-25T00:00:00"/>
    <d v="2025-06-29T00:00:00"/>
    <n v="7.35"/>
    <n v="1448.6699999999998"/>
    <n v="316.05"/>
    <n v="4"/>
    <n v="0.21816562778272486"/>
  </r>
  <r>
    <s v="PROD-1799"/>
    <x v="7"/>
    <x v="0"/>
    <s v="S-104"/>
    <x v="1"/>
    <n v="481"/>
    <n v="175.06"/>
    <d v="2025-01-31T00:00:00"/>
    <d v="2025-02-03T00:00:00"/>
    <n v="30.37"/>
    <n v="84203.86"/>
    <n v="14607.970000000001"/>
    <n v="3"/>
    <n v="0.1734833771278419"/>
  </r>
  <r>
    <s v="PROD-1800"/>
    <x v="18"/>
    <x v="1"/>
    <s v="S-105"/>
    <x v="0"/>
    <n v="495"/>
    <n v="347.41"/>
    <d v="2025-03-10T00:00:00"/>
    <d v="2025-03-28T00:00:00"/>
    <n v="63.68"/>
    <n v="171967.95"/>
    <n v="31521.599999999999"/>
    <n v="18"/>
    <n v="0.18329927175383551"/>
  </r>
  <r>
    <s v="PROD-1801"/>
    <x v="11"/>
    <x v="0"/>
    <s v="S-104"/>
    <x v="1"/>
    <n v="435"/>
    <n v="111.87"/>
    <d v="2025-01-21T00:00:00"/>
    <d v="2025-01-27T00:00:00"/>
    <n v="31.7"/>
    <n v="48663.450000000004"/>
    <n v="13789.5"/>
    <n v="6"/>
    <n v="0.28336461964780546"/>
  </r>
  <r>
    <s v="PROD-1802"/>
    <x v="13"/>
    <x v="2"/>
    <s v="S-104"/>
    <x v="1"/>
    <n v="172"/>
    <n v="330.47"/>
    <d v="2025-02-06T00:00:00"/>
    <d v="2025-02-23T00:00:00"/>
    <n v="93.42"/>
    <n v="56840.840000000004"/>
    <n v="16068.24"/>
    <n v="17"/>
    <n v="0.28268829243199078"/>
  </r>
  <r>
    <s v="PROD-1803"/>
    <x v="4"/>
    <x v="3"/>
    <s v="S-105"/>
    <x v="0"/>
    <n v="13"/>
    <n v="202.41"/>
    <d v="2025-04-12T00:00:00"/>
    <d v="2025-04-28T00:00:00"/>
    <n v="44.55"/>
    <n v="2631.33"/>
    <n v="579.15"/>
    <n v="16"/>
    <n v="0.2200978212538906"/>
  </r>
  <r>
    <s v="PROD-1804"/>
    <x v="16"/>
    <x v="3"/>
    <s v="S-103"/>
    <x v="2"/>
    <n v="129"/>
    <n v="221.61"/>
    <d v="2025-04-01T00:00:00"/>
    <d v="2025-04-03T00:00:00"/>
    <n v="60.79"/>
    <n v="28587.690000000002"/>
    <n v="7841.91"/>
    <n v="2"/>
    <n v="0.27431072605026846"/>
  </r>
  <r>
    <s v="PROD-1805"/>
    <x v="3"/>
    <x v="2"/>
    <s v="S-102"/>
    <x v="4"/>
    <n v="401"/>
    <n v="120.82"/>
    <d v="2025-03-17T00:00:00"/>
    <d v="2025-03-31T00:00:00"/>
    <n v="34.89"/>
    <n v="48448.82"/>
    <n v="13990.89"/>
    <n v="14"/>
    <n v="0.28877669260056282"/>
  </r>
  <r>
    <s v="PROD-1806"/>
    <x v="5"/>
    <x v="4"/>
    <s v="S-104"/>
    <x v="1"/>
    <n v="218"/>
    <n v="243.63"/>
    <d v="2025-04-09T00:00:00"/>
    <d v="2025-04-11T00:00:00"/>
    <n v="50.78"/>
    <n v="53111.34"/>
    <n v="11070.04"/>
    <n v="2"/>
    <n v="0.20843081722283791"/>
  </r>
  <r>
    <s v="PROD-1807"/>
    <x v="8"/>
    <x v="4"/>
    <s v="S-103"/>
    <x v="2"/>
    <n v="487"/>
    <n v="428.25"/>
    <d v="2025-01-31T00:00:00"/>
    <d v="2025-02-14T00:00:00"/>
    <n v="127.3"/>
    <n v="208557.75"/>
    <n v="61995.1"/>
    <n v="14"/>
    <n v="0.29725627553998829"/>
  </r>
  <r>
    <s v="PROD-1808"/>
    <x v="11"/>
    <x v="0"/>
    <s v="S-104"/>
    <x v="1"/>
    <n v="460"/>
    <n v="498.64"/>
    <d v="2025-04-21T00:00:00"/>
    <d v="2025-05-19T00:00:00"/>
    <n v="135.38999999999999"/>
    <n v="229374.4"/>
    <n v="62279.399999999994"/>
    <n v="28"/>
    <n v="0.2715185304026953"/>
  </r>
  <r>
    <s v="PROD-1809"/>
    <x v="15"/>
    <x v="3"/>
    <s v="S-103"/>
    <x v="2"/>
    <n v="151"/>
    <n v="55.39"/>
    <d v="2025-05-15T00:00:00"/>
    <d v="2025-05-18T00:00:00"/>
    <n v="6.87"/>
    <n v="8363.89"/>
    <n v="1037.3700000000001"/>
    <n v="3"/>
    <n v="0.12402960823253295"/>
  </r>
  <r>
    <s v="PROD-1810"/>
    <x v="10"/>
    <x v="1"/>
    <s v="S-102"/>
    <x v="4"/>
    <n v="294"/>
    <n v="491.92"/>
    <d v="2025-04-15T00:00:00"/>
    <d v="2025-04-18T00:00:00"/>
    <n v="83.65"/>
    <n v="144624.48000000001"/>
    <n v="24593.100000000002"/>
    <n v="3"/>
    <n v="0.17004797528053342"/>
  </r>
  <r>
    <s v="PROD-1811"/>
    <x v="6"/>
    <x v="2"/>
    <s v="S-102"/>
    <x v="4"/>
    <n v="283"/>
    <n v="318.39999999999998"/>
    <d v="2025-01-31T00:00:00"/>
    <d v="2025-03-02T00:00:00"/>
    <n v="40.020000000000003"/>
    <n v="90107.199999999997"/>
    <n v="11325.660000000002"/>
    <n v="30"/>
    <n v="0.12569095477386938"/>
  </r>
  <r>
    <s v="PROD-1812"/>
    <x v="14"/>
    <x v="4"/>
    <s v="S-105"/>
    <x v="0"/>
    <n v="355"/>
    <n v="443.93"/>
    <d v="2025-03-04T00:00:00"/>
    <d v="2025-03-11T00:00:00"/>
    <n v="111.65"/>
    <n v="157595.15"/>
    <n v="39635.75"/>
    <n v="7"/>
    <n v="0.25150361543486588"/>
  </r>
  <r>
    <s v="PROD-1813"/>
    <x v="15"/>
    <x v="3"/>
    <s v="S-102"/>
    <x v="4"/>
    <n v="409"/>
    <n v="218.21"/>
    <d v="2025-05-31T00:00:00"/>
    <d v="2025-06-08T00:00:00"/>
    <n v="60.42"/>
    <n v="89247.89"/>
    <n v="24711.780000000002"/>
    <n v="8"/>
    <n v="0.27688923514046104"/>
  </r>
  <r>
    <s v="PROD-1814"/>
    <x v="19"/>
    <x v="0"/>
    <s v="S-103"/>
    <x v="2"/>
    <n v="353"/>
    <n v="396.81"/>
    <d v="2025-02-27T00:00:00"/>
    <d v="2025-03-07T00:00:00"/>
    <n v="67.16"/>
    <n v="140073.93"/>
    <n v="23707.48"/>
    <n v="8"/>
    <n v="0.16924976689095536"/>
  </r>
  <r>
    <s v="PROD-1815"/>
    <x v="8"/>
    <x v="4"/>
    <s v="S-103"/>
    <x v="2"/>
    <n v="177"/>
    <n v="175.46"/>
    <d v="2025-05-02T00:00:00"/>
    <d v="2025-05-22T00:00:00"/>
    <n v="45.04"/>
    <n v="31056.420000000002"/>
    <n v="7972.08"/>
    <n v="20"/>
    <n v="0.25669668300467341"/>
  </r>
  <r>
    <s v="PROD-1816"/>
    <x v="7"/>
    <x v="0"/>
    <s v="S-103"/>
    <x v="2"/>
    <n v="128"/>
    <n v="439.76"/>
    <d v="2025-05-12T00:00:00"/>
    <d v="2025-05-31T00:00:00"/>
    <n v="95.77"/>
    <n v="56289.279999999999"/>
    <n v="12258.56"/>
    <n v="19"/>
    <n v="0.21777787884300528"/>
  </r>
  <r>
    <s v="PROD-1817"/>
    <x v="16"/>
    <x v="3"/>
    <s v="S-105"/>
    <x v="0"/>
    <n v="481"/>
    <n v="445.28"/>
    <d v="2025-01-29T00:00:00"/>
    <d v="2025-02-24T00:00:00"/>
    <n v="108.83"/>
    <n v="214179.68"/>
    <n v="52347.229999999996"/>
    <n v="26"/>
    <n v="0.24440801293568093"/>
  </r>
  <r>
    <s v="PROD-1818"/>
    <x v="19"/>
    <x v="0"/>
    <s v="S-101"/>
    <x v="3"/>
    <n v="275"/>
    <n v="353.6"/>
    <d v="2025-06-09T00:00:00"/>
    <d v="2025-06-22T00:00:00"/>
    <n v="59.81"/>
    <n v="97240"/>
    <n v="16447.75"/>
    <n v="13"/>
    <n v="0.16914592760180994"/>
  </r>
  <r>
    <s v="PROD-1819"/>
    <x v="6"/>
    <x v="2"/>
    <s v="S-103"/>
    <x v="2"/>
    <n v="61"/>
    <n v="280.08999999999997"/>
    <d v="2025-03-14T00:00:00"/>
    <d v="2025-04-02T00:00:00"/>
    <n v="73.61"/>
    <n v="17085.489999999998"/>
    <n v="4490.21"/>
    <n v="19"/>
    <n v="0.26280838301974369"/>
  </r>
  <r>
    <s v="PROD-1820"/>
    <x v="10"/>
    <x v="1"/>
    <s v="S-103"/>
    <x v="2"/>
    <n v="238"/>
    <n v="471.42"/>
    <d v="2025-06-25T00:00:00"/>
    <d v="2025-07-16T00:00:00"/>
    <n v="125.05"/>
    <n v="112197.96"/>
    <n v="29761.899999999998"/>
    <n v="21"/>
    <n v="0.26526239871027957"/>
  </r>
  <r>
    <s v="PROD-1821"/>
    <x v="11"/>
    <x v="0"/>
    <s v="S-101"/>
    <x v="3"/>
    <n v="142"/>
    <n v="116.63"/>
    <d v="2025-02-11T00:00:00"/>
    <d v="2025-03-13T00:00:00"/>
    <n v="26.15"/>
    <n v="16561.46"/>
    <n v="3713.2999999999997"/>
    <n v="30"/>
    <n v="0.22421332418760181"/>
  </r>
  <r>
    <s v="PROD-1822"/>
    <x v="5"/>
    <x v="4"/>
    <s v="S-101"/>
    <x v="3"/>
    <n v="457"/>
    <n v="158.49"/>
    <d v="2025-01-28T00:00:00"/>
    <d v="2025-02-27T00:00:00"/>
    <n v="19.23"/>
    <n v="72429.930000000008"/>
    <n v="8788.11"/>
    <n v="30"/>
    <n v="0.1213325761877721"/>
  </r>
  <r>
    <s v="PROD-1823"/>
    <x v="17"/>
    <x v="3"/>
    <s v="S-105"/>
    <x v="0"/>
    <n v="78"/>
    <n v="321.02"/>
    <d v="2025-01-26T00:00:00"/>
    <d v="2025-01-31T00:00:00"/>
    <n v="76.010000000000005"/>
    <n v="25039.559999999998"/>
    <n v="5928.7800000000007"/>
    <n v="5"/>
    <n v="0.23677652482711362"/>
  </r>
  <r>
    <s v="PROD-1824"/>
    <x v="5"/>
    <x v="4"/>
    <s v="S-103"/>
    <x v="2"/>
    <n v="324"/>
    <n v="401.36"/>
    <d v="2025-03-26T00:00:00"/>
    <d v="2025-03-28T00:00:00"/>
    <n v="46.71"/>
    <n v="130040.64"/>
    <n v="15134.04"/>
    <n v="2"/>
    <n v="0.11637931034482758"/>
  </r>
  <r>
    <s v="PROD-1825"/>
    <x v="10"/>
    <x v="1"/>
    <s v="S-101"/>
    <x v="3"/>
    <n v="486"/>
    <n v="189.03"/>
    <d v="2025-04-08T00:00:00"/>
    <d v="2025-05-06T00:00:00"/>
    <n v="38.72"/>
    <n v="91868.58"/>
    <n v="18817.919999999998"/>
    <n v="28"/>
    <n v="0.20483521134211499"/>
  </r>
  <r>
    <s v="PROD-1826"/>
    <x v="4"/>
    <x v="3"/>
    <s v="S-103"/>
    <x v="2"/>
    <n v="324"/>
    <n v="475.8"/>
    <d v="2025-04-13T00:00:00"/>
    <d v="2025-04-19T00:00:00"/>
    <n v="83.76"/>
    <n v="154159.20000000001"/>
    <n v="27138.240000000002"/>
    <n v="6"/>
    <n v="0.17604035308953342"/>
  </r>
  <r>
    <s v="PROD-1827"/>
    <x v="18"/>
    <x v="1"/>
    <s v="S-101"/>
    <x v="3"/>
    <n v="316"/>
    <n v="459.61"/>
    <d v="2025-04-18T00:00:00"/>
    <d v="2025-04-20T00:00:00"/>
    <n v="118.08"/>
    <n v="145236.76"/>
    <n v="37313.279999999999"/>
    <n v="2"/>
    <n v="0.25691347011596788"/>
  </r>
  <r>
    <s v="PROD-1828"/>
    <x v="18"/>
    <x v="1"/>
    <s v="S-102"/>
    <x v="4"/>
    <n v="107"/>
    <n v="497.86"/>
    <d v="2025-04-30T00:00:00"/>
    <d v="2025-05-08T00:00:00"/>
    <n v="140.06"/>
    <n v="53271.020000000004"/>
    <n v="14986.42"/>
    <n v="8"/>
    <n v="0.28132406700678908"/>
  </r>
  <r>
    <s v="PROD-1829"/>
    <x v="10"/>
    <x v="1"/>
    <s v="S-102"/>
    <x v="4"/>
    <n v="208"/>
    <n v="394.5"/>
    <d v="2025-02-20T00:00:00"/>
    <d v="2025-03-05T00:00:00"/>
    <n v="74.03"/>
    <n v="82056"/>
    <n v="15398.24"/>
    <n v="13"/>
    <n v="0.18765525982256021"/>
  </r>
  <r>
    <s v="PROD-1830"/>
    <x v="18"/>
    <x v="1"/>
    <s v="S-103"/>
    <x v="2"/>
    <n v="91"/>
    <n v="342.99"/>
    <d v="2025-05-12T00:00:00"/>
    <d v="2025-05-26T00:00:00"/>
    <n v="71.08"/>
    <n v="31212.09"/>
    <n v="6468.28"/>
    <n v="14"/>
    <n v="0.2072363625761684"/>
  </r>
  <r>
    <s v="PROD-1831"/>
    <x v="1"/>
    <x v="1"/>
    <s v="S-105"/>
    <x v="0"/>
    <n v="280"/>
    <n v="33.770000000000003"/>
    <d v="2025-02-19T00:00:00"/>
    <d v="2025-03-14T00:00:00"/>
    <n v="5.63"/>
    <n v="9455.6"/>
    <n v="1576.3999999999999"/>
    <n v="23"/>
    <n v="0.16671602013621556"/>
  </r>
  <r>
    <s v="PROD-1832"/>
    <x v="14"/>
    <x v="4"/>
    <s v="S-102"/>
    <x v="4"/>
    <n v="390"/>
    <n v="212.4"/>
    <d v="2025-01-11T00:00:00"/>
    <d v="2025-01-29T00:00:00"/>
    <n v="47.14"/>
    <n v="82836"/>
    <n v="18384.599999999999"/>
    <n v="18"/>
    <n v="0.22193973634651601"/>
  </r>
  <r>
    <s v="PROD-1833"/>
    <x v="13"/>
    <x v="2"/>
    <s v="S-104"/>
    <x v="1"/>
    <n v="189"/>
    <n v="183.01"/>
    <d v="2025-02-03T00:00:00"/>
    <d v="2025-02-05T00:00:00"/>
    <n v="31.67"/>
    <n v="34588.89"/>
    <n v="5985.63"/>
    <n v="2"/>
    <n v="0.17305065296978309"/>
  </r>
  <r>
    <s v="PROD-1834"/>
    <x v="18"/>
    <x v="1"/>
    <s v="S-105"/>
    <x v="0"/>
    <n v="80"/>
    <n v="151.22999999999999"/>
    <d v="2025-01-08T00:00:00"/>
    <d v="2025-01-16T00:00:00"/>
    <n v="31.42"/>
    <n v="12098.4"/>
    <n v="2513.6000000000004"/>
    <n v="8"/>
    <n v="0.20776300998479141"/>
  </r>
  <r>
    <s v="PROD-1835"/>
    <x v="3"/>
    <x v="2"/>
    <s v="S-105"/>
    <x v="0"/>
    <n v="233"/>
    <n v="425.33"/>
    <d v="2025-06-24T00:00:00"/>
    <d v="2025-07-19T00:00:00"/>
    <n v="61.43"/>
    <n v="99101.89"/>
    <n v="14313.19"/>
    <n v="25"/>
    <n v="0.14442903157548256"/>
  </r>
  <r>
    <s v="PROD-1836"/>
    <x v="19"/>
    <x v="0"/>
    <s v="S-105"/>
    <x v="0"/>
    <n v="393"/>
    <n v="71.63"/>
    <d v="2025-02-04T00:00:00"/>
    <d v="2025-02-28T00:00:00"/>
    <n v="13.84"/>
    <n v="28150.589999999997"/>
    <n v="5439.12"/>
    <n v="24"/>
    <n v="0.19321513332402626"/>
  </r>
  <r>
    <s v="PROD-1837"/>
    <x v="17"/>
    <x v="3"/>
    <s v="S-102"/>
    <x v="4"/>
    <n v="358"/>
    <n v="117.39"/>
    <d v="2025-05-28T00:00:00"/>
    <d v="2025-06-15T00:00:00"/>
    <n v="13.83"/>
    <n v="42025.62"/>
    <n v="4951.1400000000003"/>
    <n v="18"/>
    <n v="0.11781242013800153"/>
  </r>
  <r>
    <s v="PROD-1838"/>
    <x v="4"/>
    <x v="3"/>
    <s v="S-103"/>
    <x v="2"/>
    <n v="74"/>
    <n v="362.3"/>
    <d v="2025-05-02T00:00:00"/>
    <d v="2025-05-09T00:00:00"/>
    <n v="52.49"/>
    <n v="26810.2"/>
    <n v="3884.26"/>
    <n v="7"/>
    <n v="0.14487993375655533"/>
  </r>
  <r>
    <s v="PROD-1839"/>
    <x v="16"/>
    <x v="3"/>
    <s v="S-104"/>
    <x v="1"/>
    <n v="99"/>
    <n v="187.97"/>
    <d v="2025-06-05T00:00:00"/>
    <d v="2025-07-03T00:00:00"/>
    <n v="27.15"/>
    <n v="18609.03"/>
    <n v="2687.85"/>
    <n v="28"/>
    <n v="0.14443794222482309"/>
  </r>
  <r>
    <s v="PROD-1840"/>
    <x v="15"/>
    <x v="3"/>
    <s v="S-101"/>
    <x v="3"/>
    <n v="411"/>
    <n v="488.53"/>
    <d v="2025-03-04T00:00:00"/>
    <d v="2025-03-07T00:00:00"/>
    <n v="134.77000000000001"/>
    <n v="200785.83"/>
    <n v="55390.47"/>
    <n v="3"/>
    <n v="0.27586842159130454"/>
  </r>
  <r>
    <s v="PROD-1841"/>
    <x v="2"/>
    <x v="2"/>
    <s v="S-103"/>
    <x v="2"/>
    <n v="270"/>
    <n v="79.3"/>
    <d v="2025-02-27T00:00:00"/>
    <d v="2025-03-01T00:00:00"/>
    <n v="21.26"/>
    <n v="21411"/>
    <n v="5740.2000000000007"/>
    <n v="2"/>
    <n v="0.26809583858764191"/>
  </r>
  <r>
    <s v="PROD-1842"/>
    <x v="13"/>
    <x v="2"/>
    <s v="S-104"/>
    <x v="1"/>
    <n v="348"/>
    <n v="435.88"/>
    <d v="2025-06-30T00:00:00"/>
    <d v="2025-07-01T00:00:00"/>
    <n v="66.650000000000006"/>
    <n v="151686.24"/>
    <n v="23194.2"/>
    <n v="1"/>
    <n v="0.15290905753877215"/>
  </r>
  <r>
    <s v="PROD-1843"/>
    <x v="6"/>
    <x v="2"/>
    <s v="S-103"/>
    <x v="2"/>
    <n v="112"/>
    <n v="454"/>
    <d v="2025-04-16T00:00:00"/>
    <d v="2025-05-10T00:00:00"/>
    <n v="57.11"/>
    <n v="50848"/>
    <n v="6396.32"/>
    <n v="24"/>
    <n v="0.12579295154185022"/>
  </r>
  <r>
    <s v="PROD-1844"/>
    <x v="3"/>
    <x v="2"/>
    <s v="S-104"/>
    <x v="1"/>
    <n v="94"/>
    <n v="232.8"/>
    <d v="2025-06-11T00:00:00"/>
    <d v="2025-07-09T00:00:00"/>
    <n v="42.54"/>
    <n v="21883.200000000001"/>
    <n v="3998.7599999999998"/>
    <n v="28"/>
    <n v="0.18273195876288659"/>
  </r>
  <r>
    <s v="PROD-1845"/>
    <x v="13"/>
    <x v="2"/>
    <s v="S-105"/>
    <x v="0"/>
    <n v="442"/>
    <n v="416.18"/>
    <d v="2025-05-01T00:00:00"/>
    <d v="2025-05-14T00:00:00"/>
    <n v="67.73"/>
    <n v="183951.56"/>
    <n v="29936.660000000003"/>
    <n v="13"/>
    <n v="0.16274208275265512"/>
  </r>
  <r>
    <s v="PROD-1846"/>
    <x v="18"/>
    <x v="1"/>
    <s v="S-103"/>
    <x v="2"/>
    <n v="434"/>
    <n v="238.88"/>
    <d v="2025-05-14T00:00:00"/>
    <d v="2025-06-02T00:00:00"/>
    <n v="61.58"/>
    <n v="103673.92"/>
    <n v="26725.719999999998"/>
    <n v="19"/>
    <n v="0.25778633623576691"/>
  </r>
  <r>
    <s v="PROD-1847"/>
    <x v="12"/>
    <x v="4"/>
    <s v="S-104"/>
    <x v="1"/>
    <n v="274"/>
    <n v="301.04000000000002"/>
    <d v="2025-05-26T00:00:00"/>
    <d v="2025-06-09T00:00:00"/>
    <n v="75.63"/>
    <n v="82484.960000000006"/>
    <n v="20722.62"/>
    <n v="14"/>
    <n v="0.25122907254849852"/>
  </r>
  <r>
    <s v="PROD-1848"/>
    <x v="8"/>
    <x v="4"/>
    <s v="S-104"/>
    <x v="1"/>
    <n v="382"/>
    <n v="11.91"/>
    <d v="2025-03-17T00:00:00"/>
    <d v="2025-04-16T00:00:00"/>
    <n v="1.67"/>
    <n v="4549.62"/>
    <n v="637.93999999999994"/>
    <n v="30"/>
    <n v="0.14021830394626364"/>
  </r>
  <r>
    <s v="PROD-1849"/>
    <x v="4"/>
    <x v="3"/>
    <s v="S-103"/>
    <x v="2"/>
    <n v="164"/>
    <n v="494.71"/>
    <d v="2025-05-31T00:00:00"/>
    <d v="2025-06-26T00:00:00"/>
    <n v="57.05"/>
    <n v="81132.44"/>
    <n v="9356.1999999999989"/>
    <n v="26"/>
    <n v="0.11532008651533221"/>
  </r>
  <r>
    <s v="PROD-1850"/>
    <x v="15"/>
    <x v="3"/>
    <s v="S-105"/>
    <x v="0"/>
    <n v="170"/>
    <n v="315.07"/>
    <d v="2025-04-12T00:00:00"/>
    <d v="2025-04-17T00:00:00"/>
    <n v="82.34"/>
    <n v="53561.9"/>
    <n v="13997.800000000001"/>
    <n v="5"/>
    <n v="0.26133875011902119"/>
  </r>
  <r>
    <s v="PROD-1851"/>
    <x v="1"/>
    <x v="1"/>
    <s v="S-103"/>
    <x v="2"/>
    <n v="437"/>
    <n v="187.61"/>
    <d v="2025-02-07T00:00:00"/>
    <d v="2025-03-09T00:00:00"/>
    <n v="49.08"/>
    <n v="81985.570000000007"/>
    <n v="21447.96"/>
    <n v="30"/>
    <n v="0.26160652417248542"/>
  </r>
  <r>
    <s v="PROD-1852"/>
    <x v="19"/>
    <x v="0"/>
    <s v="S-105"/>
    <x v="0"/>
    <n v="152"/>
    <n v="460.62"/>
    <d v="2025-01-24T00:00:00"/>
    <d v="2025-02-03T00:00:00"/>
    <n v="56.45"/>
    <n v="70014.240000000005"/>
    <n v="8580.4"/>
    <n v="10"/>
    <n v="0.12255221223568234"/>
  </r>
  <r>
    <s v="PROD-1853"/>
    <x v="8"/>
    <x v="4"/>
    <s v="S-101"/>
    <x v="3"/>
    <n v="47"/>
    <n v="58.87"/>
    <d v="2025-01-03T00:00:00"/>
    <d v="2025-01-23T00:00:00"/>
    <n v="10.67"/>
    <n v="2766.89"/>
    <n v="501.49"/>
    <n v="20"/>
    <n v="0.18124681501613726"/>
  </r>
  <r>
    <s v="PROD-1854"/>
    <x v="0"/>
    <x v="0"/>
    <s v="S-102"/>
    <x v="4"/>
    <n v="395"/>
    <n v="93"/>
    <d v="2025-04-24T00:00:00"/>
    <d v="2025-05-22T00:00:00"/>
    <n v="12.9"/>
    <n v="36735"/>
    <n v="5095.5"/>
    <n v="28"/>
    <n v="0.13870967741935483"/>
  </r>
  <r>
    <s v="PROD-1855"/>
    <x v="15"/>
    <x v="3"/>
    <s v="S-105"/>
    <x v="0"/>
    <n v="226"/>
    <n v="150.96"/>
    <d v="2025-02-01T00:00:00"/>
    <d v="2025-02-26T00:00:00"/>
    <n v="33.549999999999997"/>
    <n v="34116.959999999999"/>
    <n v="7582.2999999999993"/>
    <n v="25"/>
    <n v="0.22224430312665605"/>
  </r>
  <r>
    <s v="PROD-1856"/>
    <x v="7"/>
    <x v="0"/>
    <s v="S-105"/>
    <x v="0"/>
    <n v="36"/>
    <n v="497.42"/>
    <d v="2025-02-05T00:00:00"/>
    <d v="2025-03-06T00:00:00"/>
    <n v="85.13"/>
    <n v="17907.12"/>
    <n v="3064.68"/>
    <n v="29"/>
    <n v="0.17114309838768041"/>
  </r>
  <r>
    <s v="PROD-1857"/>
    <x v="2"/>
    <x v="2"/>
    <s v="S-102"/>
    <x v="4"/>
    <n v="372"/>
    <n v="462.6"/>
    <d v="2025-05-24T00:00:00"/>
    <d v="2025-05-29T00:00:00"/>
    <n v="65.56"/>
    <n v="172087.2"/>
    <n v="24388.32"/>
    <n v="5"/>
    <n v="0.14172070903588413"/>
  </r>
  <r>
    <s v="PROD-1858"/>
    <x v="14"/>
    <x v="4"/>
    <s v="S-105"/>
    <x v="0"/>
    <n v="460"/>
    <n v="495.03"/>
    <d v="2025-04-09T00:00:00"/>
    <d v="2025-04-10T00:00:00"/>
    <n v="68.52"/>
    <n v="227713.8"/>
    <n v="31519.199999999997"/>
    <n v="1"/>
    <n v="0.13841585358463124"/>
  </r>
  <r>
    <s v="PROD-1859"/>
    <x v="9"/>
    <x v="1"/>
    <s v="S-101"/>
    <x v="3"/>
    <n v="449"/>
    <n v="165.44"/>
    <d v="2025-01-24T00:00:00"/>
    <d v="2025-01-31T00:00:00"/>
    <n v="16.600000000000001"/>
    <n v="74282.559999999998"/>
    <n v="7453.4000000000005"/>
    <n v="7"/>
    <n v="0.10033849129593811"/>
  </r>
  <r>
    <s v="PROD-1860"/>
    <x v="10"/>
    <x v="1"/>
    <s v="S-104"/>
    <x v="1"/>
    <n v="460"/>
    <n v="198.18"/>
    <d v="2025-04-28T00:00:00"/>
    <d v="2025-05-01T00:00:00"/>
    <n v="43.26"/>
    <n v="91162.8"/>
    <n v="19899.599999999999"/>
    <n v="3"/>
    <n v="0.21828640629730547"/>
  </r>
  <r>
    <s v="PROD-1861"/>
    <x v="15"/>
    <x v="3"/>
    <s v="S-102"/>
    <x v="4"/>
    <n v="371"/>
    <n v="428.42"/>
    <d v="2025-01-13T00:00:00"/>
    <d v="2025-02-06T00:00:00"/>
    <n v="127.63"/>
    <n v="158943.82"/>
    <n v="47350.729999999996"/>
    <n v="24"/>
    <n v="0.29790859437001072"/>
  </r>
  <r>
    <s v="PROD-1862"/>
    <x v="13"/>
    <x v="2"/>
    <s v="S-103"/>
    <x v="2"/>
    <n v="461"/>
    <n v="35.9"/>
    <d v="2025-03-05T00:00:00"/>
    <d v="2025-03-24T00:00:00"/>
    <n v="10.55"/>
    <n v="16549.899999999998"/>
    <n v="4863.55"/>
    <n v="19"/>
    <n v="0.29387186629526463"/>
  </r>
  <r>
    <s v="PROD-1863"/>
    <x v="10"/>
    <x v="1"/>
    <s v="S-103"/>
    <x v="2"/>
    <n v="203"/>
    <n v="294.37"/>
    <d v="2025-03-11T00:00:00"/>
    <d v="2025-04-04T00:00:00"/>
    <n v="81.430000000000007"/>
    <n v="59757.11"/>
    <n v="16530.29"/>
    <n v="24"/>
    <n v="0.27662465604511333"/>
  </r>
  <r>
    <s v="PROD-1864"/>
    <x v="9"/>
    <x v="1"/>
    <s v="S-104"/>
    <x v="1"/>
    <n v="275"/>
    <n v="121.04"/>
    <d v="2025-05-14T00:00:00"/>
    <d v="2025-05-26T00:00:00"/>
    <n v="31.58"/>
    <n v="33286"/>
    <n v="8684.5"/>
    <n v="12"/>
    <n v="0.26090548578982153"/>
  </r>
  <r>
    <s v="PROD-1865"/>
    <x v="10"/>
    <x v="1"/>
    <s v="S-104"/>
    <x v="1"/>
    <n v="130"/>
    <n v="432.09"/>
    <d v="2025-04-09T00:00:00"/>
    <d v="2025-05-06T00:00:00"/>
    <n v="73.83"/>
    <n v="56171.7"/>
    <n v="9597.9"/>
    <n v="27"/>
    <n v="0.17086718044851767"/>
  </r>
  <r>
    <s v="PROD-1866"/>
    <x v="2"/>
    <x v="2"/>
    <s v="S-102"/>
    <x v="4"/>
    <n v="305"/>
    <n v="217.96"/>
    <d v="2025-03-22T00:00:00"/>
    <d v="2025-04-15T00:00:00"/>
    <n v="43.96"/>
    <n v="66477.8"/>
    <n v="13407.800000000001"/>
    <n v="24"/>
    <n v="0.20168838318957608"/>
  </r>
  <r>
    <s v="PROD-1867"/>
    <x v="15"/>
    <x v="3"/>
    <s v="S-105"/>
    <x v="0"/>
    <n v="169"/>
    <n v="231.12"/>
    <d v="2025-01-15T00:00:00"/>
    <d v="2025-01-17T00:00:00"/>
    <n v="25.21"/>
    <n v="39059.279999999999"/>
    <n v="4260.49"/>
    <n v="2"/>
    <n v="0.10907753547940464"/>
  </r>
  <r>
    <s v="PROD-1868"/>
    <x v="15"/>
    <x v="3"/>
    <s v="S-104"/>
    <x v="1"/>
    <n v="318"/>
    <n v="389.35"/>
    <d v="2025-01-20T00:00:00"/>
    <d v="2025-02-07T00:00:00"/>
    <n v="111.62"/>
    <n v="123813.3"/>
    <n v="35495.160000000003"/>
    <n v="18"/>
    <n v="0.28668293309361759"/>
  </r>
  <r>
    <s v="PROD-1869"/>
    <x v="16"/>
    <x v="3"/>
    <s v="S-105"/>
    <x v="0"/>
    <n v="417"/>
    <n v="10.130000000000001"/>
    <d v="2025-04-20T00:00:00"/>
    <d v="2025-04-22T00:00:00"/>
    <n v="1.5"/>
    <n v="4224.21"/>
    <n v="625.5"/>
    <n v="2"/>
    <n v="0.14807502467917077"/>
  </r>
  <r>
    <s v="PROD-1870"/>
    <x v="17"/>
    <x v="3"/>
    <s v="S-105"/>
    <x v="0"/>
    <n v="419"/>
    <n v="233.78"/>
    <d v="2025-03-19T00:00:00"/>
    <d v="2025-03-28T00:00:00"/>
    <n v="51.27"/>
    <n v="97953.82"/>
    <n v="21482.13"/>
    <n v="9"/>
    <n v="0.21930875181794851"/>
  </r>
  <r>
    <s v="PROD-1871"/>
    <x v="6"/>
    <x v="2"/>
    <s v="S-101"/>
    <x v="3"/>
    <n v="219"/>
    <n v="442.91"/>
    <d v="2025-03-25T00:00:00"/>
    <d v="2025-04-21T00:00:00"/>
    <n v="56.43"/>
    <n v="96997.290000000008"/>
    <n v="12358.17"/>
    <n v="27"/>
    <n v="0.12740737395859203"/>
  </r>
  <r>
    <s v="PROD-1872"/>
    <x v="15"/>
    <x v="3"/>
    <s v="S-104"/>
    <x v="1"/>
    <n v="114"/>
    <n v="464.14"/>
    <d v="2025-01-15T00:00:00"/>
    <d v="2025-02-06T00:00:00"/>
    <n v="108.98"/>
    <n v="52911.96"/>
    <n v="12423.720000000001"/>
    <n v="22"/>
    <n v="0.23479984487439137"/>
  </r>
  <r>
    <s v="PROD-1873"/>
    <x v="19"/>
    <x v="0"/>
    <s v="S-105"/>
    <x v="0"/>
    <n v="486"/>
    <n v="494.91"/>
    <d v="2025-04-20T00:00:00"/>
    <d v="2025-04-28T00:00:00"/>
    <n v="71.44"/>
    <n v="240526.26"/>
    <n v="34719.839999999997"/>
    <n v="8"/>
    <n v="0.14434947768281101"/>
  </r>
  <r>
    <s v="PROD-1874"/>
    <x v="15"/>
    <x v="3"/>
    <s v="S-103"/>
    <x v="2"/>
    <n v="445"/>
    <n v="291.02999999999997"/>
    <d v="2025-02-21T00:00:00"/>
    <d v="2025-03-08T00:00:00"/>
    <n v="48.71"/>
    <n v="129508.34999999999"/>
    <n v="21675.95"/>
    <n v="15"/>
    <n v="0.16737106140260455"/>
  </r>
  <r>
    <s v="PROD-1875"/>
    <x v="6"/>
    <x v="2"/>
    <s v="S-105"/>
    <x v="0"/>
    <n v="292"/>
    <n v="466.34"/>
    <d v="2025-03-30T00:00:00"/>
    <d v="2025-04-21T00:00:00"/>
    <n v="75.599999999999994"/>
    <n v="136171.28"/>
    <n v="22075.199999999997"/>
    <n v="22"/>
    <n v="0.16211347943560492"/>
  </r>
  <r>
    <s v="PROD-1876"/>
    <x v="19"/>
    <x v="0"/>
    <s v="S-101"/>
    <x v="3"/>
    <n v="228"/>
    <n v="216.34"/>
    <d v="2025-03-09T00:00:00"/>
    <d v="2025-03-26T00:00:00"/>
    <n v="53.07"/>
    <n v="49325.520000000004"/>
    <n v="12099.960000000001"/>
    <n v="17"/>
    <n v="0.2453083109919571"/>
  </r>
  <r>
    <s v="PROD-1877"/>
    <x v="5"/>
    <x v="4"/>
    <s v="S-104"/>
    <x v="1"/>
    <n v="89"/>
    <n v="16.829999999999998"/>
    <d v="2025-04-15T00:00:00"/>
    <d v="2025-04-21T00:00:00"/>
    <n v="4.24"/>
    <n v="1497.87"/>
    <n v="377.36"/>
    <n v="6"/>
    <n v="0.25193107546048726"/>
  </r>
  <r>
    <s v="PROD-1878"/>
    <x v="18"/>
    <x v="1"/>
    <s v="S-104"/>
    <x v="1"/>
    <n v="155"/>
    <n v="336.42"/>
    <d v="2025-01-20T00:00:00"/>
    <d v="2025-01-25T00:00:00"/>
    <n v="57.32"/>
    <n v="52145.100000000006"/>
    <n v="8884.6"/>
    <n v="5"/>
    <n v="0.17038226026990072"/>
  </r>
  <r>
    <s v="PROD-1879"/>
    <x v="4"/>
    <x v="3"/>
    <s v="S-101"/>
    <x v="3"/>
    <n v="116"/>
    <n v="283.99"/>
    <d v="2025-04-17T00:00:00"/>
    <d v="2025-04-29T00:00:00"/>
    <n v="47.32"/>
    <n v="32942.840000000004"/>
    <n v="5489.12"/>
    <n v="12"/>
    <n v="0.1666255854079369"/>
  </r>
  <r>
    <s v="PROD-1880"/>
    <x v="15"/>
    <x v="3"/>
    <s v="S-104"/>
    <x v="1"/>
    <n v="419"/>
    <n v="285.55"/>
    <d v="2025-04-08T00:00:00"/>
    <d v="2025-05-06T00:00:00"/>
    <n v="36.340000000000003"/>
    <n v="119645.45000000001"/>
    <n v="15226.460000000001"/>
    <n v="28"/>
    <n v="0.12726317632638767"/>
  </r>
  <r>
    <s v="PROD-1881"/>
    <x v="17"/>
    <x v="3"/>
    <s v="S-104"/>
    <x v="1"/>
    <n v="370"/>
    <n v="489.49"/>
    <d v="2025-01-25T00:00:00"/>
    <d v="2025-02-08T00:00:00"/>
    <n v="64.099999999999994"/>
    <n v="181111.30000000002"/>
    <n v="23716.999999999996"/>
    <n v="14"/>
    <n v="0.13095262415983983"/>
  </r>
  <r>
    <s v="PROD-1882"/>
    <x v="14"/>
    <x v="4"/>
    <s v="S-101"/>
    <x v="3"/>
    <n v="422"/>
    <n v="88.77"/>
    <d v="2025-02-14T00:00:00"/>
    <d v="2025-02-17T00:00:00"/>
    <n v="11.55"/>
    <n v="37460.939999999995"/>
    <n v="4874.1000000000004"/>
    <n v="3"/>
    <n v="0.13011152416356878"/>
  </r>
  <r>
    <s v="PROD-1883"/>
    <x v="6"/>
    <x v="2"/>
    <s v="S-105"/>
    <x v="0"/>
    <n v="434"/>
    <n v="398.26"/>
    <d v="2025-03-17T00:00:00"/>
    <d v="2025-04-10T00:00:00"/>
    <n v="82.63"/>
    <n v="172844.84"/>
    <n v="35861.42"/>
    <n v="24"/>
    <n v="0.20747752724350926"/>
  </r>
  <r>
    <s v="PROD-1884"/>
    <x v="14"/>
    <x v="4"/>
    <s v="S-103"/>
    <x v="2"/>
    <n v="378"/>
    <n v="295.2"/>
    <d v="2025-02-08T00:00:00"/>
    <d v="2025-02-10T00:00:00"/>
    <n v="43.1"/>
    <n v="111585.59999999999"/>
    <n v="16291.800000000001"/>
    <n v="2"/>
    <n v="0.14600271002710027"/>
  </r>
  <r>
    <s v="PROD-1885"/>
    <x v="1"/>
    <x v="1"/>
    <s v="S-101"/>
    <x v="3"/>
    <n v="136"/>
    <n v="215.58"/>
    <d v="2025-04-10T00:00:00"/>
    <d v="2025-04-29T00:00:00"/>
    <n v="54.45"/>
    <n v="29318.880000000001"/>
    <n v="7405.2000000000007"/>
    <n v="19"/>
    <n v="0.25257445032006681"/>
  </r>
  <r>
    <s v="PROD-1886"/>
    <x v="5"/>
    <x v="4"/>
    <s v="S-103"/>
    <x v="2"/>
    <n v="242"/>
    <n v="109.11"/>
    <d v="2025-01-05T00:00:00"/>
    <d v="2025-01-28T00:00:00"/>
    <n v="13.95"/>
    <n v="26404.62"/>
    <n v="3375.8999999999996"/>
    <n v="23"/>
    <n v="0.12785262579048665"/>
  </r>
  <r>
    <s v="PROD-1887"/>
    <x v="19"/>
    <x v="0"/>
    <s v="S-102"/>
    <x v="4"/>
    <n v="350"/>
    <n v="419.1"/>
    <d v="2025-01-13T00:00:00"/>
    <d v="2025-02-03T00:00:00"/>
    <n v="86.74"/>
    <n v="146685"/>
    <n v="30359"/>
    <n v="21"/>
    <n v="0.20696731090431875"/>
  </r>
  <r>
    <s v="PROD-1888"/>
    <x v="4"/>
    <x v="3"/>
    <s v="S-103"/>
    <x v="2"/>
    <n v="305"/>
    <n v="220.04"/>
    <d v="2025-05-17T00:00:00"/>
    <d v="2025-05-20T00:00:00"/>
    <n v="63.37"/>
    <n v="67112.2"/>
    <n v="19327.849999999999"/>
    <n v="3"/>
    <n v="0.28799309216506092"/>
  </r>
  <r>
    <s v="PROD-1889"/>
    <x v="1"/>
    <x v="1"/>
    <s v="S-103"/>
    <x v="2"/>
    <n v="308"/>
    <n v="406.73"/>
    <d v="2025-01-26T00:00:00"/>
    <d v="2025-02-19T00:00:00"/>
    <n v="48.16"/>
    <n v="125272.84000000001"/>
    <n v="14833.279999999999"/>
    <n v="24"/>
    <n v="0.11840778895090108"/>
  </r>
  <r>
    <s v="PROD-1890"/>
    <x v="5"/>
    <x v="4"/>
    <s v="S-102"/>
    <x v="4"/>
    <n v="278"/>
    <n v="447.69"/>
    <d v="2025-05-31T00:00:00"/>
    <d v="2025-06-16T00:00:00"/>
    <n v="124.15"/>
    <n v="124457.81999999999"/>
    <n v="34513.700000000004"/>
    <n v="16"/>
    <n v="0.2773124260090688"/>
  </r>
  <r>
    <s v="PROD-1891"/>
    <x v="9"/>
    <x v="1"/>
    <s v="S-105"/>
    <x v="0"/>
    <n v="463"/>
    <n v="389.06"/>
    <d v="2025-06-07T00:00:00"/>
    <d v="2025-07-01T00:00:00"/>
    <n v="88.29"/>
    <n v="180134.78"/>
    <n v="40878.270000000004"/>
    <n v="24"/>
    <n v="0.2269315786768108"/>
  </r>
  <r>
    <s v="PROD-1892"/>
    <x v="13"/>
    <x v="2"/>
    <s v="S-105"/>
    <x v="0"/>
    <n v="175"/>
    <n v="425.71"/>
    <d v="2025-04-17T00:00:00"/>
    <d v="2025-05-08T00:00:00"/>
    <n v="78.39"/>
    <n v="74499.25"/>
    <n v="13718.25"/>
    <n v="21"/>
    <n v="0.18413943764534543"/>
  </r>
  <r>
    <s v="PROD-1893"/>
    <x v="4"/>
    <x v="3"/>
    <s v="S-101"/>
    <x v="3"/>
    <n v="420"/>
    <n v="27.54"/>
    <d v="2025-03-11T00:00:00"/>
    <d v="2025-03-30T00:00:00"/>
    <n v="7.09"/>
    <n v="11566.8"/>
    <n v="2977.7999999999997"/>
    <n v="19"/>
    <n v="0.25744371822803197"/>
  </r>
  <r>
    <s v="PROD-1894"/>
    <x v="7"/>
    <x v="0"/>
    <s v="S-102"/>
    <x v="4"/>
    <n v="227"/>
    <n v="331.15"/>
    <d v="2025-01-20T00:00:00"/>
    <d v="2025-02-14T00:00:00"/>
    <n v="84.71"/>
    <n v="75171.049999999988"/>
    <n v="19229.169999999998"/>
    <n v="25"/>
    <n v="0.25580552619658764"/>
  </r>
  <r>
    <s v="PROD-1895"/>
    <x v="7"/>
    <x v="0"/>
    <s v="S-103"/>
    <x v="2"/>
    <n v="113"/>
    <n v="332.46"/>
    <d v="2025-01-12T00:00:00"/>
    <d v="2025-02-04T00:00:00"/>
    <n v="82.62"/>
    <n v="37567.979999999996"/>
    <n v="9336.0600000000013"/>
    <n v="23"/>
    <n v="0.24851109907958854"/>
  </r>
  <r>
    <s v="PROD-1896"/>
    <x v="0"/>
    <x v="0"/>
    <s v="S-101"/>
    <x v="3"/>
    <n v="282"/>
    <n v="203.04"/>
    <d v="2025-02-21T00:00:00"/>
    <d v="2025-02-25T00:00:00"/>
    <n v="32.26"/>
    <n v="57257.279999999999"/>
    <n v="9097.32"/>
    <n v="4"/>
    <n v="0.15888494877856579"/>
  </r>
  <r>
    <s v="PROD-1897"/>
    <x v="6"/>
    <x v="2"/>
    <s v="S-104"/>
    <x v="1"/>
    <n v="192"/>
    <n v="291.26"/>
    <d v="2025-01-18T00:00:00"/>
    <d v="2025-01-26T00:00:00"/>
    <n v="86.55"/>
    <n v="55921.919999999998"/>
    <n v="16617.599999999999"/>
    <n v="8"/>
    <n v="0.29715717915264711"/>
  </r>
  <r>
    <s v="PROD-1898"/>
    <x v="6"/>
    <x v="2"/>
    <s v="S-101"/>
    <x v="3"/>
    <n v="291"/>
    <n v="165.8"/>
    <d v="2025-04-24T00:00:00"/>
    <d v="2025-04-29T00:00:00"/>
    <n v="28.61"/>
    <n v="48247.8"/>
    <n v="8325.51"/>
    <n v="5"/>
    <n v="0.17255729794933652"/>
  </r>
  <r>
    <s v="PROD-1899"/>
    <x v="7"/>
    <x v="0"/>
    <s v="S-105"/>
    <x v="0"/>
    <n v="432"/>
    <n v="270.08"/>
    <d v="2025-05-23T00:00:00"/>
    <d v="2025-05-27T00:00:00"/>
    <n v="41.61"/>
    <n v="116674.56"/>
    <n v="17975.52"/>
    <n v="4"/>
    <n v="0.15406546208530805"/>
  </r>
  <r>
    <s v="PROD-1900"/>
    <x v="4"/>
    <x v="3"/>
    <s v="S-102"/>
    <x v="4"/>
    <n v="118"/>
    <n v="478.85"/>
    <d v="2025-03-16T00:00:00"/>
    <d v="2025-04-15T00:00:00"/>
    <n v="129.4"/>
    <n v="56504.3"/>
    <n v="15269.2"/>
    <n v="30"/>
    <n v="0.2702307611987052"/>
  </r>
  <r>
    <s v="PROD-1901"/>
    <x v="3"/>
    <x v="2"/>
    <s v="S-102"/>
    <x v="4"/>
    <n v="84"/>
    <n v="289.31"/>
    <d v="2025-02-08T00:00:00"/>
    <d v="2025-03-10T00:00:00"/>
    <n v="52.82"/>
    <n v="24302.04"/>
    <n v="4436.88"/>
    <n v="30"/>
    <n v="0.18257232726141509"/>
  </r>
  <r>
    <s v="PROD-1902"/>
    <x v="3"/>
    <x v="2"/>
    <s v="S-105"/>
    <x v="0"/>
    <n v="309"/>
    <n v="435.49"/>
    <d v="2025-02-20T00:00:00"/>
    <d v="2025-03-20T00:00:00"/>
    <n v="127.06"/>
    <n v="134566.41"/>
    <n v="39261.54"/>
    <n v="28"/>
    <n v="0.29176330110909549"/>
  </r>
  <r>
    <s v="PROD-1903"/>
    <x v="15"/>
    <x v="3"/>
    <s v="S-102"/>
    <x v="4"/>
    <n v="169"/>
    <n v="125.79"/>
    <d v="2025-05-10T00:00:00"/>
    <d v="2025-05-23T00:00:00"/>
    <n v="36.659999999999997"/>
    <n v="21258.510000000002"/>
    <n v="6195.5399999999991"/>
    <n v="13"/>
    <n v="0.29143811113761026"/>
  </r>
  <r>
    <s v="PROD-1904"/>
    <x v="13"/>
    <x v="2"/>
    <s v="S-104"/>
    <x v="1"/>
    <n v="278"/>
    <n v="236.88"/>
    <d v="2025-05-01T00:00:00"/>
    <d v="2025-05-02T00:00:00"/>
    <n v="26.92"/>
    <n v="65852.639999999999"/>
    <n v="7483.76"/>
    <n v="1"/>
    <n v="0.11364403917595407"/>
  </r>
  <r>
    <s v="PROD-1905"/>
    <x v="3"/>
    <x v="2"/>
    <s v="S-101"/>
    <x v="3"/>
    <n v="106"/>
    <n v="128.15"/>
    <d v="2025-06-09T00:00:00"/>
    <d v="2025-06-24T00:00:00"/>
    <n v="36.130000000000003"/>
    <n v="13583.900000000001"/>
    <n v="3829.78"/>
    <n v="15"/>
    <n v="0.28193523214982441"/>
  </r>
  <r>
    <s v="PROD-1906"/>
    <x v="6"/>
    <x v="2"/>
    <s v="S-103"/>
    <x v="2"/>
    <n v="469"/>
    <n v="139.38999999999999"/>
    <d v="2025-04-08T00:00:00"/>
    <d v="2025-04-13T00:00:00"/>
    <n v="41.32"/>
    <n v="65373.909999999996"/>
    <n v="19379.080000000002"/>
    <n v="5"/>
    <n v="0.2964344644522563"/>
  </r>
  <r>
    <s v="PROD-1907"/>
    <x v="15"/>
    <x v="3"/>
    <s v="S-103"/>
    <x v="2"/>
    <n v="494"/>
    <n v="18.260000000000002"/>
    <d v="2025-03-16T00:00:00"/>
    <d v="2025-03-23T00:00:00"/>
    <n v="5.09"/>
    <n v="9020.44"/>
    <n v="2514.46"/>
    <n v="7"/>
    <n v="0.27875136911281484"/>
  </r>
  <r>
    <s v="PROD-1908"/>
    <x v="11"/>
    <x v="0"/>
    <s v="S-105"/>
    <x v="0"/>
    <n v="33"/>
    <n v="235.72"/>
    <d v="2025-02-26T00:00:00"/>
    <d v="2025-03-17T00:00:00"/>
    <n v="31.98"/>
    <n v="7778.76"/>
    <n v="1055.3399999999999"/>
    <n v="19"/>
    <n v="0.13566943831664688"/>
  </r>
  <r>
    <s v="PROD-1909"/>
    <x v="15"/>
    <x v="3"/>
    <s v="S-102"/>
    <x v="4"/>
    <n v="316"/>
    <n v="212.59"/>
    <d v="2025-01-21T00:00:00"/>
    <d v="2025-01-28T00:00:00"/>
    <n v="35.61"/>
    <n v="67178.44"/>
    <n v="11252.76"/>
    <n v="7"/>
    <n v="0.16750552707088762"/>
  </r>
  <r>
    <s v="PROD-1910"/>
    <x v="7"/>
    <x v="0"/>
    <s v="S-105"/>
    <x v="0"/>
    <n v="478"/>
    <n v="221.73"/>
    <d v="2025-02-01T00:00:00"/>
    <d v="2025-02-13T00:00:00"/>
    <n v="54.39"/>
    <n v="105986.94"/>
    <n v="25998.420000000002"/>
    <n v="12"/>
    <n v="0.24529833581382765"/>
  </r>
  <r>
    <s v="PROD-1911"/>
    <x v="8"/>
    <x v="4"/>
    <s v="S-104"/>
    <x v="1"/>
    <n v="407"/>
    <n v="300.16000000000003"/>
    <d v="2025-04-23T00:00:00"/>
    <d v="2025-05-23T00:00:00"/>
    <n v="30.71"/>
    <n v="122165.12000000001"/>
    <n v="12498.970000000001"/>
    <n v="30"/>
    <n v="0.10231210021321961"/>
  </r>
  <r>
    <s v="PROD-1912"/>
    <x v="5"/>
    <x v="4"/>
    <s v="S-102"/>
    <x v="4"/>
    <n v="317"/>
    <n v="431.74"/>
    <d v="2025-05-07T00:00:00"/>
    <d v="2025-05-13T00:00:00"/>
    <n v="57.92"/>
    <n v="136861.58000000002"/>
    <n v="18360.64"/>
    <n v="6"/>
    <n v="0.1341548153981563"/>
  </r>
  <r>
    <s v="PROD-1913"/>
    <x v="1"/>
    <x v="1"/>
    <s v="S-103"/>
    <x v="2"/>
    <n v="490"/>
    <n v="153.51"/>
    <d v="2025-01-30T00:00:00"/>
    <d v="2025-02-19T00:00:00"/>
    <n v="41.52"/>
    <n v="75219.899999999994"/>
    <n v="20344.800000000003"/>
    <n v="20"/>
    <n v="0.27047097908931017"/>
  </r>
  <r>
    <s v="PROD-1914"/>
    <x v="14"/>
    <x v="4"/>
    <s v="S-104"/>
    <x v="1"/>
    <n v="18"/>
    <n v="411.53"/>
    <d v="2025-01-25T00:00:00"/>
    <d v="2025-02-15T00:00:00"/>
    <n v="113.29"/>
    <n v="7407.5399999999991"/>
    <n v="2039.22"/>
    <n v="21"/>
    <n v="0.27528977231307561"/>
  </r>
  <r>
    <s v="PROD-1915"/>
    <x v="5"/>
    <x v="4"/>
    <s v="S-105"/>
    <x v="0"/>
    <n v="231"/>
    <n v="498.4"/>
    <d v="2025-05-15T00:00:00"/>
    <d v="2025-05-17T00:00:00"/>
    <n v="79.53"/>
    <n v="115130.4"/>
    <n v="18371.43"/>
    <n v="2"/>
    <n v="0.15957062600321029"/>
  </r>
  <r>
    <s v="PROD-1916"/>
    <x v="11"/>
    <x v="0"/>
    <s v="S-101"/>
    <x v="3"/>
    <n v="143"/>
    <n v="341.58"/>
    <d v="2025-01-16T00:00:00"/>
    <d v="2025-02-09T00:00:00"/>
    <n v="64.3"/>
    <n v="48845.939999999995"/>
    <n v="9194.9"/>
    <n v="24"/>
    <n v="0.18824287136249196"/>
  </r>
  <r>
    <s v="PROD-1917"/>
    <x v="15"/>
    <x v="3"/>
    <s v="S-105"/>
    <x v="0"/>
    <n v="443"/>
    <n v="451.43"/>
    <d v="2025-01-30T00:00:00"/>
    <d v="2025-02-07T00:00:00"/>
    <n v="132.75"/>
    <n v="199983.49"/>
    <n v="58808.25"/>
    <n v="8"/>
    <n v="0.29406552510909773"/>
  </r>
  <r>
    <s v="PROD-1918"/>
    <x v="7"/>
    <x v="0"/>
    <s v="S-105"/>
    <x v="0"/>
    <n v="187"/>
    <n v="389.59"/>
    <d v="2025-02-23T00:00:00"/>
    <d v="2025-03-01T00:00:00"/>
    <n v="102.05"/>
    <n v="72853.33"/>
    <n v="19083.349999999999"/>
    <n v="6"/>
    <n v="0.26194204163351215"/>
  </r>
  <r>
    <s v="PROD-1919"/>
    <x v="4"/>
    <x v="3"/>
    <s v="S-101"/>
    <x v="3"/>
    <n v="387"/>
    <n v="432.74"/>
    <d v="2025-04-15T00:00:00"/>
    <d v="2025-04-21T00:00:00"/>
    <n v="77.69"/>
    <n v="167470.38"/>
    <n v="30066.03"/>
    <n v="6"/>
    <n v="0.17953043397883256"/>
  </r>
  <r>
    <s v="PROD-1920"/>
    <x v="16"/>
    <x v="3"/>
    <s v="S-102"/>
    <x v="4"/>
    <n v="406"/>
    <n v="157.03"/>
    <d v="2025-02-17T00:00:00"/>
    <d v="2025-02-24T00:00:00"/>
    <n v="22.05"/>
    <n v="63754.18"/>
    <n v="8952.3000000000011"/>
    <n v="7"/>
    <n v="0.14041902821116983"/>
  </r>
  <r>
    <s v="PROD-1921"/>
    <x v="3"/>
    <x v="2"/>
    <s v="S-101"/>
    <x v="3"/>
    <n v="474"/>
    <n v="222.28"/>
    <d v="2025-05-10T00:00:00"/>
    <d v="2025-05-22T00:00:00"/>
    <n v="38.43"/>
    <n v="105360.72"/>
    <n v="18215.82"/>
    <n v="12"/>
    <n v="0.17289004858736728"/>
  </r>
  <r>
    <s v="PROD-1922"/>
    <x v="11"/>
    <x v="0"/>
    <s v="S-101"/>
    <x v="3"/>
    <n v="392"/>
    <n v="111.21"/>
    <d v="2025-04-24T00:00:00"/>
    <d v="2025-05-09T00:00:00"/>
    <n v="21.69"/>
    <n v="43594.32"/>
    <n v="8502.4800000000014"/>
    <n v="15"/>
    <n v="0.19503641758834639"/>
  </r>
  <r>
    <s v="PROD-1923"/>
    <x v="2"/>
    <x v="2"/>
    <s v="S-104"/>
    <x v="1"/>
    <n v="98"/>
    <n v="282.51"/>
    <d v="2025-06-05T00:00:00"/>
    <d v="2025-06-26T00:00:00"/>
    <n v="74.819999999999993"/>
    <n v="27685.98"/>
    <n v="7332.36"/>
    <n v="21"/>
    <n v="0.26484018264840181"/>
  </r>
  <r>
    <s v="PROD-1924"/>
    <x v="4"/>
    <x v="3"/>
    <s v="S-103"/>
    <x v="2"/>
    <n v="154"/>
    <n v="66.77"/>
    <d v="2025-06-28T00:00:00"/>
    <d v="2025-07-28T00:00:00"/>
    <n v="7.53"/>
    <n v="10282.58"/>
    <n v="1159.6200000000001"/>
    <n v="30"/>
    <n v="0.11277519844241427"/>
  </r>
  <r>
    <s v="PROD-1925"/>
    <x v="12"/>
    <x v="4"/>
    <s v="S-102"/>
    <x v="4"/>
    <n v="241"/>
    <n v="75.62"/>
    <d v="2025-04-08T00:00:00"/>
    <d v="2025-04-29T00:00:00"/>
    <n v="11.11"/>
    <n v="18224.420000000002"/>
    <n v="2677.5099999999998"/>
    <n v="21"/>
    <n v="0.14691880454906109"/>
  </r>
  <r>
    <s v="PROD-1926"/>
    <x v="15"/>
    <x v="3"/>
    <s v="S-105"/>
    <x v="0"/>
    <n v="130"/>
    <n v="30.65"/>
    <d v="2025-03-04T00:00:00"/>
    <d v="2025-03-17T00:00:00"/>
    <n v="3.33"/>
    <n v="3984.5"/>
    <n v="432.90000000000003"/>
    <n v="13"/>
    <n v="0.10864600326264275"/>
  </r>
  <r>
    <s v="PROD-1927"/>
    <x v="14"/>
    <x v="4"/>
    <s v="S-105"/>
    <x v="0"/>
    <n v="272"/>
    <n v="202.26"/>
    <d v="2025-06-22T00:00:00"/>
    <d v="2025-07-03T00:00:00"/>
    <n v="51.06"/>
    <n v="55014.720000000001"/>
    <n v="13888.32"/>
    <n v="11"/>
    <n v="0.25244734500148325"/>
  </r>
  <r>
    <s v="PROD-1928"/>
    <x v="7"/>
    <x v="0"/>
    <s v="S-105"/>
    <x v="0"/>
    <n v="429"/>
    <n v="31.22"/>
    <d v="2025-04-02T00:00:00"/>
    <d v="2025-04-24T00:00:00"/>
    <n v="3.51"/>
    <n v="13393.38"/>
    <n v="1505.79"/>
    <n v="22"/>
    <n v="0.11242793081358103"/>
  </r>
  <r>
    <s v="PROD-1929"/>
    <x v="15"/>
    <x v="3"/>
    <s v="S-104"/>
    <x v="1"/>
    <n v="426"/>
    <n v="293.64999999999998"/>
    <d v="2025-04-21T00:00:00"/>
    <d v="2025-04-22T00:00:00"/>
    <n v="56.04"/>
    <n v="125094.9"/>
    <n v="23873.040000000001"/>
    <n v="1"/>
    <n v="0.19083943470117487"/>
  </r>
  <r>
    <s v="PROD-1930"/>
    <x v="12"/>
    <x v="4"/>
    <s v="S-101"/>
    <x v="3"/>
    <n v="59"/>
    <n v="277.07"/>
    <d v="2025-06-06T00:00:00"/>
    <d v="2025-06-29T00:00:00"/>
    <n v="82.57"/>
    <n v="16347.13"/>
    <n v="4871.6299999999992"/>
    <n v="23"/>
    <n v="0.29801133287616843"/>
  </r>
  <r>
    <s v="PROD-1931"/>
    <x v="1"/>
    <x v="1"/>
    <s v="S-105"/>
    <x v="0"/>
    <n v="335"/>
    <n v="256.57"/>
    <d v="2025-01-17T00:00:00"/>
    <d v="2025-01-24T00:00:00"/>
    <n v="46.85"/>
    <n v="85950.95"/>
    <n v="15694.75"/>
    <n v="7"/>
    <n v="0.18260123942783646"/>
  </r>
  <r>
    <s v="PROD-1932"/>
    <x v="9"/>
    <x v="1"/>
    <s v="S-102"/>
    <x v="4"/>
    <n v="365"/>
    <n v="169.22"/>
    <d v="2025-06-21T00:00:00"/>
    <d v="2025-07-06T00:00:00"/>
    <n v="23.35"/>
    <n v="61765.3"/>
    <n v="8522.75"/>
    <n v="15"/>
    <n v="0.13798605365796007"/>
  </r>
  <r>
    <s v="PROD-1933"/>
    <x v="17"/>
    <x v="3"/>
    <s v="S-105"/>
    <x v="0"/>
    <n v="55"/>
    <n v="482.94"/>
    <d v="2025-01-06T00:00:00"/>
    <d v="2025-01-16T00:00:00"/>
    <n v="50.79"/>
    <n v="26561.7"/>
    <n v="2793.45"/>
    <n v="10"/>
    <n v="0.10516834389365139"/>
  </r>
  <r>
    <s v="PROD-1934"/>
    <x v="12"/>
    <x v="4"/>
    <s v="S-103"/>
    <x v="2"/>
    <n v="352"/>
    <n v="341.25"/>
    <d v="2025-03-17T00:00:00"/>
    <d v="2025-03-23T00:00:00"/>
    <n v="88.26"/>
    <n v="120120"/>
    <n v="31067.52"/>
    <n v="6"/>
    <n v="0.25863736263736264"/>
  </r>
  <r>
    <s v="PROD-1935"/>
    <x v="10"/>
    <x v="1"/>
    <s v="S-102"/>
    <x v="4"/>
    <n v="153"/>
    <n v="19.73"/>
    <d v="2025-04-18T00:00:00"/>
    <d v="2025-05-04T00:00:00"/>
    <n v="4.25"/>
    <n v="3018.69"/>
    <n v="650.25"/>
    <n v="16"/>
    <n v="0.21540800810947794"/>
  </r>
  <r>
    <s v="PROD-1936"/>
    <x v="7"/>
    <x v="0"/>
    <s v="S-105"/>
    <x v="0"/>
    <n v="60"/>
    <n v="435.87"/>
    <d v="2025-06-23T00:00:00"/>
    <d v="2025-06-28T00:00:00"/>
    <n v="108.95"/>
    <n v="26152.2"/>
    <n v="6537"/>
    <n v="5"/>
    <n v="0.24995985041411431"/>
  </r>
  <r>
    <s v="PROD-1937"/>
    <x v="19"/>
    <x v="0"/>
    <s v="S-101"/>
    <x v="3"/>
    <n v="458"/>
    <n v="176.16"/>
    <d v="2025-01-19T00:00:00"/>
    <d v="2025-02-09T00:00:00"/>
    <n v="24.29"/>
    <n v="80681.279999999999"/>
    <n v="11124.82"/>
    <n v="21"/>
    <n v="0.13788601271571299"/>
  </r>
  <r>
    <s v="PROD-1938"/>
    <x v="9"/>
    <x v="1"/>
    <s v="S-104"/>
    <x v="1"/>
    <n v="130"/>
    <n v="168.69"/>
    <d v="2025-06-01T00:00:00"/>
    <d v="2025-06-03T00:00:00"/>
    <n v="35.25"/>
    <n v="21929.7"/>
    <n v="4582.5"/>
    <n v="2"/>
    <n v="0.20896318691090165"/>
  </r>
  <r>
    <s v="PROD-1939"/>
    <x v="2"/>
    <x v="2"/>
    <s v="S-103"/>
    <x v="2"/>
    <n v="78"/>
    <n v="379.41"/>
    <d v="2025-03-31T00:00:00"/>
    <d v="2025-04-05T00:00:00"/>
    <n v="67.099999999999994"/>
    <n v="29593.980000000003"/>
    <n v="5233.7999999999993"/>
    <n v="5"/>
    <n v="0.17685353575287943"/>
  </r>
  <r>
    <s v="PROD-1940"/>
    <x v="8"/>
    <x v="4"/>
    <s v="S-101"/>
    <x v="3"/>
    <n v="151"/>
    <n v="303.07"/>
    <d v="2025-04-03T00:00:00"/>
    <d v="2025-04-17T00:00:00"/>
    <n v="72.31"/>
    <n v="45763.57"/>
    <n v="10918.81"/>
    <n v="14"/>
    <n v="0.23859174448147294"/>
  </r>
  <r>
    <s v="PROD-1941"/>
    <x v="11"/>
    <x v="0"/>
    <s v="S-101"/>
    <x v="3"/>
    <n v="413"/>
    <n v="181.83"/>
    <d v="2025-04-12T00:00:00"/>
    <d v="2025-04-17T00:00:00"/>
    <n v="50.23"/>
    <n v="75095.790000000008"/>
    <n v="20744.989999999998"/>
    <n v="5"/>
    <n v="0.27624704394214372"/>
  </r>
  <r>
    <s v="PROD-1942"/>
    <x v="8"/>
    <x v="4"/>
    <s v="S-105"/>
    <x v="0"/>
    <n v="370"/>
    <n v="428.41"/>
    <d v="2025-01-07T00:00:00"/>
    <d v="2025-01-22T00:00:00"/>
    <n v="97.41"/>
    <n v="158511.70000000001"/>
    <n v="36041.699999999997"/>
    <n v="15"/>
    <n v="0.22737564482621786"/>
  </r>
  <r>
    <s v="PROD-1943"/>
    <x v="4"/>
    <x v="3"/>
    <s v="S-101"/>
    <x v="3"/>
    <n v="333"/>
    <n v="17.72"/>
    <d v="2025-06-11T00:00:00"/>
    <d v="2025-06-15T00:00:00"/>
    <n v="2.08"/>
    <n v="5900.7599999999993"/>
    <n v="692.64"/>
    <n v="4"/>
    <n v="0.11738148984198647"/>
  </r>
  <r>
    <s v="PROD-1944"/>
    <x v="13"/>
    <x v="2"/>
    <s v="S-103"/>
    <x v="2"/>
    <n v="414"/>
    <n v="434.22"/>
    <d v="2025-04-05T00:00:00"/>
    <d v="2025-04-27T00:00:00"/>
    <n v="107.71"/>
    <n v="179767.08000000002"/>
    <n v="44591.939999999995"/>
    <n v="22"/>
    <n v="0.24805398185251712"/>
  </r>
  <r>
    <s v="PROD-1945"/>
    <x v="1"/>
    <x v="1"/>
    <s v="S-101"/>
    <x v="3"/>
    <n v="220"/>
    <n v="173.58"/>
    <d v="2025-03-27T00:00:00"/>
    <d v="2025-04-03T00:00:00"/>
    <n v="44.17"/>
    <n v="38187.600000000006"/>
    <n v="9717.4"/>
    <n v="7"/>
    <n v="0.25446480009217654"/>
  </r>
  <r>
    <s v="PROD-1946"/>
    <x v="14"/>
    <x v="4"/>
    <s v="S-103"/>
    <x v="2"/>
    <n v="161"/>
    <n v="409.15"/>
    <d v="2025-01-29T00:00:00"/>
    <d v="2025-02-26T00:00:00"/>
    <n v="46.72"/>
    <n v="65873.149999999994"/>
    <n v="7521.92"/>
    <n v="28"/>
    <n v="0.11418795062935354"/>
  </r>
  <r>
    <s v="PROD-1947"/>
    <x v="7"/>
    <x v="0"/>
    <s v="S-103"/>
    <x v="2"/>
    <n v="325"/>
    <n v="297.08999999999997"/>
    <d v="2025-04-08T00:00:00"/>
    <d v="2025-05-08T00:00:00"/>
    <n v="75.75"/>
    <n v="96554.249999999985"/>
    <n v="24618.75"/>
    <n v="30"/>
    <n v="0.25497324043219227"/>
  </r>
  <r>
    <s v="PROD-1948"/>
    <x v="10"/>
    <x v="1"/>
    <s v="S-103"/>
    <x v="2"/>
    <n v="350"/>
    <n v="452.99"/>
    <d v="2025-01-29T00:00:00"/>
    <d v="2025-02-15T00:00:00"/>
    <n v="49.41"/>
    <n v="158546.5"/>
    <n v="17293.5"/>
    <n v="17"/>
    <n v="0.1090752555244045"/>
  </r>
  <r>
    <s v="PROD-1949"/>
    <x v="7"/>
    <x v="0"/>
    <s v="S-103"/>
    <x v="2"/>
    <n v="427"/>
    <n v="36.72"/>
    <d v="2025-03-30T00:00:00"/>
    <d v="2025-04-24T00:00:00"/>
    <n v="9.6999999999999993"/>
    <n v="15679.439999999999"/>
    <n v="4141.8999999999996"/>
    <n v="25"/>
    <n v="0.26416122004357295"/>
  </r>
  <r>
    <s v="PROD-1950"/>
    <x v="7"/>
    <x v="0"/>
    <s v="S-105"/>
    <x v="0"/>
    <n v="178"/>
    <n v="225.93"/>
    <d v="2025-04-27T00:00:00"/>
    <d v="2025-05-13T00:00:00"/>
    <n v="48.43"/>
    <n v="40215.54"/>
    <n v="8620.5399999999991"/>
    <n v="16"/>
    <n v="0.21435842960208915"/>
  </r>
  <r>
    <s v="PROD-1951"/>
    <x v="8"/>
    <x v="4"/>
    <s v="S-105"/>
    <x v="0"/>
    <n v="285"/>
    <n v="242.85"/>
    <d v="2025-06-12T00:00:00"/>
    <d v="2025-06-23T00:00:00"/>
    <n v="38.44"/>
    <n v="69212.25"/>
    <n v="10955.4"/>
    <n v="11"/>
    <n v="0.15828700844142474"/>
  </r>
  <r>
    <s v="PROD-1952"/>
    <x v="17"/>
    <x v="3"/>
    <s v="S-102"/>
    <x v="4"/>
    <n v="33"/>
    <n v="119.21"/>
    <d v="2025-05-17T00:00:00"/>
    <d v="2025-06-01T00:00:00"/>
    <n v="27.37"/>
    <n v="3933.93"/>
    <n v="903.21"/>
    <n v="15"/>
    <n v="0.22959483264826777"/>
  </r>
  <r>
    <s v="PROD-1953"/>
    <x v="8"/>
    <x v="4"/>
    <s v="S-101"/>
    <x v="3"/>
    <n v="461"/>
    <n v="155.05000000000001"/>
    <d v="2025-02-03T00:00:00"/>
    <d v="2025-02-22T00:00:00"/>
    <n v="19.98"/>
    <n v="71478.05"/>
    <n v="9210.7800000000007"/>
    <n v="19"/>
    <n v="0.12886165752982909"/>
  </r>
  <r>
    <s v="PROD-1954"/>
    <x v="15"/>
    <x v="3"/>
    <s v="S-101"/>
    <x v="3"/>
    <n v="429"/>
    <n v="135.97999999999999"/>
    <d v="2025-06-29T00:00:00"/>
    <d v="2025-07-26T00:00:00"/>
    <n v="24.34"/>
    <n v="58335.42"/>
    <n v="10441.86"/>
    <n v="27"/>
    <n v="0.17899691131048684"/>
  </r>
  <r>
    <s v="PROD-1955"/>
    <x v="1"/>
    <x v="1"/>
    <s v="S-103"/>
    <x v="2"/>
    <n v="17"/>
    <n v="95.56"/>
    <d v="2025-03-30T00:00:00"/>
    <d v="2025-04-08T00:00:00"/>
    <n v="26.73"/>
    <n v="1624.52"/>
    <n v="454.41"/>
    <n v="9"/>
    <n v="0.27971954792800335"/>
  </r>
  <r>
    <s v="PROD-1956"/>
    <x v="8"/>
    <x v="4"/>
    <s v="S-105"/>
    <x v="0"/>
    <n v="259"/>
    <n v="229.47"/>
    <d v="2025-02-25T00:00:00"/>
    <d v="2025-03-18T00:00:00"/>
    <n v="52.4"/>
    <n v="59432.73"/>
    <n v="13571.6"/>
    <n v="21"/>
    <n v="0.22835229005970278"/>
  </r>
  <r>
    <s v="PROD-1957"/>
    <x v="10"/>
    <x v="1"/>
    <s v="S-101"/>
    <x v="3"/>
    <n v="24"/>
    <n v="289.56"/>
    <d v="2025-04-16T00:00:00"/>
    <d v="2025-05-13T00:00:00"/>
    <n v="36.39"/>
    <n v="6949.4400000000005"/>
    <n v="873.36"/>
    <n v="27"/>
    <n v="0.12567343555739743"/>
  </r>
  <r>
    <s v="PROD-1958"/>
    <x v="17"/>
    <x v="3"/>
    <s v="S-103"/>
    <x v="2"/>
    <n v="31"/>
    <n v="374.98"/>
    <d v="2025-04-26T00:00:00"/>
    <d v="2025-05-02T00:00:00"/>
    <n v="72.62"/>
    <n v="11624.380000000001"/>
    <n v="2251.2200000000003"/>
    <n v="6"/>
    <n v="0.19366366206197663"/>
  </r>
  <r>
    <s v="PROD-1959"/>
    <x v="11"/>
    <x v="0"/>
    <s v="S-103"/>
    <x v="2"/>
    <n v="73"/>
    <n v="361.38"/>
    <d v="2025-05-28T00:00:00"/>
    <d v="2025-06-26T00:00:00"/>
    <n v="80.05"/>
    <n v="26380.739999999998"/>
    <n v="5843.65"/>
    <n v="29"/>
    <n v="0.22151198184736287"/>
  </r>
  <r>
    <s v="PROD-1960"/>
    <x v="7"/>
    <x v="0"/>
    <s v="S-103"/>
    <x v="2"/>
    <n v="73"/>
    <n v="84.43"/>
    <d v="2025-01-05T00:00:00"/>
    <d v="2025-01-08T00:00:00"/>
    <n v="11.66"/>
    <n v="6163.39"/>
    <n v="851.18000000000006"/>
    <n v="3"/>
    <n v="0.13810257017647753"/>
  </r>
  <r>
    <s v="PROD-1961"/>
    <x v="18"/>
    <x v="1"/>
    <s v="S-105"/>
    <x v="0"/>
    <n v="22"/>
    <n v="499.17"/>
    <d v="2025-05-24T00:00:00"/>
    <d v="2025-06-13T00:00:00"/>
    <n v="100.14"/>
    <n v="10981.74"/>
    <n v="2203.08"/>
    <n v="20"/>
    <n v="0.20061301760923131"/>
  </r>
  <r>
    <s v="PROD-1962"/>
    <x v="8"/>
    <x v="4"/>
    <s v="S-101"/>
    <x v="3"/>
    <n v="296"/>
    <n v="368.48"/>
    <d v="2025-05-27T00:00:00"/>
    <d v="2025-06-24T00:00:00"/>
    <n v="83.38"/>
    <n v="109070.08"/>
    <n v="24680.48"/>
    <n v="28"/>
    <n v="0.22628093790707771"/>
  </r>
  <r>
    <s v="PROD-1963"/>
    <x v="0"/>
    <x v="0"/>
    <s v="S-101"/>
    <x v="3"/>
    <n v="283"/>
    <n v="230.46"/>
    <d v="2025-06-03T00:00:00"/>
    <d v="2025-06-10T00:00:00"/>
    <n v="36.340000000000003"/>
    <n v="65220.18"/>
    <n v="10284.220000000001"/>
    <n v="7"/>
    <n v="0.15768463073852296"/>
  </r>
  <r>
    <s v="PROD-1964"/>
    <x v="19"/>
    <x v="0"/>
    <s v="S-101"/>
    <x v="3"/>
    <n v="27"/>
    <n v="477.08"/>
    <d v="2025-03-07T00:00:00"/>
    <d v="2025-03-17T00:00:00"/>
    <n v="133.75"/>
    <n v="12881.16"/>
    <n v="3611.25"/>
    <n v="10"/>
    <n v="0.28035130376456779"/>
  </r>
  <r>
    <s v="PROD-1965"/>
    <x v="6"/>
    <x v="2"/>
    <s v="S-104"/>
    <x v="1"/>
    <n v="16"/>
    <n v="475.43"/>
    <d v="2025-06-30T00:00:00"/>
    <d v="2025-07-24T00:00:00"/>
    <n v="61.99"/>
    <n v="7606.88"/>
    <n v="991.84"/>
    <n v="24"/>
    <n v="0.1303872284037608"/>
  </r>
  <r>
    <s v="PROD-1966"/>
    <x v="6"/>
    <x v="2"/>
    <s v="S-105"/>
    <x v="0"/>
    <n v="489"/>
    <n v="426.95"/>
    <d v="2025-04-01T00:00:00"/>
    <d v="2025-04-03T00:00:00"/>
    <n v="71.95"/>
    <n v="208778.55"/>
    <n v="35183.550000000003"/>
    <n v="2"/>
    <n v="0.16852090408712966"/>
  </r>
  <r>
    <s v="PROD-1967"/>
    <x v="11"/>
    <x v="0"/>
    <s v="S-103"/>
    <x v="2"/>
    <n v="284"/>
    <n v="80.59"/>
    <d v="2025-01-16T00:00:00"/>
    <d v="2025-01-25T00:00:00"/>
    <n v="16.89"/>
    <n v="22887.56"/>
    <n v="4796.76"/>
    <n v="9"/>
    <n v="0.20957935227695743"/>
  </r>
  <r>
    <s v="PROD-1968"/>
    <x v="2"/>
    <x v="2"/>
    <s v="S-102"/>
    <x v="4"/>
    <n v="391"/>
    <n v="73.540000000000006"/>
    <d v="2025-04-18T00:00:00"/>
    <d v="2025-04-21T00:00:00"/>
    <n v="10.55"/>
    <n v="28754.140000000003"/>
    <n v="4125.05"/>
    <n v="3"/>
    <n v="0.14345934185477291"/>
  </r>
  <r>
    <s v="PROD-1969"/>
    <x v="1"/>
    <x v="1"/>
    <s v="S-104"/>
    <x v="1"/>
    <n v="38"/>
    <n v="470.81"/>
    <d v="2025-04-09T00:00:00"/>
    <d v="2025-04-25T00:00:00"/>
    <n v="113.83"/>
    <n v="17890.78"/>
    <n v="4325.54"/>
    <n v="16"/>
    <n v="0.24177481361908201"/>
  </r>
  <r>
    <s v="PROD-1970"/>
    <x v="4"/>
    <x v="3"/>
    <s v="S-101"/>
    <x v="3"/>
    <n v="171"/>
    <n v="55.77"/>
    <d v="2025-06-18T00:00:00"/>
    <d v="2025-07-18T00:00:00"/>
    <n v="8.34"/>
    <n v="9536.67"/>
    <n v="1426.1399999999999"/>
    <n v="30"/>
    <n v="0.14954276492738031"/>
  </r>
  <r>
    <s v="PROD-1971"/>
    <x v="8"/>
    <x v="4"/>
    <s v="S-102"/>
    <x v="4"/>
    <n v="322"/>
    <n v="81.430000000000007"/>
    <d v="2025-02-24T00:00:00"/>
    <d v="2025-02-28T00:00:00"/>
    <n v="14.01"/>
    <n v="26220.460000000003"/>
    <n v="4511.22"/>
    <n v="4"/>
    <n v="0.17204961316468131"/>
  </r>
  <r>
    <s v="PROD-1972"/>
    <x v="16"/>
    <x v="3"/>
    <s v="S-103"/>
    <x v="2"/>
    <n v="46"/>
    <n v="470.41"/>
    <d v="2025-05-26T00:00:00"/>
    <d v="2025-06-16T00:00:00"/>
    <n v="68.12"/>
    <n v="21638.86"/>
    <n v="3133.5200000000004"/>
    <n v="21"/>
    <n v="0.14480984672944877"/>
  </r>
  <r>
    <s v="PROD-1973"/>
    <x v="19"/>
    <x v="0"/>
    <s v="S-101"/>
    <x v="3"/>
    <n v="329"/>
    <n v="28.41"/>
    <d v="2025-01-31T00:00:00"/>
    <d v="2025-02-11T00:00:00"/>
    <n v="5.21"/>
    <n v="9346.89"/>
    <n v="1714.09"/>
    <n v="11"/>
    <n v="0.18338613164378739"/>
  </r>
  <r>
    <s v="PROD-1974"/>
    <x v="1"/>
    <x v="1"/>
    <s v="S-104"/>
    <x v="1"/>
    <n v="230"/>
    <n v="350.28"/>
    <d v="2025-05-17T00:00:00"/>
    <d v="2025-05-24T00:00:00"/>
    <n v="96.71"/>
    <n v="80564.399999999994"/>
    <n v="22243.3"/>
    <n v="7"/>
    <n v="0.27609341098549733"/>
  </r>
  <r>
    <s v="PROD-1975"/>
    <x v="14"/>
    <x v="4"/>
    <s v="S-104"/>
    <x v="1"/>
    <n v="201"/>
    <n v="168.96"/>
    <d v="2025-04-09T00:00:00"/>
    <d v="2025-04-25T00:00:00"/>
    <n v="26.16"/>
    <n v="33960.959999999999"/>
    <n v="5258.16"/>
    <n v="16"/>
    <n v="0.15482954545454544"/>
  </r>
  <r>
    <s v="PROD-1976"/>
    <x v="3"/>
    <x v="2"/>
    <s v="S-105"/>
    <x v="0"/>
    <n v="444"/>
    <n v="491.77"/>
    <d v="2025-04-15T00:00:00"/>
    <d v="2025-04-19T00:00:00"/>
    <n v="69.84"/>
    <n v="218345.88"/>
    <n v="31008.960000000003"/>
    <n v="4"/>
    <n v="0.14201760985826709"/>
  </r>
  <r>
    <s v="PROD-1977"/>
    <x v="11"/>
    <x v="0"/>
    <s v="S-104"/>
    <x v="1"/>
    <n v="468"/>
    <n v="353.95"/>
    <d v="2025-06-06T00:00:00"/>
    <d v="2025-06-14T00:00:00"/>
    <n v="94.4"/>
    <n v="165648.6"/>
    <n v="44179.200000000004"/>
    <n v="8"/>
    <n v="0.26670433677073035"/>
  </r>
  <r>
    <s v="PROD-1978"/>
    <x v="6"/>
    <x v="2"/>
    <s v="S-103"/>
    <x v="2"/>
    <n v="407"/>
    <n v="78.53"/>
    <d v="2025-06-05T00:00:00"/>
    <d v="2025-07-05T00:00:00"/>
    <n v="16.43"/>
    <n v="31961.71"/>
    <n v="6687.01"/>
    <n v="30"/>
    <n v="0.20921940659620528"/>
  </r>
  <r>
    <s v="PROD-1979"/>
    <x v="2"/>
    <x v="2"/>
    <s v="S-105"/>
    <x v="0"/>
    <n v="224"/>
    <n v="204.91"/>
    <d v="2025-03-12T00:00:00"/>
    <d v="2025-04-10T00:00:00"/>
    <n v="27.95"/>
    <n v="45899.839999999997"/>
    <n v="6260.8"/>
    <n v="29"/>
    <n v="0.13640134693279976"/>
  </r>
  <r>
    <s v="PROD-1980"/>
    <x v="3"/>
    <x v="2"/>
    <s v="S-104"/>
    <x v="1"/>
    <n v="132"/>
    <n v="342.11"/>
    <d v="2025-01-25T00:00:00"/>
    <d v="2025-02-23T00:00:00"/>
    <n v="72.2"/>
    <n v="45158.520000000004"/>
    <n v="9530.4"/>
    <n v="29"/>
    <n v="0.21104323170909942"/>
  </r>
  <r>
    <s v="PROD-1981"/>
    <x v="17"/>
    <x v="3"/>
    <s v="S-102"/>
    <x v="4"/>
    <n v="50"/>
    <n v="301.51"/>
    <d v="2025-06-11T00:00:00"/>
    <d v="2025-07-10T00:00:00"/>
    <n v="64.7"/>
    <n v="15075.5"/>
    <n v="3235"/>
    <n v="29"/>
    <n v="0.21458658087625621"/>
  </r>
  <r>
    <s v="PROD-1982"/>
    <x v="10"/>
    <x v="1"/>
    <s v="S-105"/>
    <x v="0"/>
    <n v="96"/>
    <n v="359.65"/>
    <d v="2025-04-16T00:00:00"/>
    <d v="2025-05-09T00:00:00"/>
    <n v="78.239999999999995"/>
    <n v="34526.399999999994"/>
    <n v="7511.0399999999991"/>
    <n v="23"/>
    <n v="0.21754483525649937"/>
  </r>
  <r>
    <s v="PROD-1983"/>
    <x v="6"/>
    <x v="2"/>
    <s v="S-102"/>
    <x v="4"/>
    <n v="30"/>
    <n v="301.20999999999998"/>
    <d v="2025-02-02T00:00:00"/>
    <d v="2025-03-01T00:00:00"/>
    <n v="64.02"/>
    <n v="9036.2999999999993"/>
    <n v="1920.6"/>
    <n v="27"/>
    <n v="0.21254274426479863"/>
  </r>
  <r>
    <s v="PROD-1984"/>
    <x v="2"/>
    <x v="2"/>
    <s v="S-103"/>
    <x v="2"/>
    <n v="188"/>
    <n v="249.81"/>
    <d v="2025-02-14T00:00:00"/>
    <d v="2025-03-15T00:00:00"/>
    <n v="53.47"/>
    <n v="46964.28"/>
    <n v="10052.36"/>
    <n v="29"/>
    <n v="0.21404267243104758"/>
  </r>
  <r>
    <s v="PROD-1985"/>
    <x v="1"/>
    <x v="1"/>
    <s v="S-104"/>
    <x v="1"/>
    <n v="366"/>
    <n v="210.07"/>
    <d v="2025-02-22T00:00:00"/>
    <d v="2025-03-08T00:00:00"/>
    <n v="55.81"/>
    <n v="76885.62"/>
    <n v="20426.46"/>
    <n v="14"/>
    <n v="0.26567334697957823"/>
  </r>
  <r>
    <s v="PROD-1986"/>
    <x v="18"/>
    <x v="1"/>
    <s v="S-101"/>
    <x v="3"/>
    <n v="360"/>
    <n v="35.75"/>
    <d v="2025-03-31T00:00:00"/>
    <d v="2025-04-24T00:00:00"/>
    <n v="8.18"/>
    <n v="12870"/>
    <n v="2944.7999999999997"/>
    <n v="24"/>
    <n v="0.22881118881118881"/>
  </r>
  <r>
    <s v="PROD-1987"/>
    <x v="9"/>
    <x v="1"/>
    <s v="S-105"/>
    <x v="0"/>
    <n v="276"/>
    <n v="33.64"/>
    <d v="2025-06-07T00:00:00"/>
    <d v="2025-06-09T00:00:00"/>
    <n v="4.6500000000000004"/>
    <n v="9284.64"/>
    <n v="1283.4000000000001"/>
    <n v="2"/>
    <n v="0.13822829964328182"/>
  </r>
  <r>
    <s v="PROD-1988"/>
    <x v="18"/>
    <x v="1"/>
    <s v="S-105"/>
    <x v="0"/>
    <n v="79"/>
    <n v="309.83"/>
    <d v="2025-02-04T00:00:00"/>
    <d v="2025-02-28T00:00:00"/>
    <n v="47.68"/>
    <n v="24476.57"/>
    <n v="3766.72"/>
    <n v="24"/>
    <n v="0.15389084336571668"/>
  </r>
  <r>
    <s v="PROD-1989"/>
    <x v="2"/>
    <x v="2"/>
    <s v="S-103"/>
    <x v="2"/>
    <n v="47"/>
    <n v="143.52000000000001"/>
    <d v="2025-04-19T00:00:00"/>
    <d v="2025-04-22T00:00:00"/>
    <n v="37.29"/>
    <n v="6745.4400000000005"/>
    <n v="1752.6299999999999"/>
    <n v="3"/>
    <n v="0.25982441471571904"/>
  </r>
  <r>
    <s v="PROD-1990"/>
    <x v="17"/>
    <x v="3"/>
    <s v="S-101"/>
    <x v="3"/>
    <n v="443"/>
    <n v="108.08"/>
    <d v="2025-01-27T00:00:00"/>
    <d v="2025-02-15T00:00:00"/>
    <n v="13.13"/>
    <n v="47879.44"/>
    <n v="5816.59"/>
    <n v="19"/>
    <n v="0.12148408586232422"/>
  </r>
  <r>
    <s v="PROD-1991"/>
    <x v="18"/>
    <x v="1"/>
    <s v="S-104"/>
    <x v="1"/>
    <n v="454"/>
    <n v="459.71"/>
    <d v="2025-05-20T00:00:00"/>
    <d v="2025-05-23T00:00:00"/>
    <n v="108.62"/>
    <n v="208708.34"/>
    <n v="49313.48"/>
    <n v="3"/>
    <n v="0.23627939353070415"/>
  </r>
  <r>
    <s v="PROD-1992"/>
    <x v="0"/>
    <x v="0"/>
    <s v="S-101"/>
    <x v="3"/>
    <n v="177"/>
    <n v="309.26"/>
    <d v="2025-03-18T00:00:00"/>
    <d v="2025-03-21T00:00:00"/>
    <n v="89.16"/>
    <n v="54739.02"/>
    <n v="15781.32"/>
    <n v="3"/>
    <n v="0.28830110586561469"/>
  </r>
  <r>
    <s v="PROD-1993"/>
    <x v="5"/>
    <x v="4"/>
    <s v="S-102"/>
    <x v="4"/>
    <n v="149"/>
    <n v="475.08"/>
    <d v="2025-05-18T00:00:00"/>
    <d v="2025-05-28T00:00:00"/>
    <n v="132.18"/>
    <n v="70786.92"/>
    <n v="19694.82"/>
    <n v="10"/>
    <n v="0.27822682495579693"/>
  </r>
  <r>
    <s v="PROD-1994"/>
    <x v="2"/>
    <x v="2"/>
    <s v="S-102"/>
    <x v="4"/>
    <n v="39"/>
    <n v="326.14999999999998"/>
    <d v="2025-06-09T00:00:00"/>
    <d v="2025-06-16T00:00:00"/>
    <n v="71.19"/>
    <n v="12719.849999999999"/>
    <n v="2776.41"/>
    <n v="7"/>
    <n v="0.21827380039858962"/>
  </r>
  <r>
    <s v="PROD-1995"/>
    <x v="17"/>
    <x v="3"/>
    <s v="S-104"/>
    <x v="1"/>
    <n v="37"/>
    <n v="28.66"/>
    <d v="2025-02-26T00:00:00"/>
    <d v="2025-03-17T00:00:00"/>
    <n v="3.84"/>
    <n v="1060.42"/>
    <n v="142.07999999999998"/>
    <n v="19"/>
    <n v="0.13398464759246337"/>
  </r>
  <r>
    <s v="PROD-1996"/>
    <x v="5"/>
    <x v="4"/>
    <s v="S-101"/>
    <x v="3"/>
    <n v="432"/>
    <n v="88.28"/>
    <d v="2025-02-05T00:00:00"/>
    <d v="2025-02-22T00:00:00"/>
    <n v="15.09"/>
    <n v="38136.959999999999"/>
    <n v="6518.88"/>
    <n v="17"/>
    <n v="0.17093339374716809"/>
  </r>
  <r>
    <s v="PROD-1997"/>
    <x v="1"/>
    <x v="1"/>
    <s v="S-102"/>
    <x v="4"/>
    <n v="386"/>
    <n v="452.56"/>
    <d v="2025-04-09T00:00:00"/>
    <d v="2025-04-28T00:00:00"/>
    <n v="49.58"/>
    <n v="174688.16"/>
    <n v="19137.88"/>
    <n v="19"/>
    <n v="0.10955453420540923"/>
  </r>
  <r>
    <s v="PROD-1998"/>
    <x v="14"/>
    <x v="4"/>
    <s v="S-101"/>
    <x v="3"/>
    <n v="478"/>
    <n v="378.97"/>
    <d v="2025-06-06T00:00:00"/>
    <d v="2025-06-21T00:00:00"/>
    <n v="37.99"/>
    <n v="181147.66"/>
    <n v="18159.22"/>
    <n v="15"/>
    <n v="0.10024540201071325"/>
  </r>
  <r>
    <s v="PROD-1999"/>
    <x v="5"/>
    <x v="4"/>
    <s v="S-101"/>
    <x v="3"/>
    <n v="334"/>
    <n v="186.02"/>
    <d v="2025-06-10T00:00:00"/>
    <d v="2025-07-03T00:00:00"/>
    <n v="23.88"/>
    <n v="62130.68"/>
    <n v="7975.92"/>
    <n v="23"/>
    <n v="0.12837329319428017"/>
  </r>
  <r>
    <s v="PROD-2000"/>
    <x v="0"/>
    <x v="0"/>
    <s v="S-103"/>
    <x v="2"/>
    <n v="474"/>
    <n v="368.05"/>
    <d v="2025-04-10T00:00:00"/>
    <d v="2025-04-17T00:00:00"/>
    <n v="110.36"/>
    <n v="174455.7"/>
    <n v="52310.64"/>
    <n v="7"/>
    <n v="0.299850563782094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E65F2-3CCF-4546-9CDD-44348EFD3809}" name="PivotTable10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I12:J18" firstHeaderRow="1" firstDataRow="1" firstDataCol="1"/>
  <pivotFields count="14">
    <pivotField showAll="0"/>
    <pivotField showAll="0"/>
    <pivotField showAll="0"/>
    <pivotField showAll="0"/>
    <pivotField axis="axisRow" showAll="0" sortType="descending">
      <items count="6"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numFmtId="14" showAll="0"/>
    <pivotField numFmtId="14" showAll="0"/>
    <pivotField numFmtId="44" showAll="0"/>
    <pivotField dataField="1" numFmtId="164" showAll="0"/>
    <pivotField numFmtId="164" showAll="0"/>
    <pivotField showAll="0"/>
    <pivotField numFmtId="10" showAll="0"/>
  </pivotFields>
  <rowFields count="1">
    <field x="4"/>
  </rowFields>
  <rowItems count="6">
    <i>
      <x v="1"/>
    </i>
    <i>
      <x v="4"/>
    </i>
    <i>
      <x v="3"/>
    </i>
    <i>
      <x/>
    </i>
    <i>
      <x v="2"/>
    </i>
    <i t="grand">
      <x/>
    </i>
  </rowItems>
  <colItems count="1">
    <i/>
  </colItems>
  <dataFields count="1">
    <dataField name="Sum of Revenue" fld="10" baseField="0" baseItem="0" numFmtId="164"/>
  </dataFields>
  <chartFormats count="8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85FFC-5B3E-4620-B24B-84868ACC1846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G19" firstHeaderRow="1" firstDataRow="2" firstDataCol="1"/>
  <pivotFields count="14"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axis="axisCol" showAll="0">
      <items count="6">
        <item x="2"/>
        <item x="0"/>
        <item x="3"/>
        <item x="1"/>
        <item x="4"/>
        <item t="default"/>
      </items>
    </pivotField>
    <pivotField showAll="0"/>
    <pivotField numFmtId="44" showAll="0"/>
    <pivotField numFmtId="14" showAll="0"/>
    <pivotField numFmtId="14" showAll="0"/>
    <pivotField numFmtId="44" showAll="0"/>
    <pivotField numFmtId="164" showAll="0"/>
    <pivotField numFmtId="164" showAll="0"/>
    <pivotField dataField="1" showAll="0"/>
    <pivotField numFmtId="1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Days in stocks" fld="12" subtotal="average" baseField="0" baseItem="0"/>
  </dataFields>
  <formats count="2">
    <format dxfId="18">
      <pivotArea collapsedLevelsAreSubtotals="1" fieldPosition="0">
        <references count="1">
          <reference field="2" count="0"/>
        </references>
      </pivotArea>
    </format>
    <format dxfId="17">
      <pivotArea grandRow="1" outline="0" collapsedLevelsAreSubtotals="1" fieldPosition="0"/>
    </format>
  </formats>
  <chartFormats count="5"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31581-A41D-4628-9C9D-E531ABBC48D0}" name="PivotTable8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K3:M9" firstHeaderRow="0" firstDataRow="1" firstDataCol="1"/>
  <pivotFields count="14">
    <pivotField showAll="0"/>
    <pivotField showAll="0"/>
    <pivotField showAll="0"/>
    <pivotField showAll="0"/>
    <pivotField axis="axisRow" showAll="0" sortType="descending">
      <items count="6">
        <item x="2"/>
        <item x="0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numFmtId="44" showAll="0"/>
    <pivotField numFmtId="14" showAll="0"/>
    <pivotField numFmtId="14" showAll="0"/>
    <pivotField numFmtId="44" showAll="0"/>
    <pivotField numFmtId="164" showAll="0"/>
    <pivotField dataField="1" numFmtId="164" showAll="0"/>
    <pivotField showAll="0"/>
    <pivotField numFmtId="10" showAll="0"/>
  </pivotFields>
  <rowFields count="1">
    <field x="4"/>
  </rowFields>
  <rowItems count="6">
    <i>
      <x v="1"/>
    </i>
    <i>
      <x v="4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ock-Quantity" fld="5" baseField="0" baseItem="0"/>
    <dataField name="Sum of Margins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55590-FA58-4634-AF7F-3C785E7A3C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A30" firstHeaderRow="1" firstDataRow="1" firstDataCol="1"/>
  <pivotFields count="11"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showAll="0"/>
    <pivotField axis="axisRow" showAll="0">
      <items count="7">
        <item x="1"/>
        <item x="2"/>
        <item x="4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FDED6-BAAD-4122-A809-24B8ED64042E}" name="PivotTable6" cacheId="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 chartFormat="58">
  <location ref="A3:B8" firstHeaderRow="2" firstDataRow="2" firstDataCol="1"/>
  <pivotFields count="14">
    <pivotField compact="0" outline="0" showAll="0"/>
    <pivotField axis="axisRow" compact="0" outline="0" showAll="0" measureFilter="1" sortType="descending">
      <items count="21">
        <item x="17"/>
        <item x="12"/>
        <item x="10"/>
        <item x="15"/>
        <item x="4"/>
        <item x="8"/>
        <item x="19"/>
        <item x="6"/>
        <item x="1"/>
        <item x="3"/>
        <item x="0"/>
        <item x="7"/>
        <item x="14"/>
        <item x="16"/>
        <item x="11"/>
        <item x="2"/>
        <item x="18"/>
        <item x="5"/>
        <item x="1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14" outline="0" showAll="0"/>
    <pivotField compact="0" numFmtId="14" outline="0" showAll="0"/>
    <pivotField compact="0" numFmtId="44" outline="0" showAll="0"/>
    <pivotField dataField="1" compact="0" numFmtId="164" outline="0" showAll="0"/>
    <pivotField compact="0" numFmtId="164" outline="0" showAll="0"/>
    <pivotField compact="0" outline="0" showAll="0"/>
    <pivotField compact="0" numFmtId="165" outline="0" showAll="0"/>
  </pivotFields>
  <rowFields count="1">
    <field x="1"/>
  </rowFields>
  <rowItems count="4">
    <i>
      <x v="5"/>
    </i>
    <i>
      <x v="3"/>
    </i>
    <i>
      <x v="8"/>
    </i>
    <i t="grand">
      <x/>
    </i>
  </rowItems>
  <colItems count="1">
    <i/>
  </colItems>
  <dataFields count="1">
    <dataField name="Revenue Distribution" fld="10" baseField="0" baseItem="0" numFmtId="164"/>
  </dataFields>
  <chartFormats count="1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altText="Revenue Vs Profit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831C7-4BCA-4B41-A307-8FBED283D08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4:I17" firstHeaderRow="1" firstDataRow="1" firstDataCol="1"/>
  <pivotFields count="14">
    <pivotField showAll="0"/>
    <pivotField axis="axisRow" showAll="0" measureFilter="1" sortType="ascending">
      <items count="21">
        <item x="17"/>
        <item x="12"/>
        <item x="10"/>
        <item x="15"/>
        <item x="4"/>
        <item x="8"/>
        <item x="19"/>
        <item x="6"/>
        <item x="1"/>
        <item x="3"/>
        <item x="0"/>
        <item x="7"/>
        <item x="14"/>
        <item x="16"/>
        <item x="11"/>
        <item x="2"/>
        <item x="18"/>
        <item x="5"/>
        <item x="1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14" showAll="0"/>
    <pivotField numFmtId="14" showAll="0"/>
    <pivotField numFmtId="44" showAll="0"/>
    <pivotField numFmtId="164" showAll="0"/>
    <pivotField numFmtId="164" showAll="0"/>
    <pivotField showAll="0"/>
    <pivotField dataField="1" numFmtId="10" showAll="0"/>
  </pivotFields>
  <rowFields count="1">
    <field x="1"/>
  </rowFields>
  <rowItems count="3">
    <i>
      <x v="17"/>
    </i>
    <i>
      <x v="4"/>
    </i>
    <i t="grand">
      <x/>
    </i>
  </rowItems>
  <colItems count="1">
    <i/>
  </colItems>
  <dataFields count="1">
    <dataField name="Average of Profit%" fld="13" subtotal="average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9F6E7-FEBD-4173-9D99-F0ED2DE94909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:H8" firstHeaderRow="0" firstDataRow="1" firstDataCol="1"/>
  <pivotFields count="14">
    <pivotField showAll="0"/>
    <pivotField axis="axisRow" showAll="0" measureFilter="1" sortType="descending">
      <items count="21">
        <item x="17"/>
        <item x="12"/>
        <item x="10"/>
        <item x="15"/>
        <item x="4"/>
        <item x="8"/>
        <item x="19"/>
        <item x="6"/>
        <item x="1"/>
        <item x="3"/>
        <item x="0"/>
        <item x="7"/>
        <item x="14"/>
        <item x="16"/>
        <item x="11"/>
        <item x="2"/>
        <item x="18"/>
        <item x="5"/>
        <item x="13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14" showAll="0"/>
    <pivotField numFmtId="14" showAll="0"/>
    <pivotField numFmtId="44" showAll="0"/>
    <pivotField dataField="1" numFmtId="164" showAll="0"/>
    <pivotField numFmtId="164" showAll="0"/>
    <pivotField showAll="0"/>
    <pivotField dataField="1" numFmtId="10" showAll="0"/>
  </pivotFields>
  <rowFields count="1">
    <field x="1"/>
  </rowFields>
  <rowItems count="3"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4"/>
    <dataField name="Average of Profit%" fld="13" subtotal="average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26880-5CCE-4032-8FD9-25A567236C5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9" firstHeaderRow="1" firstDataRow="1" firstDataCol="1"/>
  <pivotFields count="14"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showAll="0"/>
    <pivotField numFmtId="44" showAll="0"/>
    <pivotField numFmtId="14" showAll="0"/>
    <pivotField numFmtId="14" showAll="0"/>
    <pivotField numFmtId="44" showAll="0"/>
    <pivotField dataField="1" numFmtId="164" showAll="0"/>
    <pivotField numFmtId="164" showAll="0"/>
    <pivotField showAll="0"/>
    <pivotField numFmtId="1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0" baseField="0" baseItem="0" numFmtId="164"/>
  </dataFields>
  <chartFormats count="2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9D61B2-05B6-4637-95A4-E5C0529ADF67}" name="Table4" displayName="Table4" ref="A1:N1002" totalsRowCount="1">
  <autoFilter ref="A1:N1001" xr:uid="{049D61B2-05B6-4637-95A4-E5C0529ADF67}"/>
  <sortState xmlns:xlrd2="http://schemas.microsoft.com/office/spreadsheetml/2017/richdata2" ref="A2:J1001">
    <sortCondition ref="A1:A1001"/>
  </sortState>
  <tableColumns count="14">
    <tableColumn id="1" xr3:uid="{1A18C27C-BDFA-4EB1-885A-7A9A4457CB4E}" name="Product-Id" totalsRowFunction="count"/>
    <tableColumn id="2" xr3:uid="{671EEC31-AE97-4CE8-A714-B2EE6D2F6BFF}" name="Product-Name"/>
    <tableColumn id="3" xr3:uid="{E7A3F8F9-9ADA-45D2-B725-83BF3109313C}" name="Category"/>
    <tableColumn id="4" xr3:uid="{15917F01-54C8-43AE-994A-8E2EDC8698EB}" name="Supplier-Id"/>
    <tableColumn id="5" xr3:uid="{0320E41C-FC6A-4399-AF97-56617897E411}" name="Supplier-Name"/>
    <tableColumn id="6" xr3:uid="{918A0BFC-511E-4EAD-93A1-5F6C8DC998FE}" name="Stock-Quantity"/>
    <tableColumn id="7" xr3:uid="{CD0FB10F-36D3-4D9A-8CEF-DB4D21F5D417}" name="Unit-Price" totalsRowDxfId="16" dataCellStyle="Currency" totalsRowCellStyle="Currency"/>
    <tableColumn id="8" xr3:uid="{099D3711-6A4A-4195-93DA-ACD482B14333}" name="Date-Received" dataDxfId="15" totalsRowDxfId="14"/>
    <tableColumn id="9" xr3:uid="{C1CD88A8-A236-45DF-B6C2-8C80E9A92D3B}" name="Date-Sales" dataDxfId="13" totalsRowDxfId="12"/>
    <tableColumn id="10" xr3:uid="{DE30CBFC-5F82-42D3-A1C3-AC2A074F5E7F}" name="Margin-Unit" totalsRowDxfId="11" dataCellStyle="Currency" totalsRowCellStyle="Currency"/>
    <tableColumn id="11" xr3:uid="{0A1B25E4-024E-45E7-9294-29F8B940B2C2}" name="Revenue" totalsRowFunction="sum" dataDxfId="10" totalsRowDxfId="9">
      <calculatedColumnFormula>Table4[[#This Row],[Stock-Quantity]]*Table4[[#This Row],[Unit-Price]]</calculatedColumnFormula>
    </tableColumn>
    <tableColumn id="12" xr3:uid="{CC6712E2-EB92-47BB-808E-68F68F56568F}" name="Margins" totalsRowFunction="sum" dataDxfId="8" totalsRowDxfId="7">
      <calculatedColumnFormula>Table4[[#This Row],[Stock-Quantity]]*Table4[[#This Row],[Margin-Unit]]</calculatedColumnFormula>
    </tableColumn>
    <tableColumn id="13" xr3:uid="{16F8F3E2-231E-4BA4-BB28-D52777C4E221}" name="Days in stocks" totalsRowFunction="average" dataDxfId="6">
      <calculatedColumnFormula>Table4[[#This Row],[Date-Sales]]-Table4[[#This Row],[Date-Received]]</calculatedColumnFormula>
    </tableColumn>
    <tableColumn id="14" xr3:uid="{38BC550D-6A54-4725-AC55-B852345C5B07}" name="Profit%" dataDxfId="5" totalsRowDxfId="4">
      <calculatedColumnFormula>Table4[[#This Row],[Margin-Unit]]/Table4[[#This Row],[Unit-Price]]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82D0-9BF6-40F1-BAA1-089C3A080ED0}">
  <dimension ref="A3:M42"/>
  <sheetViews>
    <sheetView zoomScale="85" workbookViewId="0">
      <selection activeCell="D22" sqref="D22"/>
    </sheetView>
  </sheetViews>
  <sheetFormatPr defaultRowHeight="14.4" x14ac:dyDescent="0.3"/>
  <cols>
    <col min="1" max="1" width="18.77734375" bestFit="1" customWidth="1"/>
    <col min="2" max="2" width="15.77734375" bestFit="1" customWidth="1"/>
    <col min="3" max="3" width="18" bestFit="1" customWidth="1"/>
    <col min="4" max="4" width="15.44140625" bestFit="1" customWidth="1"/>
    <col min="5" max="5" width="20.77734375" bestFit="1" customWidth="1"/>
    <col min="6" max="6" width="16.21875" bestFit="1" customWidth="1"/>
    <col min="7" max="7" width="10.5546875" bestFit="1" customWidth="1"/>
    <col min="8" max="8" width="14.21875" bestFit="1" customWidth="1"/>
    <col min="9" max="9" width="20.6640625" bestFit="1" customWidth="1"/>
    <col min="10" max="10" width="15.77734375" bestFit="1" customWidth="1"/>
    <col min="11" max="11" width="20.6640625" bestFit="1" customWidth="1"/>
    <col min="12" max="12" width="20.5546875" bestFit="1" customWidth="1"/>
    <col min="13" max="13" width="15.77734375" bestFit="1" customWidth="1"/>
    <col min="14" max="14" width="8.5546875" bestFit="1" customWidth="1"/>
    <col min="15" max="15" width="9.109375" bestFit="1" customWidth="1"/>
    <col min="16" max="16" width="9.5546875" bestFit="1" customWidth="1"/>
    <col min="17" max="17" width="10.5546875" bestFit="1" customWidth="1"/>
    <col min="18" max="21" width="20.44140625" bestFit="1" customWidth="1"/>
    <col min="22" max="22" width="14.88671875" bestFit="1" customWidth="1"/>
    <col min="23" max="27" width="20.44140625" bestFit="1" customWidth="1"/>
    <col min="28" max="28" width="13.109375" bestFit="1" customWidth="1"/>
    <col min="29" max="33" width="20.44140625" bestFit="1" customWidth="1"/>
    <col min="34" max="34" width="13.6640625" bestFit="1" customWidth="1"/>
    <col min="35" max="39" width="20.44140625" bestFit="1" customWidth="1"/>
    <col min="40" max="40" width="14.109375" bestFit="1" customWidth="1"/>
    <col min="41" max="41" width="10.5546875" bestFit="1" customWidth="1"/>
  </cols>
  <sheetData>
    <row r="3" spans="1:13" x14ac:dyDescent="0.3">
      <c r="A3" s="4" t="s">
        <v>1056</v>
      </c>
      <c r="K3" s="4" t="s">
        <v>1048</v>
      </c>
      <c r="L3" t="s">
        <v>1054</v>
      </c>
      <c r="M3" t="s">
        <v>1051</v>
      </c>
    </row>
    <row r="4" spans="1:13" x14ac:dyDescent="0.3">
      <c r="A4" s="4" t="s">
        <v>1</v>
      </c>
      <c r="B4" t="s">
        <v>1059</v>
      </c>
      <c r="K4" s="5" t="s">
        <v>14</v>
      </c>
      <c r="L4" s="13">
        <v>53680</v>
      </c>
      <c r="M4" s="2">
        <v>3053526.9</v>
      </c>
    </row>
    <row r="5" spans="1:13" x14ac:dyDescent="0.3">
      <c r="A5" t="s">
        <v>43</v>
      </c>
      <c r="B5" s="2">
        <v>4288405.9899999993</v>
      </c>
      <c r="K5" s="5" t="s">
        <v>41</v>
      </c>
      <c r="L5" s="13">
        <v>54482</v>
      </c>
      <c r="M5" s="2">
        <v>2908444.0899999994</v>
      </c>
    </row>
    <row r="6" spans="1:13" x14ac:dyDescent="0.3">
      <c r="A6" t="s">
        <v>74</v>
      </c>
      <c r="B6" s="2">
        <v>3729828.4499999997</v>
      </c>
      <c r="K6" s="5" t="s">
        <v>19</v>
      </c>
      <c r="L6" s="13">
        <v>50721</v>
      </c>
      <c r="M6" s="2">
        <v>2500745.0400000005</v>
      </c>
    </row>
    <row r="7" spans="1:13" x14ac:dyDescent="0.3">
      <c r="A7" t="s">
        <v>16</v>
      </c>
      <c r="B7" s="2">
        <v>3685193.76</v>
      </c>
      <c r="K7" s="5" t="s">
        <v>31</v>
      </c>
      <c r="L7" s="13">
        <v>52300</v>
      </c>
      <c r="M7" s="2">
        <v>2380291.4399999981</v>
      </c>
    </row>
    <row r="8" spans="1:13" x14ac:dyDescent="0.3">
      <c r="A8" t="s">
        <v>1050</v>
      </c>
      <c r="B8" s="2">
        <v>11703428.199999999</v>
      </c>
      <c r="K8" s="5" t="s">
        <v>26</v>
      </c>
      <c r="L8" s="13">
        <v>47308</v>
      </c>
      <c r="M8" s="2">
        <v>2282437.2600000002</v>
      </c>
    </row>
    <row r="9" spans="1:13" x14ac:dyDescent="0.3">
      <c r="K9" s="5" t="s">
        <v>1050</v>
      </c>
      <c r="L9" s="13">
        <v>258491</v>
      </c>
      <c r="M9" s="2">
        <v>13125444.729999999</v>
      </c>
    </row>
    <row r="12" spans="1:13" x14ac:dyDescent="0.3">
      <c r="A12" s="4" t="s">
        <v>1055</v>
      </c>
      <c r="B12" s="4" t="s">
        <v>1052</v>
      </c>
      <c r="I12" s="4" t="s">
        <v>1048</v>
      </c>
      <c r="J12" t="s">
        <v>1049</v>
      </c>
    </row>
    <row r="13" spans="1:13" x14ac:dyDescent="0.3">
      <c r="A13" s="4" t="s">
        <v>1048</v>
      </c>
      <c r="B13" t="s">
        <v>26</v>
      </c>
      <c r="C13" t="s">
        <v>14</v>
      </c>
      <c r="D13" t="s">
        <v>31</v>
      </c>
      <c r="E13" t="s">
        <v>19</v>
      </c>
      <c r="F13" t="s">
        <v>41</v>
      </c>
      <c r="G13" t="s">
        <v>1050</v>
      </c>
      <c r="I13" s="5" t="s">
        <v>14</v>
      </c>
      <c r="J13" s="2">
        <v>15053106.210000003</v>
      </c>
    </row>
    <row r="14" spans="1:13" x14ac:dyDescent="0.3">
      <c r="A14" s="5" t="s">
        <v>17</v>
      </c>
      <c r="B14" s="7">
        <v>17.486486486486488</v>
      </c>
      <c r="C14" s="7">
        <v>15.325581395348838</v>
      </c>
      <c r="D14" s="7">
        <v>17.162162162162161</v>
      </c>
      <c r="E14" s="7">
        <v>15.225</v>
      </c>
      <c r="F14" s="7">
        <v>15.918918918918919</v>
      </c>
      <c r="G14" s="7">
        <v>16.180412371134022</v>
      </c>
      <c r="I14" s="5" t="s">
        <v>41</v>
      </c>
      <c r="J14" s="2">
        <v>14616926.959999999</v>
      </c>
    </row>
    <row r="15" spans="1:13" x14ac:dyDescent="0.3">
      <c r="A15" s="5" t="s">
        <v>22</v>
      </c>
      <c r="B15" s="7">
        <v>16.55</v>
      </c>
      <c r="C15" s="7">
        <v>15.941176470588236</v>
      </c>
      <c r="D15" s="7">
        <v>12.142857142857142</v>
      </c>
      <c r="E15" s="7">
        <v>14.382978723404255</v>
      </c>
      <c r="F15" s="7">
        <v>15.595238095238095</v>
      </c>
      <c r="G15" s="7">
        <v>14.94949494949495</v>
      </c>
      <c r="I15" s="5" t="s">
        <v>19</v>
      </c>
      <c r="J15" s="2">
        <v>12157667.029999996</v>
      </c>
    </row>
    <row r="16" spans="1:13" x14ac:dyDescent="0.3">
      <c r="A16" s="5" t="s">
        <v>35</v>
      </c>
      <c r="B16" s="7">
        <v>15.757575757575758</v>
      </c>
      <c r="C16" s="7">
        <v>14.372093023255815</v>
      </c>
      <c r="D16" s="7">
        <v>17.62857142857143</v>
      </c>
      <c r="E16" s="7">
        <v>14.114285714285714</v>
      </c>
      <c r="F16" s="7">
        <v>14.886792452830189</v>
      </c>
      <c r="G16" s="7">
        <v>15.266331658291458</v>
      </c>
      <c r="I16" s="5" t="s">
        <v>26</v>
      </c>
      <c r="J16" s="2">
        <v>12062295.009999998</v>
      </c>
    </row>
    <row r="17" spans="1:10" x14ac:dyDescent="0.3">
      <c r="A17" s="5" t="s">
        <v>29</v>
      </c>
      <c r="B17" s="7">
        <v>16.833333333333332</v>
      </c>
      <c r="C17" s="7">
        <v>13.902439024390244</v>
      </c>
      <c r="D17" s="7">
        <v>14.738095238095237</v>
      </c>
      <c r="E17" s="7">
        <v>14.871794871794872</v>
      </c>
      <c r="F17" s="7">
        <v>13.044444444444444</v>
      </c>
      <c r="G17" s="7">
        <v>14.655502392344498</v>
      </c>
      <c r="I17" s="5" t="s">
        <v>31</v>
      </c>
      <c r="J17" s="2">
        <v>11973949.649999999</v>
      </c>
    </row>
    <row r="18" spans="1:10" x14ac:dyDescent="0.3">
      <c r="A18" s="5" t="s">
        <v>12</v>
      </c>
      <c r="B18" s="7">
        <v>15.111111111111111</v>
      </c>
      <c r="C18" s="7">
        <v>13.695652173913043</v>
      </c>
      <c r="D18" s="7">
        <v>15.26</v>
      </c>
      <c r="E18" s="7">
        <v>14.857142857142858</v>
      </c>
      <c r="F18" s="7">
        <v>17.824999999999999</v>
      </c>
      <c r="G18" s="7">
        <v>15.33</v>
      </c>
      <c r="I18" s="5" t="s">
        <v>1050</v>
      </c>
      <c r="J18" s="2">
        <v>65863944.859999992</v>
      </c>
    </row>
    <row r="19" spans="1:10" x14ac:dyDescent="0.3">
      <c r="A19" s="5" t="s">
        <v>1050</v>
      </c>
      <c r="B19" s="7">
        <v>16.382978723404257</v>
      </c>
      <c r="C19" s="7">
        <v>14.584541062801932</v>
      </c>
      <c r="D19" s="7">
        <v>15.371859296482413</v>
      </c>
      <c r="E19" s="7">
        <v>14.682539682539682</v>
      </c>
      <c r="F19" s="7">
        <v>15.359447004608295</v>
      </c>
      <c r="G19" s="7">
        <v>15.266</v>
      </c>
    </row>
    <row r="23" spans="1:10" x14ac:dyDescent="0.3">
      <c r="A23" s="4" t="s">
        <v>1048</v>
      </c>
      <c r="H23" t="s">
        <v>43</v>
      </c>
      <c r="I23" s="2">
        <v>4288405.9899999993</v>
      </c>
    </row>
    <row r="24" spans="1:10" x14ac:dyDescent="0.3">
      <c r="A24" s="5" t="s">
        <v>17</v>
      </c>
      <c r="H24" t="s">
        <v>74</v>
      </c>
      <c r="I24" s="2">
        <v>3729828.4499999997</v>
      </c>
    </row>
    <row r="25" spans="1:10" x14ac:dyDescent="0.3">
      <c r="A25" s="5" t="s">
        <v>22</v>
      </c>
      <c r="H25" t="s">
        <v>16</v>
      </c>
      <c r="I25" s="2">
        <v>3685193.76</v>
      </c>
    </row>
    <row r="26" spans="1:10" x14ac:dyDescent="0.3">
      <c r="A26" s="5" t="s">
        <v>35</v>
      </c>
      <c r="H26" t="s">
        <v>11</v>
      </c>
      <c r="I26" s="2">
        <v>3586950.7900000005</v>
      </c>
    </row>
    <row r="27" spans="1:10" x14ac:dyDescent="0.3">
      <c r="A27" s="5" t="s">
        <v>29</v>
      </c>
      <c r="H27" t="s">
        <v>28</v>
      </c>
      <c r="I27" s="2">
        <v>3572057.35</v>
      </c>
    </row>
    <row r="28" spans="1:10" x14ac:dyDescent="0.3">
      <c r="A28" s="5" t="s">
        <v>12</v>
      </c>
    </row>
    <row r="29" spans="1:10" x14ac:dyDescent="0.3">
      <c r="A29" s="5" t="s">
        <v>1057</v>
      </c>
    </row>
    <row r="30" spans="1:10" x14ac:dyDescent="0.3">
      <c r="A30" s="5" t="s">
        <v>1050</v>
      </c>
    </row>
    <row r="42" spans="5:5" x14ac:dyDescent="0.3">
      <c r="E42">
        <f>SUM(B23)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A39D-F1BA-499A-8588-71EEA96ABBEA}">
  <dimension ref="G9:M50"/>
  <sheetViews>
    <sheetView showGridLines="0" showRowColHeaders="0" workbookViewId="0">
      <selection activeCell="L25" sqref="L25"/>
    </sheetView>
  </sheetViews>
  <sheetFormatPr defaultRowHeight="14.4" x14ac:dyDescent="0.3"/>
  <cols>
    <col min="1" max="12" width="8.88671875" style="9"/>
    <col min="13" max="13" width="23.44140625" style="9" bestFit="1" customWidth="1"/>
    <col min="14" max="16384" width="8.88671875" style="9"/>
  </cols>
  <sheetData>
    <row r="9" spans="8:13" x14ac:dyDescent="0.3">
      <c r="K9" s="8"/>
    </row>
    <row r="12" spans="8:13" ht="21" x14ac:dyDescent="0.3">
      <c r="M12" s="11">
        <f>SUM((Table4[Revenue]))</f>
        <v>65863944.860000074</v>
      </c>
    </row>
    <row r="16" spans="8:13" x14ac:dyDescent="0.3">
      <c r="H16" s="12"/>
    </row>
    <row r="30" spans="7:7" x14ac:dyDescent="0.3">
      <c r="G30" s="8"/>
    </row>
    <row r="50" spans="13:13" x14ac:dyDescent="0.3">
      <c r="M50" s="10">
        <f>SUM(Table4[Margins])</f>
        <v>13125444.730000012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780BD93-4BDE-4EC6-867F-A573C722E870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Analysis2!I15</xm:f>
              <xm:sqref>J25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106D-EF33-40E5-BD2D-FB424E552B42}">
  <dimension ref="A3:I18"/>
  <sheetViews>
    <sheetView topLeftCell="A4" workbookViewId="0">
      <selection activeCell="H21" sqref="H21"/>
    </sheetView>
  </sheetViews>
  <sheetFormatPr defaultRowHeight="14.4" x14ac:dyDescent="0.3"/>
  <cols>
    <col min="1" max="1" width="12.44140625" bestFit="1" customWidth="1"/>
    <col min="2" max="2" width="15.33203125" bestFit="1" customWidth="1"/>
    <col min="6" max="6" width="12.44140625" bestFit="1" customWidth="1"/>
    <col min="7" max="7" width="14.109375" bestFit="1" customWidth="1"/>
    <col min="8" max="8" width="13.44140625" bestFit="1" customWidth="1"/>
    <col min="9" max="9" width="16" bestFit="1" customWidth="1"/>
  </cols>
  <sheetData>
    <row r="3" spans="1:9" x14ac:dyDescent="0.3">
      <c r="A3" s="4" t="s">
        <v>1048</v>
      </c>
      <c r="B3" t="s">
        <v>1049</v>
      </c>
    </row>
    <row r="4" spans="1:9" x14ac:dyDescent="0.3">
      <c r="A4" s="5" t="s">
        <v>17</v>
      </c>
      <c r="B4" s="2">
        <v>13470751.269999994</v>
      </c>
    </row>
    <row r="5" spans="1:9" x14ac:dyDescent="0.3">
      <c r="A5" s="5" t="s">
        <v>22</v>
      </c>
      <c r="B5" s="2">
        <v>12177575.010000005</v>
      </c>
      <c r="F5" s="4" t="s">
        <v>1048</v>
      </c>
      <c r="G5" t="s">
        <v>1049</v>
      </c>
      <c r="H5" t="s">
        <v>1060</v>
      </c>
    </row>
    <row r="6" spans="1:9" x14ac:dyDescent="0.3">
      <c r="A6" s="5" t="s">
        <v>35</v>
      </c>
      <c r="B6" s="2">
        <v>13351580.65</v>
      </c>
      <c r="F6" s="5" t="s">
        <v>74</v>
      </c>
      <c r="G6" s="2">
        <v>3729828.4499999997</v>
      </c>
      <c r="H6" s="6">
        <v>0.21239122430520316</v>
      </c>
    </row>
    <row r="7" spans="1:9" x14ac:dyDescent="0.3">
      <c r="A7" s="5" t="s">
        <v>29</v>
      </c>
      <c r="B7" s="2">
        <v>13930776.319999998</v>
      </c>
      <c r="F7" s="5" t="s">
        <v>43</v>
      </c>
      <c r="G7" s="2">
        <v>4288405.9899999993</v>
      </c>
      <c r="H7" s="6">
        <v>0.20141005153154476</v>
      </c>
    </row>
    <row r="8" spans="1:9" x14ac:dyDescent="0.3">
      <c r="A8" s="5" t="s">
        <v>12</v>
      </c>
      <c r="B8" s="2">
        <v>12933261.609999996</v>
      </c>
      <c r="F8" s="5" t="s">
        <v>1050</v>
      </c>
      <c r="G8" s="2">
        <v>8018234.4400000004</v>
      </c>
      <c r="H8" s="6">
        <v>0.20640960986751924</v>
      </c>
    </row>
    <row r="9" spans="1:9" x14ac:dyDescent="0.3">
      <c r="A9" s="5" t="s">
        <v>1050</v>
      </c>
      <c r="B9" s="2">
        <v>65863944.859999999</v>
      </c>
    </row>
    <row r="14" spans="1:9" x14ac:dyDescent="0.3">
      <c r="F14" t="str">
        <f>F6</f>
        <v>Coffee Beans</v>
      </c>
      <c r="H14" s="4" t="s">
        <v>1048</v>
      </c>
      <c r="I14" t="s">
        <v>1060</v>
      </c>
    </row>
    <row r="15" spans="1:9" x14ac:dyDescent="0.3">
      <c r="F15" t="str">
        <f>F7</f>
        <v>Desk Lamp</v>
      </c>
      <c r="H15" s="5" t="s">
        <v>34</v>
      </c>
      <c r="I15" s="6">
        <v>0.18114877028957288</v>
      </c>
    </row>
    <row r="16" spans="1:9" x14ac:dyDescent="0.3">
      <c r="H16" s="5" t="s">
        <v>28</v>
      </c>
      <c r="I16" s="6">
        <v>0.18589900296133377</v>
      </c>
    </row>
    <row r="17" spans="6:9" x14ac:dyDescent="0.3">
      <c r="F17" t="str">
        <f>H15</f>
        <v>Stool</v>
      </c>
      <c r="H17" s="5" t="s">
        <v>1050</v>
      </c>
      <c r="I17" s="6">
        <v>0.18365158105211352</v>
      </c>
    </row>
    <row r="18" spans="6:9" x14ac:dyDescent="0.3">
      <c r="F18" t="str">
        <f>H16</f>
        <v>Dark Chocolate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A704F1B-61B3-429E-9641-8A534069B95F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Analysis2!I15</xm:f>
              <xm:sqref>I16</xm:sqref>
            </x14:sparkline>
          </x14:sparklines>
        </x14:sparklineGroup>
        <x14:sparklineGroup displayEmptyCellsAs="gap" xr2:uid="{E896E0F6-A7ED-4638-BA5D-482132433B4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Analysis2!F14</xm:f>
              <xm:sqref>F14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D28E-3D0E-45A2-AD9D-EA3D4E058201}">
  <dimension ref="A1:N1007"/>
  <sheetViews>
    <sheetView tabSelected="1" topLeftCell="A2" zoomScale="89" zoomScaleNormal="89" workbookViewId="0">
      <selection activeCell="Q19" sqref="Q19"/>
    </sheetView>
  </sheetViews>
  <sheetFormatPr defaultRowHeight="14.4" x14ac:dyDescent="0.3"/>
  <cols>
    <col min="1" max="1" width="14.77734375" customWidth="1"/>
    <col min="2" max="2" width="17.21875" customWidth="1"/>
    <col min="3" max="3" width="14" customWidth="1"/>
    <col min="4" max="4" width="12.6640625" bestFit="1" customWidth="1"/>
    <col min="5" max="5" width="20.109375" customWidth="1"/>
    <col min="6" max="6" width="15.88671875" bestFit="1" customWidth="1"/>
    <col min="7" max="7" width="11.6640625" style="3" bestFit="1" customWidth="1"/>
    <col min="8" max="8" width="15.5546875" bestFit="1" customWidth="1"/>
    <col min="9" max="9" width="13.6640625" customWidth="1"/>
    <col min="10" max="10" width="13.5546875" style="3" bestFit="1" customWidth="1"/>
    <col min="11" max="11" width="16" customWidth="1"/>
    <col min="12" max="12" width="16" style="2" customWidth="1"/>
    <col min="13" max="13" width="15" bestFit="1" customWidth="1"/>
    <col min="14" max="14" width="11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1045</v>
      </c>
      <c r="L1" s="2" t="s">
        <v>1046</v>
      </c>
      <c r="M1" t="s">
        <v>1047</v>
      </c>
      <c r="N1" s="6" t="s">
        <v>1053</v>
      </c>
    </row>
    <row r="2" spans="1:14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78</v>
      </c>
      <c r="G2" s="3">
        <v>303.98</v>
      </c>
      <c r="H2" s="1">
        <v>45664</v>
      </c>
      <c r="I2" s="1">
        <v>45672</v>
      </c>
      <c r="J2" s="3">
        <v>42.7</v>
      </c>
      <c r="K2" s="2">
        <f>Table4[[#This Row],[Stock-Quantity]]*Table4[[#This Row],[Unit-Price]]</f>
        <v>23710.440000000002</v>
      </c>
      <c r="L2" s="2">
        <f>Table4[[#This Row],[Stock-Quantity]]*Table4[[#This Row],[Margin-Unit]]</f>
        <v>3330.6000000000004</v>
      </c>
      <c r="M2">
        <f>Table4[[#This Row],[Date-Sales]]-Table4[[#This Row],[Date-Received]]</f>
        <v>8</v>
      </c>
      <c r="N2" s="6">
        <f>Table4[[#This Row],[Margin-Unit]]/Table4[[#This Row],[Unit-Price]]</f>
        <v>0.14046976774787814</v>
      </c>
    </row>
    <row r="3" spans="1:14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153</v>
      </c>
      <c r="G3" s="3">
        <v>246.75</v>
      </c>
      <c r="H3" s="1">
        <v>45671</v>
      </c>
      <c r="I3" s="1">
        <v>45673</v>
      </c>
      <c r="J3" s="3">
        <v>24.71</v>
      </c>
      <c r="K3" s="2">
        <f>Table4[[#This Row],[Stock-Quantity]]*Table4[[#This Row],[Unit-Price]]</f>
        <v>37752.75</v>
      </c>
      <c r="L3" s="2">
        <f>Table4[[#This Row],[Stock-Quantity]]*Table4[[#This Row],[Margin-Unit]]</f>
        <v>3780.63</v>
      </c>
      <c r="M3">
        <f>Table4[[#This Row],[Date-Sales]]-Table4[[#This Row],[Date-Received]]</f>
        <v>2</v>
      </c>
      <c r="N3" s="6">
        <f>Table4[[#This Row],[Margin-Unit]]/Table4[[#This Row],[Unit-Price]]</f>
        <v>0.10014184397163121</v>
      </c>
    </row>
    <row r="4" spans="1:14" x14ac:dyDescent="0.3">
      <c r="A4" t="s">
        <v>20</v>
      </c>
      <c r="B4" t="s">
        <v>21</v>
      </c>
      <c r="C4" t="s">
        <v>22</v>
      </c>
      <c r="D4" t="s">
        <v>13</v>
      </c>
      <c r="E4" t="s">
        <v>14</v>
      </c>
      <c r="F4">
        <v>160</v>
      </c>
      <c r="G4" s="3">
        <v>498.55</v>
      </c>
      <c r="H4" s="1">
        <v>45692</v>
      </c>
      <c r="I4" s="1">
        <v>45695</v>
      </c>
      <c r="J4" s="3">
        <v>128.54</v>
      </c>
      <c r="K4" s="2">
        <f>Table4[[#This Row],[Stock-Quantity]]*Table4[[#This Row],[Unit-Price]]</f>
        <v>79768</v>
      </c>
      <c r="L4" s="2">
        <f>Table4[[#This Row],[Stock-Quantity]]*Table4[[#This Row],[Margin-Unit]]</f>
        <v>20566.399999999998</v>
      </c>
      <c r="M4">
        <f>Table4[[#This Row],[Date-Sales]]-Table4[[#This Row],[Date-Received]]</f>
        <v>3</v>
      </c>
      <c r="N4" s="6">
        <f>Table4[[#This Row],[Margin-Unit]]/Table4[[#This Row],[Unit-Price]]</f>
        <v>0.25782770033095975</v>
      </c>
    </row>
    <row r="5" spans="1:14" x14ac:dyDescent="0.3">
      <c r="A5" t="s">
        <v>23</v>
      </c>
      <c r="B5" t="s">
        <v>24</v>
      </c>
      <c r="C5" t="s">
        <v>22</v>
      </c>
      <c r="D5" t="s">
        <v>25</v>
      </c>
      <c r="E5" t="s">
        <v>26</v>
      </c>
      <c r="F5">
        <v>388</v>
      </c>
      <c r="G5" s="3">
        <v>433.61</v>
      </c>
      <c r="H5" s="1">
        <v>45795</v>
      </c>
      <c r="I5" s="1">
        <v>45819</v>
      </c>
      <c r="J5" s="3">
        <v>101.29</v>
      </c>
      <c r="K5" s="2">
        <f>Table4[[#This Row],[Stock-Quantity]]*Table4[[#This Row],[Unit-Price]]</f>
        <v>168240.68</v>
      </c>
      <c r="L5" s="2">
        <f>Table4[[#This Row],[Stock-Quantity]]*Table4[[#This Row],[Margin-Unit]]</f>
        <v>39300.520000000004</v>
      </c>
      <c r="M5">
        <f>Table4[[#This Row],[Date-Sales]]-Table4[[#This Row],[Date-Received]]</f>
        <v>24</v>
      </c>
      <c r="N5" s="6">
        <f>Table4[[#This Row],[Margin-Unit]]/Table4[[#This Row],[Unit-Price]]</f>
        <v>0.23359701113904199</v>
      </c>
    </row>
    <row r="6" spans="1:14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151</v>
      </c>
      <c r="G6" s="3">
        <v>464.55</v>
      </c>
      <c r="H6" s="1">
        <v>45775</v>
      </c>
      <c r="I6" s="1">
        <v>45787</v>
      </c>
      <c r="J6" s="3">
        <v>68.61</v>
      </c>
      <c r="K6" s="2">
        <f>Table4[[#This Row],[Stock-Quantity]]*Table4[[#This Row],[Unit-Price]]</f>
        <v>70147.05</v>
      </c>
      <c r="L6" s="2">
        <f>Table4[[#This Row],[Stock-Quantity]]*Table4[[#This Row],[Margin-Unit]]</f>
        <v>10360.11</v>
      </c>
      <c r="M6">
        <f>Table4[[#This Row],[Date-Sales]]-Table4[[#This Row],[Date-Received]]</f>
        <v>12</v>
      </c>
      <c r="N6" s="6">
        <f>Table4[[#This Row],[Margin-Unit]]/Table4[[#This Row],[Unit-Price]]</f>
        <v>0.14769131417500805</v>
      </c>
    </row>
    <row r="7" spans="1:14" x14ac:dyDescent="0.3">
      <c r="A7" t="s">
        <v>32</v>
      </c>
      <c r="B7" t="s">
        <v>16</v>
      </c>
      <c r="C7" t="s">
        <v>17</v>
      </c>
      <c r="D7" t="s">
        <v>30</v>
      </c>
      <c r="E7" t="s">
        <v>31</v>
      </c>
      <c r="F7">
        <v>457</v>
      </c>
      <c r="G7" s="3">
        <v>181.99</v>
      </c>
      <c r="H7" s="1">
        <v>45702</v>
      </c>
      <c r="I7" s="1">
        <v>45725</v>
      </c>
      <c r="J7" s="3">
        <v>44.18</v>
      </c>
      <c r="K7" s="2">
        <f>Table4[[#This Row],[Stock-Quantity]]*Table4[[#This Row],[Unit-Price]]</f>
        <v>83169.430000000008</v>
      </c>
      <c r="L7" s="2">
        <f>Table4[[#This Row],[Stock-Quantity]]*Table4[[#This Row],[Margin-Unit]]</f>
        <v>20190.259999999998</v>
      </c>
      <c r="M7">
        <f>Table4[[#This Row],[Date-Sales]]-Table4[[#This Row],[Date-Received]]</f>
        <v>23</v>
      </c>
      <c r="N7" s="6">
        <f>Table4[[#This Row],[Margin-Unit]]/Table4[[#This Row],[Unit-Price]]</f>
        <v>0.24276059124127697</v>
      </c>
    </row>
    <row r="8" spans="1:14" x14ac:dyDescent="0.3">
      <c r="A8" t="s">
        <v>33</v>
      </c>
      <c r="B8" t="s">
        <v>34</v>
      </c>
      <c r="C8" t="s">
        <v>35</v>
      </c>
      <c r="D8" t="s">
        <v>13</v>
      </c>
      <c r="E8" t="s">
        <v>14</v>
      </c>
      <c r="F8">
        <v>271</v>
      </c>
      <c r="G8" s="3">
        <v>345.91</v>
      </c>
      <c r="H8" s="1">
        <v>45670</v>
      </c>
      <c r="I8" s="1">
        <v>45675</v>
      </c>
      <c r="J8" s="3">
        <v>83.64</v>
      </c>
      <c r="K8" s="2">
        <f>Table4[[#This Row],[Stock-Quantity]]*Table4[[#This Row],[Unit-Price]]</f>
        <v>93741.61</v>
      </c>
      <c r="L8" s="2">
        <f>Table4[[#This Row],[Stock-Quantity]]*Table4[[#This Row],[Margin-Unit]]</f>
        <v>22666.44</v>
      </c>
      <c r="M8">
        <f>Table4[[#This Row],[Date-Sales]]-Table4[[#This Row],[Date-Received]]</f>
        <v>5</v>
      </c>
      <c r="N8" s="6">
        <f>Table4[[#This Row],[Margin-Unit]]/Table4[[#This Row],[Unit-Price]]</f>
        <v>0.24179699921945014</v>
      </c>
    </row>
    <row r="9" spans="1:14" x14ac:dyDescent="0.3">
      <c r="A9" t="s">
        <v>36</v>
      </c>
      <c r="B9" t="s">
        <v>37</v>
      </c>
      <c r="C9" t="s">
        <v>22</v>
      </c>
      <c r="D9" t="s">
        <v>25</v>
      </c>
      <c r="E9" t="s">
        <v>26</v>
      </c>
      <c r="F9">
        <v>233</v>
      </c>
      <c r="G9" s="3">
        <v>116.07</v>
      </c>
      <c r="H9" s="1">
        <v>45706</v>
      </c>
      <c r="I9" s="1">
        <v>45711</v>
      </c>
      <c r="J9" s="3">
        <v>25.64</v>
      </c>
      <c r="K9" s="2">
        <f>Table4[[#This Row],[Stock-Quantity]]*Table4[[#This Row],[Unit-Price]]</f>
        <v>27044.309999999998</v>
      </c>
      <c r="L9" s="2">
        <f>Table4[[#This Row],[Stock-Quantity]]*Table4[[#This Row],[Margin-Unit]]</f>
        <v>5974.12</v>
      </c>
      <c r="M9">
        <f>Table4[[#This Row],[Date-Sales]]-Table4[[#This Row],[Date-Received]]</f>
        <v>5</v>
      </c>
      <c r="N9" s="6">
        <f>Table4[[#This Row],[Margin-Unit]]/Table4[[#This Row],[Unit-Price]]</f>
        <v>0.22090118032221936</v>
      </c>
    </row>
    <row r="10" spans="1:14" x14ac:dyDescent="0.3">
      <c r="A10" t="s">
        <v>38</v>
      </c>
      <c r="B10" t="s">
        <v>39</v>
      </c>
      <c r="C10" t="s">
        <v>12</v>
      </c>
      <c r="D10" t="s">
        <v>40</v>
      </c>
      <c r="E10" t="s">
        <v>41</v>
      </c>
      <c r="F10">
        <v>27</v>
      </c>
      <c r="G10" s="3">
        <v>467.87</v>
      </c>
      <c r="H10" s="1">
        <v>45820</v>
      </c>
      <c r="I10" s="1">
        <v>45829</v>
      </c>
      <c r="J10" s="3">
        <v>89.53</v>
      </c>
      <c r="K10" s="2">
        <f>Table4[[#This Row],[Stock-Quantity]]*Table4[[#This Row],[Unit-Price]]</f>
        <v>12632.49</v>
      </c>
      <c r="L10" s="2">
        <f>Table4[[#This Row],[Stock-Quantity]]*Table4[[#This Row],[Margin-Unit]]</f>
        <v>2417.31</v>
      </c>
      <c r="M10">
        <f>Table4[[#This Row],[Date-Sales]]-Table4[[#This Row],[Date-Received]]</f>
        <v>9</v>
      </c>
      <c r="N10" s="6">
        <f>Table4[[#This Row],[Margin-Unit]]/Table4[[#This Row],[Unit-Price]]</f>
        <v>0.19135657340714302</v>
      </c>
    </row>
    <row r="11" spans="1:14" ht="13.8" customHeight="1" x14ac:dyDescent="0.3">
      <c r="A11" t="s">
        <v>42</v>
      </c>
      <c r="B11" t="s">
        <v>43</v>
      </c>
      <c r="C11" t="s">
        <v>35</v>
      </c>
      <c r="D11" t="s">
        <v>30</v>
      </c>
      <c r="E11" t="s">
        <v>31</v>
      </c>
      <c r="F11">
        <v>317</v>
      </c>
      <c r="G11" s="3">
        <v>19.21</v>
      </c>
      <c r="H11" s="1">
        <v>45725</v>
      </c>
      <c r="I11" s="1">
        <v>45748</v>
      </c>
      <c r="J11" s="3">
        <v>3.26</v>
      </c>
      <c r="K11" s="2">
        <f>Table4[[#This Row],[Stock-Quantity]]*Table4[[#This Row],[Unit-Price]]</f>
        <v>6089.5700000000006</v>
      </c>
      <c r="L11" s="2">
        <f>Table4[[#This Row],[Stock-Quantity]]*Table4[[#This Row],[Margin-Unit]]</f>
        <v>1033.4199999999998</v>
      </c>
      <c r="M11">
        <f>Table4[[#This Row],[Date-Sales]]-Table4[[#This Row],[Date-Received]]</f>
        <v>23</v>
      </c>
      <c r="N11" s="6">
        <f>Table4[[#This Row],[Margin-Unit]]/Table4[[#This Row],[Unit-Price]]</f>
        <v>0.16970327954190523</v>
      </c>
    </row>
    <row r="12" spans="1:14" x14ac:dyDescent="0.3">
      <c r="A12" t="s">
        <v>44</v>
      </c>
      <c r="B12" t="s">
        <v>11</v>
      </c>
      <c r="C12" t="s">
        <v>12</v>
      </c>
      <c r="D12" t="s">
        <v>13</v>
      </c>
      <c r="E12" t="s">
        <v>14</v>
      </c>
      <c r="F12">
        <v>261</v>
      </c>
      <c r="G12" s="3">
        <v>313.08</v>
      </c>
      <c r="H12" s="1">
        <v>45750</v>
      </c>
      <c r="I12" s="1">
        <v>45760</v>
      </c>
      <c r="J12" s="3">
        <v>79.09</v>
      </c>
      <c r="K12" s="2">
        <f>Table4[[#This Row],[Stock-Quantity]]*Table4[[#This Row],[Unit-Price]]</f>
        <v>81713.87999999999</v>
      </c>
      <c r="L12" s="2">
        <f>Table4[[#This Row],[Stock-Quantity]]*Table4[[#This Row],[Margin-Unit]]</f>
        <v>20642.490000000002</v>
      </c>
      <c r="M12">
        <f>Table4[[#This Row],[Date-Sales]]-Table4[[#This Row],[Date-Received]]</f>
        <v>10</v>
      </c>
      <c r="N12" s="6">
        <f>Table4[[#This Row],[Margin-Unit]]/Table4[[#This Row],[Unit-Price]]</f>
        <v>0.252619138878242</v>
      </c>
    </row>
    <row r="13" spans="1:14" x14ac:dyDescent="0.3">
      <c r="A13" t="s">
        <v>45</v>
      </c>
      <c r="B13" t="s">
        <v>11</v>
      </c>
      <c r="C13" t="s">
        <v>12</v>
      </c>
      <c r="D13" t="s">
        <v>30</v>
      </c>
      <c r="E13" t="s">
        <v>31</v>
      </c>
      <c r="F13">
        <v>177</v>
      </c>
      <c r="G13" s="3">
        <v>252.91</v>
      </c>
      <c r="H13" s="1">
        <v>45834</v>
      </c>
      <c r="I13" s="1">
        <v>45843</v>
      </c>
      <c r="J13" s="3">
        <v>69.2</v>
      </c>
      <c r="K13" s="2">
        <f>Table4[[#This Row],[Stock-Quantity]]*Table4[[#This Row],[Unit-Price]]</f>
        <v>44765.07</v>
      </c>
      <c r="L13" s="2">
        <f>Table4[[#This Row],[Stock-Quantity]]*Table4[[#This Row],[Margin-Unit]]</f>
        <v>12248.4</v>
      </c>
      <c r="M13">
        <f>Table4[[#This Row],[Date-Sales]]-Table4[[#This Row],[Date-Received]]</f>
        <v>9</v>
      </c>
      <c r="N13" s="6">
        <f>Table4[[#This Row],[Margin-Unit]]/Table4[[#This Row],[Unit-Price]]</f>
        <v>0.27361512000316318</v>
      </c>
    </row>
    <row r="14" spans="1:14" x14ac:dyDescent="0.3">
      <c r="A14" t="s">
        <v>46</v>
      </c>
      <c r="B14" t="s">
        <v>47</v>
      </c>
      <c r="C14" t="s">
        <v>17</v>
      </c>
      <c r="D14" t="s">
        <v>30</v>
      </c>
      <c r="E14" t="s">
        <v>31</v>
      </c>
      <c r="F14">
        <v>324</v>
      </c>
      <c r="G14" s="3">
        <v>353.67</v>
      </c>
      <c r="H14" s="1">
        <v>45791</v>
      </c>
      <c r="I14" s="1">
        <v>45821</v>
      </c>
      <c r="J14" s="3">
        <v>81.69</v>
      </c>
      <c r="K14" s="2">
        <f>Table4[[#This Row],[Stock-Quantity]]*Table4[[#This Row],[Unit-Price]]</f>
        <v>114589.08</v>
      </c>
      <c r="L14" s="2">
        <f>Table4[[#This Row],[Stock-Quantity]]*Table4[[#This Row],[Margin-Unit]]</f>
        <v>26467.559999999998</v>
      </c>
      <c r="M14">
        <f>Table4[[#This Row],[Date-Sales]]-Table4[[#This Row],[Date-Received]]</f>
        <v>30</v>
      </c>
      <c r="N14" s="6">
        <f>Table4[[#This Row],[Margin-Unit]]/Table4[[#This Row],[Unit-Price]]</f>
        <v>0.23097803036729153</v>
      </c>
    </row>
    <row r="15" spans="1:14" x14ac:dyDescent="0.3">
      <c r="A15" t="s">
        <v>48</v>
      </c>
      <c r="B15" t="s">
        <v>47</v>
      </c>
      <c r="C15" t="s">
        <v>17</v>
      </c>
      <c r="D15" t="s">
        <v>18</v>
      </c>
      <c r="E15" t="s">
        <v>19</v>
      </c>
      <c r="F15">
        <v>62</v>
      </c>
      <c r="G15" s="3">
        <v>63.73</v>
      </c>
      <c r="H15" s="1">
        <v>45784</v>
      </c>
      <c r="I15" s="1">
        <v>45813</v>
      </c>
      <c r="J15" s="3">
        <v>10.050000000000001</v>
      </c>
      <c r="K15" s="2">
        <f>Table4[[#This Row],[Stock-Quantity]]*Table4[[#This Row],[Unit-Price]]</f>
        <v>3951.2599999999998</v>
      </c>
      <c r="L15" s="2">
        <f>Table4[[#This Row],[Stock-Quantity]]*Table4[[#This Row],[Margin-Unit]]</f>
        <v>623.1</v>
      </c>
      <c r="M15">
        <f>Table4[[#This Row],[Date-Sales]]-Table4[[#This Row],[Date-Received]]</f>
        <v>29</v>
      </c>
      <c r="N15" s="6">
        <f>Table4[[#This Row],[Margin-Unit]]/Table4[[#This Row],[Unit-Price]]</f>
        <v>0.15769653224541033</v>
      </c>
    </row>
    <row r="16" spans="1:14" x14ac:dyDescent="0.3">
      <c r="A16" t="s">
        <v>49</v>
      </c>
      <c r="B16" t="s">
        <v>50</v>
      </c>
      <c r="C16" t="s">
        <v>17</v>
      </c>
      <c r="D16" t="s">
        <v>40</v>
      </c>
      <c r="E16" t="s">
        <v>41</v>
      </c>
      <c r="F16">
        <v>375</v>
      </c>
      <c r="G16" s="3">
        <v>403.37</v>
      </c>
      <c r="H16" s="1">
        <v>45690</v>
      </c>
      <c r="I16" s="1">
        <v>45706</v>
      </c>
      <c r="J16" s="3">
        <v>86.46</v>
      </c>
      <c r="K16" s="2">
        <f>Table4[[#This Row],[Stock-Quantity]]*Table4[[#This Row],[Unit-Price]]</f>
        <v>151263.75</v>
      </c>
      <c r="L16" s="2">
        <f>Table4[[#This Row],[Stock-Quantity]]*Table4[[#This Row],[Margin-Unit]]</f>
        <v>32422.499999999996</v>
      </c>
      <c r="M16">
        <f>Table4[[#This Row],[Date-Sales]]-Table4[[#This Row],[Date-Received]]</f>
        <v>16</v>
      </c>
      <c r="N16" s="6">
        <f>Table4[[#This Row],[Margin-Unit]]/Table4[[#This Row],[Unit-Price]]</f>
        <v>0.21434415053176983</v>
      </c>
    </row>
    <row r="17" spans="1:14" x14ac:dyDescent="0.3">
      <c r="A17" t="s">
        <v>51</v>
      </c>
      <c r="B17" t="s">
        <v>52</v>
      </c>
      <c r="C17" t="s">
        <v>12</v>
      </c>
      <c r="D17" t="s">
        <v>30</v>
      </c>
      <c r="E17" t="s">
        <v>31</v>
      </c>
      <c r="F17">
        <v>365</v>
      </c>
      <c r="G17" s="3">
        <v>379.32</v>
      </c>
      <c r="H17" s="1">
        <v>45826</v>
      </c>
      <c r="I17" s="1">
        <v>45846</v>
      </c>
      <c r="J17" s="3">
        <v>60.25</v>
      </c>
      <c r="K17" s="2">
        <f>Table4[[#This Row],[Stock-Quantity]]*Table4[[#This Row],[Unit-Price]]</f>
        <v>138451.79999999999</v>
      </c>
      <c r="L17" s="2">
        <f>Table4[[#This Row],[Stock-Quantity]]*Table4[[#This Row],[Margin-Unit]]</f>
        <v>21991.25</v>
      </c>
      <c r="M17">
        <f>Table4[[#This Row],[Date-Sales]]-Table4[[#This Row],[Date-Received]]</f>
        <v>20</v>
      </c>
      <c r="N17" s="6">
        <f>Table4[[#This Row],[Margin-Unit]]/Table4[[#This Row],[Unit-Price]]</f>
        <v>0.15883686597068439</v>
      </c>
    </row>
    <row r="18" spans="1:14" x14ac:dyDescent="0.3">
      <c r="A18" t="s">
        <v>53</v>
      </c>
      <c r="B18" t="s">
        <v>52</v>
      </c>
      <c r="C18" t="s">
        <v>12</v>
      </c>
      <c r="D18" t="s">
        <v>30</v>
      </c>
      <c r="E18" t="s">
        <v>31</v>
      </c>
      <c r="F18">
        <v>369</v>
      </c>
      <c r="G18" s="3">
        <v>7.43</v>
      </c>
      <c r="H18" s="1">
        <v>45774</v>
      </c>
      <c r="I18" s="1">
        <v>45778</v>
      </c>
      <c r="J18" s="3">
        <v>1.79</v>
      </c>
      <c r="K18" s="2">
        <f>Table4[[#This Row],[Stock-Quantity]]*Table4[[#This Row],[Unit-Price]]</f>
        <v>2741.67</v>
      </c>
      <c r="L18" s="2">
        <f>Table4[[#This Row],[Stock-Quantity]]*Table4[[#This Row],[Margin-Unit]]</f>
        <v>660.51</v>
      </c>
      <c r="M18">
        <f>Table4[[#This Row],[Date-Sales]]-Table4[[#This Row],[Date-Received]]</f>
        <v>4</v>
      </c>
      <c r="N18" s="6">
        <f>Table4[[#This Row],[Margin-Unit]]/Table4[[#This Row],[Unit-Price]]</f>
        <v>0.24091520861372814</v>
      </c>
    </row>
    <row r="19" spans="1:14" x14ac:dyDescent="0.3">
      <c r="A19" t="s">
        <v>54</v>
      </c>
      <c r="B19" t="s">
        <v>47</v>
      </c>
      <c r="C19" t="s">
        <v>17</v>
      </c>
      <c r="D19" t="s">
        <v>18</v>
      </c>
      <c r="E19" t="s">
        <v>19</v>
      </c>
      <c r="F19">
        <v>414</v>
      </c>
      <c r="G19" s="3">
        <v>221.84</v>
      </c>
      <c r="H19" s="1">
        <v>45755</v>
      </c>
      <c r="I19" s="1">
        <v>45783</v>
      </c>
      <c r="J19" s="3">
        <v>35.479999999999997</v>
      </c>
      <c r="K19" s="2">
        <f>Table4[[#This Row],[Stock-Quantity]]*Table4[[#This Row],[Unit-Price]]</f>
        <v>91841.76</v>
      </c>
      <c r="L19" s="2">
        <f>Table4[[#This Row],[Stock-Quantity]]*Table4[[#This Row],[Margin-Unit]]</f>
        <v>14688.72</v>
      </c>
      <c r="M19">
        <f>Table4[[#This Row],[Date-Sales]]-Table4[[#This Row],[Date-Received]]</f>
        <v>28</v>
      </c>
      <c r="N19" s="6">
        <f>Table4[[#This Row],[Margin-Unit]]/Table4[[#This Row],[Unit-Price]]</f>
        <v>0.15993508835196538</v>
      </c>
    </row>
    <row r="20" spans="1:14" x14ac:dyDescent="0.3">
      <c r="A20" t="s">
        <v>55</v>
      </c>
      <c r="B20" t="s">
        <v>24</v>
      </c>
      <c r="C20" t="s">
        <v>22</v>
      </c>
      <c r="D20" t="s">
        <v>30</v>
      </c>
      <c r="E20" t="s">
        <v>31</v>
      </c>
      <c r="F20">
        <v>177</v>
      </c>
      <c r="G20" s="3">
        <v>367.82</v>
      </c>
      <c r="H20" s="1">
        <v>45729</v>
      </c>
      <c r="I20" s="1">
        <v>45733</v>
      </c>
      <c r="J20" s="3">
        <v>105.7</v>
      </c>
      <c r="K20" s="2">
        <f>Table4[[#This Row],[Stock-Quantity]]*Table4[[#This Row],[Unit-Price]]</f>
        <v>65104.14</v>
      </c>
      <c r="L20" s="2">
        <f>Table4[[#This Row],[Stock-Quantity]]*Table4[[#This Row],[Margin-Unit]]</f>
        <v>18708.900000000001</v>
      </c>
      <c r="M20">
        <f>Table4[[#This Row],[Date-Sales]]-Table4[[#This Row],[Date-Received]]</f>
        <v>4</v>
      </c>
      <c r="N20" s="6">
        <f>Table4[[#This Row],[Margin-Unit]]/Table4[[#This Row],[Unit-Price]]</f>
        <v>0.28736882170626937</v>
      </c>
    </row>
    <row r="21" spans="1:14" x14ac:dyDescent="0.3">
      <c r="A21" t="s">
        <v>56</v>
      </c>
      <c r="B21" t="s">
        <v>37</v>
      </c>
      <c r="C21" t="s">
        <v>22</v>
      </c>
      <c r="D21" t="s">
        <v>18</v>
      </c>
      <c r="E21" t="s">
        <v>19</v>
      </c>
      <c r="F21">
        <v>75</v>
      </c>
      <c r="G21" s="3">
        <v>189.66</v>
      </c>
      <c r="H21" s="1">
        <v>45720</v>
      </c>
      <c r="I21" s="1">
        <v>45731</v>
      </c>
      <c r="J21" s="3">
        <v>48.49</v>
      </c>
      <c r="K21" s="2">
        <f>Table4[[#This Row],[Stock-Quantity]]*Table4[[#This Row],[Unit-Price]]</f>
        <v>14224.5</v>
      </c>
      <c r="L21" s="2">
        <f>Table4[[#This Row],[Stock-Quantity]]*Table4[[#This Row],[Margin-Unit]]</f>
        <v>3636.75</v>
      </c>
      <c r="M21">
        <f>Table4[[#This Row],[Date-Sales]]-Table4[[#This Row],[Date-Received]]</f>
        <v>11</v>
      </c>
      <c r="N21" s="6">
        <f>Table4[[#This Row],[Margin-Unit]]/Table4[[#This Row],[Unit-Price]]</f>
        <v>0.25566803754086259</v>
      </c>
    </row>
    <row r="22" spans="1:14" x14ac:dyDescent="0.3">
      <c r="A22" t="s">
        <v>57</v>
      </c>
      <c r="B22" t="s">
        <v>11</v>
      </c>
      <c r="C22" t="s">
        <v>12</v>
      </c>
      <c r="D22" t="s">
        <v>13</v>
      </c>
      <c r="E22" t="s">
        <v>14</v>
      </c>
      <c r="F22">
        <v>115</v>
      </c>
      <c r="G22" s="3">
        <v>147.58000000000001</v>
      </c>
      <c r="H22" s="1">
        <v>45816</v>
      </c>
      <c r="I22" s="1">
        <v>45817</v>
      </c>
      <c r="J22" s="3">
        <v>28.42</v>
      </c>
      <c r="K22" s="2">
        <f>Table4[[#This Row],[Stock-Quantity]]*Table4[[#This Row],[Unit-Price]]</f>
        <v>16971.7</v>
      </c>
      <c r="L22" s="2">
        <f>Table4[[#This Row],[Stock-Quantity]]*Table4[[#This Row],[Margin-Unit]]</f>
        <v>3268.3</v>
      </c>
      <c r="M22">
        <f>Table4[[#This Row],[Date-Sales]]-Table4[[#This Row],[Date-Received]]</f>
        <v>1</v>
      </c>
      <c r="N22" s="6">
        <f>Table4[[#This Row],[Margin-Unit]]/Table4[[#This Row],[Unit-Price]]</f>
        <v>0.19257351944707954</v>
      </c>
    </row>
    <row r="23" spans="1:14" x14ac:dyDescent="0.3">
      <c r="A23" t="s">
        <v>58</v>
      </c>
      <c r="B23" t="s">
        <v>21</v>
      </c>
      <c r="C23" t="s">
        <v>22</v>
      </c>
      <c r="D23" t="s">
        <v>18</v>
      </c>
      <c r="E23" t="s">
        <v>19</v>
      </c>
      <c r="F23">
        <v>435</v>
      </c>
      <c r="G23" s="3">
        <v>199.7</v>
      </c>
      <c r="H23" s="1">
        <v>45760</v>
      </c>
      <c r="I23" s="1">
        <v>45788</v>
      </c>
      <c r="J23" s="3">
        <v>41.3</v>
      </c>
      <c r="K23" s="2">
        <f>Table4[[#This Row],[Stock-Quantity]]*Table4[[#This Row],[Unit-Price]]</f>
        <v>86869.5</v>
      </c>
      <c r="L23" s="2">
        <f>Table4[[#This Row],[Stock-Quantity]]*Table4[[#This Row],[Margin-Unit]]</f>
        <v>17965.5</v>
      </c>
      <c r="M23">
        <f>Table4[[#This Row],[Date-Sales]]-Table4[[#This Row],[Date-Received]]</f>
        <v>28</v>
      </c>
      <c r="N23" s="6">
        <f>Table4[[#This Row],[Margin-Unit]]/Table4[[#This Row],[Unit-Price]]</f>
        <v>0.20681021532298446</v>
      </c>
    </row>
    <row r="24" spans="1:14" x14ac:dyDescent="0.3">
      <c r="A24" t="s">
        <v>59</v>
      </c>
      <c r="B24" t="s">
        <v>37</v>
      </c>
      <c r="C24" t="s">
        <v>22</v>
      </c>
      <c r="D24" t="s">
        <v>25</v>
      </c>
      <c r="E24" t="s">
        <v>26</v>
      </c>
      <c r="F24">
        <v>67</v>
      </c>
      <c r="G24" s="3">
        <v>344.21</v>
      </c>
      <c r="H24" s="1">
        <v>45764</v>
      </c>
      <c r="I24" s="1">
        <v>45789</v>
      </c>
      <c r="J24" s="3">
        <v>60.05</v>
      </c>
      <c r="K24" s="2">
        <f>Table4[[#This Row],[Stock-Quantity]]*Table4[[#This Row],[Unit-Price]]</f>
        <v>23062.07</v>
      </c>
      <c r="L24" s="2">
        <f>Table4[[#This Row],[Stock-Quantity]]*Table4[[#This Row],[Margin-Unit]]</f>
        <v>4023.35</v>
      </c>
      <c r="M24">
        <f>Table4[[#This Row],[Date-Sales]]-Table4[[#This Row],[Date-Received]]</f>
        <v>25</v>
      </c>
      <c r="N24" s="6">
        <f>Table4[[#This Row],[Margin-Unit]]/Table4[[#This Row],[Unit-Price]]</f>
        <v>0.17445745329885826</v>
      </c>
    </row>
    <row r="25" spans="1:14" x14ac:dyDescent="0.3">
      <c r="A25" t="s">
        <v>60</v>
      </c>
      <c r="B25" t="s">
        <v>21</v>
      </c>
      <c r="C25" t="s">
        <v>22</v>
      </c>
      <c r="D25" t="s">
        <v>13</v>
      </c>
      <c r="E25" t="s">
        <v>14</v>
      </c>
      <c r="F25">
        <v>188</v>
      </c>
      <c r="G25" s="3">
        <v>216.78</v>
      </c>
      <c r="H25" s="1">
        <v>45660</v>
      </c>
      <c r="I25" s="1">
        <v>45665</v>
      </c>
      <c r="J25" s="3">
        <v>35.61</v>
      </c>
      <c r="K25" s="2">
        <f>Table4[[#This Row],[Stock-Quantity]]*Table4[[#This Row],[Unit-Price]]</f>
        <v>40754.639999999999</v>
      </c>
      <c r="L25" s="2">
        <f>Table4[[#This Row],[Stock-Quantity]]*Table4[[#This Row],[Margin-Unit]]</f>
        <v>6694.68</v>
      </c>
      <c r="M25">
        <f>Table4[[#This Row],[Date-Sales]]-Table4[[#This Row],[Date-Received]]</f>
        <v>5</v>
      </c>
      <c r="N25" s="6">
        <f>Table4[[#This Row],[Margin-Unit]]/Table4[[#This Row],[Unit-Price]]</f>
        <v>0.16426792139496263</v>
      </c>
    </row>
    <row r="26" spans="1:14" x14ac:dyDescent="0.3">
      <c r="A26" t="s">
        <v>61</v>
      </c>
      <c r="B26" t="s">
        <v>16</v>
      </c>
      <c r="C26" t="s">
        <v>17</v>
      </c>
      <c r="D26" t="s">
        <v>13</v>
      </c>
      <c r="E26" t="s">
        <v>14</v>
      </c>
      <c r="F26">
        <v>382</v>
      </c>
      <c r="G26" s="3">
        <v>218.21</v>
      </c>
      <c r="H26" s="1">
        <v>45783</v>
      </c>
      <c r="I26" s="1">
        <v>45811</v>
      </c>
      <c r="J26" s="3">
        <v>35.54</v>
      </c>
      <c r="K26" s="2">
        <f>Table4[[#This Row],[Stock-Quantity]]*Table4[[#This Row],[Unit-Price]]</f>
        <v>83356.22</v>
      </c>
      <c r="L26" s="2">
        <f>Table4[[#This Row],[Stock-Quantity]]*Table4[[#This Row],[Margin-Unit]]</f>
        <v>13576.279999999999</v>
      </c>
      <c r="M26">
        <f>Table4[[#This Row],[Date-Sales]]-Table4[[#This Row],[Date-Received]]</f>
        <v>28</v>
      </c>
      <c r="N26" s="6">
        <f>Table4[[#This Row],[Margin-Unit]]/Table4[[#This Row],[Unit-Price]]</f>
        <v>0.16287062921039364</v>
      </c>
    </row>
    <row r="27" spans="1:14" x14ac:dyDescent="0.3">
      <c r="A27" t="s">
        <v>62</v>
      </c>
      <c r="B27" t="s">
        <v>63</v>
      </c>
      <c r="C27" t="s">
        <v>35</v>
      </c>
      <c r="D27" t="s">
        <v>40</v>
      </c>
      <c r="E27" t="s">
        <v>41</v>
      </c>
      <c r="F27">
        <v>156</v>
      </c>
      <c r="G27" s="3">
        <v>100.91</v>
      </c>
      <c r="H27" s="1">
        <v>45761</v>
      </c>
      <c r="I27" s="1">
        <v>45766</v>
      </c>
      <c r="J27" s="3">
        <v>12.07</v>
      </c>
      <c r="K27" s="2">
        <f>Table4[[#This Row],[Stock-Quantity]]*Table4[[#This Row],[Unit-Price]]</f>
        <v>15741.96</v>
      </c>
      <c r="L27" s="2">
        <f>Table4[[#This Row],[Stock-Quantity]]*Table4[[#This Row],[Margin-Unit]]</f>
        <v>1882.92</v>
      </c>
      <c r="M27">
        <f>Table4[[#This Row],[Date-Sales]]-Table4[[#This Row],[Date-Received]]</f>
        <v>5</v>
      </c>
      <c r="N27" s="6">
        <f>Table4[[#This Row],[Margin-Unit]]/Table4[[#This Row],[Unit-Price]]</f>
        <v>0.11961153503121594</v>
      </c>
    </row>
    <row r="28" spans="1:14" x14ac:dyDescent="0.3">
      <c r="A28" t="s">
        <v>64</v>
      </c>
      <c r="B28" t="s">
        <v>65</v>
      </c>
      <c r="C28" t="s">
        <v>22</v>
      </c>
      <c r="D28" t="s">
        <v>25</v>
      </c>
      <c r="E28" t="s">
        <v>26</v>
      </c>
      <c r="F28">
        <v>263</v>
      </c>
      <c r="G28" s="3">
        <v>370.15</v>
      </c>
      <c r="H28" s="1">
        <v>45667</v>
      </c>
      <c r="I28" s="1">
        <v>45671</v>
      </c>
      <c r="J28" s="3">
        <v>85.66</v>
      </c>
      <c r="K28" s="2">
        <f>Table4[[#This Row],[Stock-Quantity]]*Table4[[#This Row],[Unit-Price]]</f>
        <v>97349.45</v>
      </c>
      <c r="L28" s="2">
        <f>Table4[[#This Row],[Stock-Quantity]]*Table4[[#This Row],[Margin-Unit]]</f>
        <v>22528.579999999998</v>
      </c>
      <c r="M28">
        <f>Table4[[#This Row],[Date-Sales]]-Table4[[#This Row],[Date-Received]]</f>
        <v>4</v>
      </c>
      <c r="N28" s="6">
        <f>Table4[[#This Row],[Margin-Unit]]/Table4[[#This Row],[Unit-Price]]</f>
        <v>0.23141969471835744</v>
      </c>
    </row>
    <row r="29" spans="1:14" x14ac:dyDescent="0.3">
      <c r="A29" t="s">
        <v>66</v>
      </c>
      <c r="B29" t="s">
        <v>50</v>
      </c>
      <c r="C29" t="s">
        <v>17</v>
      </c>
      <c r="D29" t="s">
        <v>13</v>
      </c>
      <c r="E29" t="s">
        <v>14</v>
      </c>
      <c r="F29">
        <v>328</v>
      </c>
      <c r="G29" s="3">
        <v>374.1</v>
      </c>
      <c r="H29" s="1">
        <v>45766</v>
      </c>
      <c r="I29" s="1">
        <v>45781</v>
      </c>
      <c r="J29" s="3">
        <v>75.599999999999994</v>
      </c>
      <c r="K29" s="2">
        <f>Table4[[#This Row],[Stock-Quantity]]*Table4[[#This Row],[Unit-Price]]</f>
        <v>122704.8</v>
      </c>
      <c r="L29" s="2">
        <f>Table4[[#This Row],[Stock-Quantity]]*Table4[[#This Row],[Margin-Unit]]</f>
        <v>24796.799999999999</v>
      </c>
      <c r="M29">
        <f>Table4[[#This Row],[Date-Sales]]-Table4[[#This Row],[Date-Received]]</f>
        <v>15</v>
      </c>
      <c r="N29" s="6">
        <f>Table4[[#This Row],[Margin-Unit]]/Table4[[#This Row],[Unit-Price]]</f>
        <v>0.20208500400962306</v>
      </c>
    </row>
    <row r="30" spans="1:14" x14ac:dyDescent="0.3">
      <c r="A30" t="s">
        <v>67</v>
      </c>
      <c r="B30" t="s">
        <v>65</v>
      </c>
      <c r="C30" t="s">
        <v>22</v>
      </c>
      <c r="D30" t="s">
        <v>40</v>
      </c>
      <c r="E30" t="s">
        <v>41</v>
      </c>
      <c r="F30">
        <v>80</v>
      </c>
      <c r="G30" s="3">
        <v>492.23</v>
      </c>
      <c r="H30" s="1">
        <v>45679</v>
      </c>
      <c r="I30" s="1">
        <v>45682</v>
      </c>
      <c r="J30" s="3">
        <v>144.96</v>
      </c>
      <c r="K30" s="2">
        <f>Table4[[#This Row],[Stock-Quantity]]*Table4[[#This Row],[Unit-Price]]</f>
        <v>39378.400000000001</v>
      </c>
      <c r="L30" s="2">
        <f>Table4[[#This Row],[Stock-Quantity]]*Table4[[#This Row],[Margin-Unit]]</f>
        <v>11596.800000000001</v>
      </c>
      <c r="M30">
        <f>Table4[[#This Row],[Date-Sales]]-Table4[[#This Row],[Date-Received]]</f>
        <v>3</v>
      </c>
      <c r="N30" s="6">
        <f>Table4[[#This Row],[Margin-Unit]]/Table4[[#This Row],[Unit-Price]]</f>
        <v>0.29449647522499645</v>
      </c>
    </row>
    <row r="31" spans="1:14" x14ac:dyDescent="0.3">
      <c r="A31" t="s">
        <v>68</v>
      </c>
      <c r="B31" t="s">
        <v>52</v>
      </c>
      <c r="C31" t="s">
        <v>12</v>
      </c>
      <c r="D31" t="s">
        <v>30</v>
      </c>
      <c r="E31" t="s">
        <v>31</v>
      </c>
      <c r="F31">
        <v>318</v>
      </c>
      <c r="G31" s="3">
        <v>211.62</v>
      </c>
      <c r="H31" s="1">
        <v>45778</v>
      </c>
      <c r="I31" s="1">
        <v>45803</v>
      </c>
      <c r="J31" s="3">
        <v>43.72</v>
      </c>
      <c r="K31" s="2">
        <f>Table4[[#This Row],[Stock-Quantity]]*Table4[[#This Row],[Unit-Price]]</f>
        <v>67295.16</v>
      </c>
      <c r="L31" s="2">
        <f>Table4[[#This Row],[Stock-Quantity]]*Table4[[#This Row],[Margin-Unit]]</f>
        <v>13902.96</v>
      </c>
      <c r="M31">
        <f>Table4[[#This Row],[Date-Sales]]-Table4[[#This Row],[Date-Received]]</f>
        <v>25</v>
      </c>
      <c r="N31" s="6">
        <f>Table4[[#This Row],[Margin-Unit]]/Table4[[#This Row],[Unit-Price]]</f>
        <v>0.20659672998771381</v>
      </c>
    </row>
    <row r="32" spans="1:14" x14ac:dyDescent="0.3">
      <c r="A32" t="s">
        <v>69</v>
      </c>
      <c r="B32" t="s">
        <v>70</v>
      </c>
      <c r="C32" t="s">
        <v>35</v>
      </c>
      <c r="D32" t="s">
        <v>30</v>
      </c>
      <c r="E32" t="s">
        <v>31</v>
      </c>
      <c r="F32">
        <v>79</v>
      </c>
      <c r="G32" s="3">
        <v>296.14999999999998</v>
      </c>
      <c r="H32" s="1">
        <v>45724</v>
      </c>
      <c r="I32" s="1">
        <v>45753</v>
      </c>
      <c r="J32" s="3">
        <v>81.5</v>
      </c>
      <c r="K32" s="2">
        <f>Table4[[#This Row],[Stock-Quantity]]*Table4[[#This Row],[Unit-Price]]</f>
        <v>23395.85</v>
      </c>
      <c r="L32" s="2">
        <f>Table4[[#This Row],[Stock-Quantity]]*Table4[[#This Row],[Margin-Unit]]</f>
        <v>6438.5</v>
      </c>
      <c r="M32">
        <f>Table4[[#This Row],[Date-Sales]]-Table4[[#This Row],[Date-Received]]</f>
        <v>29</v>
      </c>
      <c r="N32" s="6">
        <f>Table4[[#This Row],[Margin-Unit]]/Table4[[#This Row],[Unit-Price]]</f>
        <v>0.27519837919972989</v>
      </c>
    </row>
    <row r="33" spans="1:14" x14ac:dyDescent="0.3">
      <c r="A33" t="s">
        <v>71</v>
      </c>
      <c r="B33" t="s">
        <v>70</v>
      </c>
      <c r="C33" t="s">
        <v>35</v>
      </c>
      <c r="D33" t="s">
        <v>13</v>
      </c>
      <c r="E33" t="s">
        <v>14</v>
      </c>
      <c r="F33">
        <v>99</v>
      </c>
      <c r="G33" s="3">
        <v>275.2</v>
      </c>
      <c r="H33" s="1">
        <v>45770</v>
      </c>
      <c r="I33" s="1">
        <v>45796</v>
      </c>
      <c r="J33" s="3">
        <v>72.86</v>
      </c>
      <c r="K33" s="2">
        <f>Table4[[#This Row],[Stock-Quantity]]*Table4[[#This Row],[Unit-Price]]</f>
        <v>27244.799999999999</v>
      </c>
      <c r="L33" s="2">
        <f>Table4[[#This Row],[Stock-Quantity]]*Table4[[#This Row],[Margin-Unit]]</f>
        <v>7213.14</v>
      </c>
      <c r="M33">
        <f>Table4[[#This Row],[Date-Sales]]-Table4[[#This Row],[Date-Received]]</f>
        <v>26</v>
      </c>
      <c r="N33" s="6">
        <f>Table4[[#This Row],[Margin-Unit]]/Table4[[#This Row],[Unit-Price]]</f>
        <v>0.2647529069767442</v>
      </c>
    </row>
    <row r="34" spans="1:14" x14ac:dyDescent="0.3">
      <c r="A34" t="s">
        <v>72</v>
      </c>
      <c r="B34" t="s">
        <v>52</v>
      </c>
      <c r="C34" t="s">
        <v>12</v>
      </c>
      <c r="D34" t="s">
        <v>25</v>
      </c>
      <c r="E34" t="s">
        <v>26</v>
      </c>
      <c r="F34">
        <v>125</v>
      </c>
      <c r="G34" s="3">
        <v>201.35</v>
      </c>
      <c r="H34" s="1">
        <v>45830</v>
      </c>
      <c r="I34" s="1">
        <v>45844</v>
      </c>
      <c r="J34" s="3">
        <v>27.05</v>
      </c>
      <c r="K34" s="2">
        <f>Table4[[#This Row],[Stock-Quantity]]*Table4[[#This Row],[Unit-Price]]</f>
        <v>25168.75</v>
      </c>
      <c r="L34" s="2">
        <f>Table4[[#This Row],[Stock-Quantity]]*Table4[[#This Row],[Margin-Unit]]</f>
        <v>3381.25</v>
      </c>
      <c r="M34">
        <f>Table4[[#This Row],[Date-Sales]]-Table4[[#This Row],[Date-Received]]</f>
        <v>14</v>
      </c>
      <c r="N34" s="6">
        <f>Table4[[#This Row],[Margin-Unit]]/Table4[[#This Row],[Unit-Price]]</f>
        <v>0.13434318351129873</v>
      </c>
    </row>
    <row r="35" spans="1:14" x14ac:dyDescent="0.3">
      <c r="A35" t="s">
        <v>73</v>
      </c>
      <c r="B35" t="s">
        <v>74</v>
      </c>
      <c r="C35" t="s">
        <v>29</v>
      </c>
      <c r="D35" t="s">
        <v>13</v>
      </c>
      <c r="E35" t="s">
        <v>14</v>
      </c>
      <c r="F35">
        <v>235</v>
      </c>
      <c r="G35" s="3">
        <v>193.26</v>
      </c>
      <c r="H35" s="1">
        <v>45785</v>
      </c>
      <c r="I35" s="1">
        <v>45813</v>
      </c>
      <c r="J35" s="3">
        <v>54.52</v>
      </c>
      <c r="K35" s="2">
        <f>Table4[[#This Row],[Stock-Quantity]]*Table4[[#This Row],[Unit-Price]]</f>
        <v>45416.1</v>
      </c>
      <c r="L35" s="2">
        <f>Table4[[#This Row],[Stock-Quantity]]*Table4[[#This Row],[Margin-Unit]]</f>
        <v>12812.2</v>
      </c>
      <c r="M35">
        <f>Table4[[#This Row],[Date-Sales]]-Table4[[#This Row],[Date-Received]]</f>
        <v>28</v>
      </c>
      <c r="N35" s="6">
        <f>Table4[[#This Row],[Margin-Unit]]/Table4[[#This Row],[Unit-Price]]</f>
        <v>0.28210700610576428</v>
      </c>
    </row>
    <row r="36" spans="1:14" x14ac:dyDescent="0.3">
      <c r="A36" t="s">
        <v>75</v>
      </c>
      <c r="B36" t="s">
        <v>65</v>
      </c>
      <c r="C36" t="s">
        <v>22</v>
      </c>
      <c r="D36" t="s">
        <v>18</v>
      </c>
      <c r="E36" t="s">
        <v>19</v>
      </c>
      <c r="F36">
        <v>295</v>
      </c>
      <c r="G36" s="3">
        <v>460.69</v>
      </c>
      <c r="H36" s="1">
        <v>45705</v>
      </c>
      <c r="I36" s="1">
        <v>45718</v>
      </c>
      <c r="J36" s="3">
        <v>100.39</v>
      </c>
      <c r="K36" s="2">
        <f>Table4[[#This Row],[Stock-Quantity]]*Table4[[#This Row],[Unit-Price]]</f>
        <v>135903.54999999999</v>
      </c>
      <c r="L36" s="2">
        <f>Table4[[#This Row],[Stock-Quantity]]*Table4[[#This Row],[Margin-Unit]]</f>
        <v>29615.05</v>
      </c>
      <c r="M36">
        <f>Table4[[#This Row],[Date-Sales]]-Table4[[#This Row],[Date-Received]]</f>
        <v>13</v>
      </c>
      <c r="N36" s="6">
        <f>Table4[[#This Row],[Margin-Unit]]/Table4[[#This Row],[Unit-Price]]</f>
        <v>0.21791226204172004</v>
      </c>
    </row>
    <row r="37" spans="1:14" x14ac:dyDescent="0.3">
      <c r="A37" t="s">
        <v>76</v>
      </c>
      <c r="B37" t="s">
        <v>37</v>
      </c>
      <c r="C37" t="s">
        <v>22</v>
      </c>
      <c r="D37" t="s">
        <v>40</v>
      </c>
      <c r="E37" t="s">
        <v>41</v>
      </c>
      <c r="F37">
        <v>479</v>
      </c>
      <c r="G37" s="3">
        <v>405.21</v>
      </c>
      <c r="H37" s="1">
        <v>45753</v>
      </c>
      <c r="I37" s="1">
        <v>45767</v>
      </c>
      <c r="J37" s="3">
        <v>66.23</v>
      </c>
      <c r="K37" s="2">
        <f>Table4[[#This Row],[Stock-Quantity]]*Table4[[#This Row],[Unit-Price]]</f>
        <v>194095.59</v>
      </c>
      <c r="L37" s="2">
        <f>Table4[[#This Row],[Stock-Quantity]]*Table4[[#This Row],[Margin-Unit]]</f>
        <v>31724.170000000002</v>
      </c>
      <c r="M37">
        <f>Table4[[#This Row],[Date-Sales]]-Table4[[#This Row],[Date-Received]]</f>
        <v>14</v>
      </c>
      <c r="N37" s="6">
        <f>Table4[[#This Row],[Margin-Unit]]/Table4[[#This Row],[Unit-Price]]</f>
        <v>0.16344611436045509</v>
      </c>
    </row>
    <row r="38" spans="1:14" x14ac:dyDescent="0.3">
      <c r="A38" t="s">
        <v>77</v>
      </c>
      <c r="B38" t="s">
        <v>74</v>
      </c>
      <c r="C38" t="s">
        <v>29</v>
      </c>
      <c r="D38" t="s">
        <v>25</v>
      </c>
      <c r="E38" t="s">
        <v>26</v>
      </c>
      <c r="F38">
        <v>136</v>
      </c>
      <c r="G38" s="3">
        <v>229.77</v>
      </c>
      <c r="H38" s="1">
        <v>45805</v>
      </c>
      <c r="I38" s="1">
        <v>45834</v>
      </c>
      <c r="J38" s="3">
        <v>36.61</v>
      </c>
      <c r="K38" s="2">
        <f>Table4[[#This Row],[Stock-Quantity]]*Table4[[#This Row],[Unit-Price]]</f>
        <v>31248.720000000001</v>
      </c>
      <c r="L38" s="2">
        <f>Table4[[#This Row],[Stock-Quantity]]*Table4[[#This Row],[Margin-Unit]]</f>
        <v>4978.96</v>
      </c>
      <c r="M38">
        <f>Table4[[#This Row],[Date-Sales]]-Table4[[#This Row],[Date-Received]]</f>
        <v>29</v>
      </c>
      <c r="N38" s="6">
        <f>Table4[[#This Row],[Margin-Unit]]/Table4[[#This Row],[Unit-Price]]</f>
        <v>0.15933324628976803</v>
      </c>
    </row>
    <row r="39" spans="1:14" x14ac:dyDescent="0.3">
      <c r="A39" t="s">
        <v>78</v>
      </c>
      <c r="B39" t="s">
        <v>70</v>
      </c>
      <c r="C39" t="s">
        <v>35</v>
      </c>
      <c r="D39" t="s">
        <v>25</v>
      </c>
      <c r="E39" t="s">
        <v>26</v>
      </c>
      <c r="F39">
        <v>249</v>
      </c>
      <c r="G39" s="3">
        <v>23.97</v>
      </c>
      <c r="H39" s="1">
        <v>45763</v>
      </c>
      <c r="I39" s="1">
        <v>45767</v>
      </c>
      <c r="J39" s="3">
        <v>4.3099999999999996</v>
      </c>
      <c r="K39" s="2">
        <f>Table4[[#This Row],[Stock-Quantity]]*Table4[[#This Row],[Unit-Price]]</f>
        <v>5968.53</v>
      </c>
      <c r="L39" s="2">
        <f>Table4[[#This Row],[Stock-Quantity]]*Table4[[#This Row],[Margin-Unit]]</f>
        <v>1073.1899999999998</v>
      </c>
      <c r="M39">
        <f>Table4[[#This Row],[Date-Sales]]-Table4[[#This Row],[Date-Received]]</f>
        <v>4</v>
      </c>
      <c r="N39" s="6">
        <f>Table4[[#This Row],[Margin-Unit]]/Table4[[#This Row],[Unit-Price]]</f>
        <v>0.17980809345014601</v>
      </c>
    </row>
    <row r="40" spans="1:14" x14ac:dyDescent="0.3">
      <c r="A40" t="s">
        <v>79</v>
      </c>
      <c r="B40" t="s">
        <v>80</v>
      </c>
      <c r="C40" t="s">
        <v>29</v>
      </c>
      <c r="D40" t="s">
        <v>30</v>
      </c>
      <c r="E40" t="s">
        <v>31</v>
      </c>
      <c r="F40">
        <v>364</v>
      </c>
      <c r="G40" s="3">
        <v>352.42</v>
      </c>
      <c r="H40" s="1">
        <v>45808</v>
      </c>
      <c r="I40" s="1">
        <v>45818</v>
      </c>
      <c r="J40" s="3">
        <v>93.38</v>
      </c>
      <c r="K40" s="2">
        <f>Table4[[#This Row],[Stock-Quantity]]*Table4[[#This Row],[Unit-Price]]</f>
        <v>128280.88</v>
      </c>
      <c r="L40" s="2">
        <f>Table4[[#This Row],[Stock-Quantity]]*Table4[[#This Row],[Margin-Unit]]</f>
        <v>33990.32</v>
      </c>
      <c r="M40">
        <f>Table4[[#This Row],[Date-Sales]]-Table4[[#This Row],[Date-Received]]</f>
        <v>10</v>
      </c>
      <c r="N40" s="6">
        <f>Table4[[#This Row],[Margin-Unit]]/Table4[[#This Row],[Unit-Price]]</f>
        <v>0.26496793598547186</v>
      </c>
    </row>
    <row r="41" spans="1:14" x14ac:dyDescent="0.3">
      <c r="A41" t="s">
        <v>81</v>
      </c>
      <c r="B41" t="s">
        <v>43</v>
      </c>
      <c r="C41" t="s">
        <v>35</v>
      </c>
      <c r="D41" t="s">
        <v>25</v>
      </c>
      <c r="E41" t="s">
        <v>26</v>
      </c>
      <c r="F41">
        <v>33</v>
      </c>
      <c r="G41" s="3">
        <v>392.86</v>
      </c>
      <c r="H41" s="1">
        <v>45753</v>
      </c>
      <c r="I41" s="1">
        <v>45780</v>
      </c>
      <c r="J41" s="3">
        <v>49.78</v>
      </c>
      <c r="K41" s="2">
        <f>Table4[[#This Row],[Stock-Quantity]]*Table4[[#This Row],[Unit-Price]]</f>
        <v>12964.380000000001</v>
      </c>
      <c r="L41" s="2">
        <f>Table4[[#This Row],[Stock-Quantity]]*Table4[[#This Row],[Margin-Unit]]</f>
        <v>1642.74</v>
      </c>
      <c r="M41">
        <f>Table4[[#This Row],[Date-Sales]]-Table4[[#This Row],[Date-Received]]</f>
        <v>27</v>
      </c>
      <c r="N41" s="6">
        <f>Table4[[#This Row],[Margin-Unit]]/Table4[[#This Row],[Unit-Price]]</f>
        <v>0.12671180573232194</v>
      </c>
    </row>
    <row r="42" spans="1:14" x14ac:dyDescent="0.3">
      <c r="A42" t="s">
        <v>82</v>
      </c>
      <c r="B42" t="s">
        <v>39</v>
      </c>
      <c r="C42" t="s">
        <v>12</v>
      </c>
      <c r="D42" t="s">
        <v>25</v>
      </c>
      <c r="E42" t="s">
        <v>26</v>
      </c>
      <c r="F42">
        <v>65</v>
      </c>
      <c r="G42" s="3">
        <v>46.21</v>
      </c>
      <c r="H42" s="1">
        <v>45662</v>
      </c>
      <c r="I42" s="1">
        <v>45664</v>
      </c>
      <c r="J42" s="3">
        <v>6.75</v>
      </c>
      <c r="K42" s="2">
        <f>Table4[[#This Row],[Stock-Quantity]]*Table4[[#This Row],[Unit-Price]]</f>
        <v>3003.65</v>
      </c>
      <c r="L42" s="2">
        <f>Table4[[#This Row],[Stock-Quantity]]*Table4[[#This Row],[Margin-Unit]]</f>
        <v>438.75</v>
      </c>
      <c r="M42">
        <f>Table4[[#This Row],[Date-Sales]]-Table4[[#This Row],[Date-Received]]</f>
        <v>2</v>
      </c>
      <c r="N42" s="6">
        <f>Table4[[#This Row],[Margin-Unit]]/Table4[[#This Row],[Unit-Price]]</f>
        <v>0.14607227872754816</v>
      </c>
    </row>
    <row r="43" spans="1:14" x14ac:dyDescent="0.3">
      <c r="A43" t="s">
        <v>83</v>
      </c>
      <c r="B43" t="s">
        <v>47</v>
      </c>
      <c r="C43" t="s">
        <v>17</v>
      </c>
      <c r="D43" t="s">
        <v>25</v>
      </c>
      <c r="E43" t="s">
        <v>26</v>
      </c>
      <c r="F43">
        <v>14</v>
      </c>
      <c r="G43" s="3">
        <v>433.4</v>
      </c>
      <c r="H43" s="1">
        <v>45822</v>
      </c>
      <c r="I43" s="1">
        <v>45847</v>
      </c>
      <c r="J43" s="3">
        <v>128.22</v>
      </c>
      <c r="K43" s="2">
        <f>Table4[[#This Row],[Stock-Quantity]]*Table4[[#This Row],[Unit-Price]]</f>
        <v>6067.5999999999995</v>
      </c>
      <c r="L43" s="2">
        <f>Table4[[#This Row],[Stock-Quantity]]*Table4[[#This Row],[Margin-Unit]]</f>
        <v>1795.08</v>
      </c>
      <c r="M43">
        <f>Table4[[#This Row],[Date-Sales]]-Table4[[#This Row],[Date-Received]]</f>
        <v>25</v>
      </c>
      <c r="N43" s="6">
        <f>Table4[[#This Row],[Margin-Unit]]/Table4[[#This Row],[Unit-Price]]</f>
        <v>0.29584679280110754</v>
      </c>
    </row>
    <row r="44" spans="1:14" x14ac:dyDescent="0.3">
      <c r="A44" t="s">
        <v>84</v>
      </c>
      <c r="B44" t="s">
        <v>80</v>
      </c>
      <c r="C44" t="s">
        <v>29</v>
      </c>
      <c r="D44" t="s">
        <v>30</v>
      </c>
      <c r="E44" t="s">
        <v>31</v>
      </c>
      <c r="F44">
        <v>175</v>
      </c>
      <c r="G44" s="3">
        <v>85.23</v>
      </c>
      <c r="H44" s="1">
        <v>45664</v>
      </c>
      <c r="I44" s="1">
        <v>45668</v>
      </c>
      <c r="J44" s="3">
        <v>14.22</v>
      </c>
      <c r="K44" s="2">
        <f>Table4[[#This Row],[Stock-Quantity]]*Table4[[#This Row],[Unit-Price]]</f>
        <v>14915.25</v>
      </c>
      <c r="L44" s="2">
        <f>Table4[[#This Row],[Stock-Quantity]]*Table4[[#This Row],[Margin-Unit]]</f>
        <v>2488.5</v>
      </c>
      <c r="M44">
        <f>Table4[[#This Row],[Date-Sales]]-Table4[[#This Row],[Date-Received]]</f>
        <v>4</v>
      </c>
      <c r="N44" s="6">
        <f>Table4[[#This Row],[Margin-Unit]]/Table4[[#This Row],[Unit-Price]]</f>
        <v>0.16684266103484688</v>
      </c>
    </row>
    <row r="45" spans="1:14" x14ac:dyDescent="0.3">
      <c r="A45" t="s">
        <v>85</v>
      </c>
      <c r="B45" t="s">
        <v>39</v>
      </c>
      <c r="C45" t="s">
        <v>12</v>
      </c>
      <c r="D45" t="s">
        <v>40</v>
      </c>
      <c r="E45" t="s">
        <v>41</v>
      </c>
      <c r="F45">
        <v>128</v>
      </c>
      <c r="G45" s="3">
        <v>477.47</v>
      </c>
      <c r="H45" s="1">
        <v>45762</v>
      </c>
      <c r="I45" s="1">
        <v>45769</v>
      </c>
      <c r="J45" s="3">
        <v>52.82</v>
      </c>
      <c r="K45" s="2">
        <f>Table4[[#This Row],[Stock-Quantity]]*Table4[[#This Row],[Unit-Price]]</f>
        <v>61116.160000000003</v>
      </c>
      <c r="L45" s="2">
        <f>Table4[[#This Row],[Stock-Quantity]]*Table4[[#This Row],[Margin-Unit]]</f>
        <v>6760.96</v>
      </c>
      <c r="M45">
        <f>Table4[[#This Row],[Date-Sales]]-Table4[[#This Row],[Date-Received]]</f>
        <v>7</v>
      </c>
      <c r="N45" s="6">
        <f>Table4[[#This Row],[Margin-Unit]]/Table4[[#This Row],[Unit-Price]]</f>
        <v>0.11062475129327497</v>
      </c>
    </row>
    <row r="46" spans="1:14" x14ac:dyDescent="0.3">
      <c r="A46" t="s">
        <v>86</v>
      </c>
      <c r="B46" t="s">
        <v>43</v>
      </c>
      <c r="C46" t="s">
        <v>35</v>
      </c>
      <c r="D46" t="s">
        <v>25</v>
      </c>
      <c r="E46" t="s">
        <v>26</v>
      </c>
      <c r="F46">
        <v>406</v>
      </c>
      <c r="G46" s="3">
        <v>88.57</v>
      </c>
      <c r="H46" s="1">
        <v>45790</v>
      </c>
      <c r="I46" s="1">
        <v>45798</v>
      </c>
      <c r="J46" s="3">
        <v>17.95</v>
      </c>
      <c r="K46" s="2">
        <f>Table4[[#This Row],[Stock-Quantity]]*Table4[[#This Row],[Unit-Price]]</f>
        <v>35959.42</v>
      </c>
      <c r="L46" s="2">
        <f>Table4[[#This Row],[Stock-Quantity]]*Table4[[#This Row],[Margin-Unit]]</f>
        <v>7287.7</v>
      </c>
      <c r="M46">
        <f>Table4[[#This Row],[Date-Sales]]-Table4[[#This Row],[Date-Received]]</f>
        <v>8</v>
      </c>
      <c r="N46" s="6">
        <f>Table4[[#This Row],[Margin-Unit]]/Table4[[#This Row],[Unit-Price]]</f>
        <v>0.20266455910579204</v>
      </c>
    </row>
    <row r="47" spans="1:14" x14ac:dyDescent="0.3">
      <c r="A47" t="s">
        <v>87</v>
      </c>
      <c r="B47" t="s">
        <v>47</v>
      </c>
      <c r="C47" t="s">
        <v>17</v>
      </c>
      <c r="D47" t="s">
        <v>13</v>
      </c>
      <c r="E47" t="s">
        <v>14</v>
      </c>
      <c r="F47">
        <v>138</v>
      </c>
      <c r="G47" s="3">
        <v>205.02</v>
      </c>
      <c r="H47" s="1">
        <v>45706</v>
      </c>
      <c r="I47" s="1">
        <v>45724</v>
      </c>
      <c r="J47" s="3">
        <v>35.22</v>
      </c>
      <c r="K47" s="2">
        <f>Table4[[#This Row],[Stock-Quantity]]*Table4[[#This Row],[Unit-Price]]</f>
        <v>28292.760000000002</v>
      </c>
      <c r="L47" s="2">
        <f>Table4[[#This Row],[Stock-Quantity]]*Table4[[#This Row],[Margin-Unit]]</f>
        <v>4860.3599999999997</v>
      </c>
      <c r="M47">
        <f>Table4[[#This Row],[Date-Sales]]-Table4[[#This Row],[Date-Received]]</f>
        <v>18</v>
      </c>
      <c r="N47" s="6">
        <f>Table4[[#This Row],[Margin-Unit]]/Table4[[#This Row],[Unit-Price]]</f>
        <v>0.17178811823236756</v>
      </c>
    </row>
    <row r="48" spans="1:14" x14ac:dyDescent="0.3">
      <c r="A48" t="s">
        <v>88</v>
      </c>
      <c r="B48" t="s">
        <v>52</v>
      </c>
      <c r="C48" t="s">
        <v>12</v>
      </c>
      <c r="D48" t="s">
        <v>25</v>
      </c>
      <c r="E48" t="s">
        <v>26</v>
      </c>
      <c r="F48">
        <v>73</v>
      </c>
      <c r="G48" s="3">
        <v>124.65</v>
      </c>
      <c r="H48" s="1">
        <v>45794</v>
      </c>
      <c r="I48" s="1">
        <v>45817</v>
      </c>
      <c r="J48" s="3">
        <v>22.95</v>
      </c>
      <c r="K48" s="2">
        <f>Table4[[#This Row],[Stock-Quantity]]*Table4[[#This Row],[Unit-Price]]</f>
        <v>9099.4500000000007</v>
      </c>
      <c r="L48" s="2">
        <f>Table4[[#This Row],[Stock-Quantity]]*Table4[[#This Row],[Margin-Unit]]</f>
        <v>1675.35</v>
      </c>
      <c r="M48">
        <f>Table4[[#This Row],[Date-Sales]]-Table4[[#This Row],[Date-Received]]</f>
        <v>23</v>
      </c>
      <c r="N48" s="6">
        <f>Table4[[#This Row],[Margin-Unit]]/Table4[[#This Row],[Unit-Price]]</f>
        <v>0.18411552346570395</v>
      </c>
    </row>
    <row r="49" spans="1:14" x14ac:dyDescent="0.3">
      <c r="A49" t="s">
        <v>89</v>
      </c>
      <c r="B49" t="s">
        <v>24</v>
      </c>
      <c r="C49" t="s">
        <v>22</v>
      </c>
      <c r="D49" t="s">
        <v>25</v>
      </c>
      <c r="E49" t="s">
        <v>26</v>
      </c>
      <c r="F49">
        <v>182</v>
      </c>
      <c r="G49" s="3">
        <v>82.35</v>
      </c>
      <c r="H49" s="1">
        <v>45833</v>
      </c>
      <c r="I49" s="1">
        <v>45860</v>
      </c>
      <c r="J49" s="3">
        <v>21.7</v>
      </c>
      <c r="K49" s="2">
        <f>Table4[[#This Row],[Stock-Quantity]]*Table4[[#This Row],[Unit-Price]]</f>
        <v>14987.699999999999</v>
      </c>
      <c r="L49" s="2">
        <f>Table4[[#This Row],[Stock-Quantity]]*Table4[[#This Row],[Margin-Unit]]</f>
        <v>3949.4</v>
      </c>
      <c r="M49">
        <f>Table4[[#This Row],[Date-Sales]]-Table4[[#This Row],[Date-Received]]</f>
        <v>27</v>
      </c>
      <c r="N49" s="6">
        <f>Table4[[#This Row],[Margin-Unit]]/Table4[[#This Row],[Unit-Price]]</f>
        <v>0.26350941105039466</v>
      </c>
    </row>
    <row r="50" spans="1:14" x14ac:dyDescent="0.3">
      <c r="A50" t="s">
        <v>90</v>
      </c>
      <c r="B50" t="s">
        <v>74</v>
      </c>
      <c r="C50" t="s">
        <v>29</v>
      </c>
      <c r="D50" t="s">
        <v>40</v>
      </c>
      <c r="E50" t="s">
        <v>41</v>
      </c>
      <c r="F50">
        <v>252</v>
      </c>
      <c r="G50" s="3">
        <v>173.68</v>
      </c>
      <c r="H50" s="1">
        <v>45744</v>
      </c>
      <c r="I50" s="1">
        <v>45759</v>
      </c>
      <c r="J50" s="3">
        <v>24.5</v>
      </c>
      <c r="K50" s="2">
        <f>Table4[[#This Row],[Stock-Quantity]]*Table4[[#This Row],[Unit-Price]]</f>
        <v>43767.360000000001</v>
      </c>
      <c r="L50" s="2">
        <f>Table4[[#This Row],[Stock-Quantity]]*Table4[[#This Row],[Margin-Unit]]</f>
        <v>6174</v>
      </c>
      <c r="M50">
        <f>Table4[[#This Row],[Date-Sales]]-Table4[[#This Row],[Date-Received]]</f>
        <v>15</v>
      </c>
      <c r="N50" s="6">
        <f>Table4[[#This Row],[Margin-Unit]]/Table4[[#This Row],[Unit-Price]]</f>
        <v>0.1410640257945647</v>
      </c>
    </row>
    <row r="51" spans="1:14" x14ac:dyDescent="0.3">
      <c r="A51" t="s">
        <v>91</v>
      </c>
      <c r="B51" t="s">
        <v>11</v>
      </c>
      <c r="C51" t="s">
        <v>12</v>
      </c>
      <c r="D51" t="s">
        <v>40</v>
      </c>
      <c r="E51" t="s">
        <v>41</v>
      </c>
      <c r="F51">
        <v>118</v>
      </c>
      <c r="G51" s="3">
        <v>162.02000000000001</v>
      </c>
      <c r="H51" s="1">
        <v>45676</v>
      </c>
      <c r="I51" s="1">
        <v>45696</v>
      </c>
      <c r="J51" s="3">
        <v>40.21</v>
      </c>
      <c r="K51" s="2">
        <f>Table4[[#This Row],[Stock-Quantity]]*Table4[[#This Row],[Unit-Price]]</f>
        <v>19118.36</v>
      </c>
      <c r="L51" s="2">
        <f>Table4[[#This Row],[Stock-Quantity]]*Table4[[#This Row],[Margin-Unit]]</f>
        <v>4744.78</v>
      </c>
      <c r="M51">
        <f>Table4[[#This Row],[Date-Sales]]-Table4[[#This Row],[Date-Received]]</f>
        <v>20</v>
      </c>
      <c r="N51" s="6">
        <f>Table4[[#This Row],[Margin-Unit]]/Table4[[#This Row],[Unit-Price]]</f>
        <v>0.24817923713121837</v>
      </c>
    </row>
    <row r="52" spans="1:14" x14ac:dyDescent="0.3">
      <c r="A52" t="s">
        <v>92</v>
      </c>
      <c r="B52" t="s">
        <v>70</v>
      </c>
      <c r="C52" t="s">
        <v>35</v>
      </c>
      <c r="D52" t="s">
        <v>18</v>
      </c>
      <c r="E52" t="s">
        <v>19</v>
      </c>
      <c r="F52">
        <v>67</v>
      </c>
      <c r="G52" s="3">
        <v>184.75</v>
      </c>
      <c r="H52" s="1">
        <v>45832</v>
      </c>
      <c r="I52" s="1">
        <v>45852</v>
      </c>
      <c r="J52" s="3">
        <v>30.9</v>
      </c>
      <c r="K52" s="2">
        <f>Table4[[#This Row],[Stock-Quantity]]*Table4[[#This Row],[Unit-Price]]</f>
        <v>12378.25</v>
      </c>
      <c r="L52" s="2">
        <f>Table4[[#This Row],[Stock-Quantity]]*Table4[[#This Row],[Margin-Unit]]</f>
        <v>2070.2999999999997</v>
      </c>
      <c r="M52">
        <f>Table4[[#This Row],[Date-Sales]]-Table4[[#This Row],[Date-Received]]</f>
        <v>20</v>
      </c>
      <c r="N52" s="6">
        <f>Table4[[#This Row],[Margin-Unit]]/Table4[[#This Row],[Unit-Price]]</f>
        <v>0.16725304465493909</v>
      </c>
    </row>
    <row r="53" spans="1:14" x14ac:dyDescent="0.3">
      <c r="A53" t="s">
        <v>93</v>
      </c>
      <c r="B53" t="s">
        <v>94</v>
      </c>
      <c r="C53" t="s">
        <v>29</v>
      </c>
      <c r="D53" t="s">
        <v>18</v>
      </c>
      <c r="E53" t="s">
        <v>19</v>
      </c>
      <c r="F53">
        <v>116</v>
      </c>
      <c r="G53" s="3">
        <v>116.15</v>
      </c>
      <c r="H53" s="1">
        <v>45768</v>
      </c>
      <c r="I53" s="1">
        <v>45772</v>
      </c>
      <c r="J53" s="3">
        <v>23.58</v>
      </c>
      <c r="K53" s="2">
        <f>Table4[[#This Row],[Stock-Quantity]]*Table4[[#This Row],[Unit-Price]]</f>
        <v>13473.400000000001</v>
      </c>
      <c r="L53" s="2">
        <f>Table4[[#This Row],[Stock-Quantity]]*Table4[[#This Row],[Margin-Unit]]</f>
        <v>2735.2799999999997</v>
      </c>
      <c r="M53">
        <f>Table4[[#This Row],[Date-Sales]]-Table4[[#This Row],[Date-Received]]</f>
        <v>4</v>
      </c>
      <c r="N53" s="6">
        <f>Table4[[#This Row],[Margin-Unit]]/Table4[[#This Row],[Unit-Price]]</f>
        <v>0.20301334481274211</v>
      </c>
    </row>
    <row r="54" spans="1:14" x14ac:dyDescent="0.3">
      <c r="A54" t="s">
        <v>95</v>
      </c>
      <c r="B54" t="s">
        <v>50</v>
      </c>
      <c r="C54" t="s">
        <v>17</v>
      </c>
      <c r="D54" t="s">
        <v>25</v>
      </c>
      <c r="E54" t="s">
        <v>26</v>
      </c>
      <c r="F54">
        <v>32</v>
      </c>
      <c r="G54" s="3">
        <v>296.72000000000003</v>
      </c>
      <c r="H54" s="1">
        <v>45700</v>
      </c>
      <c r="I54" s="1">
        <v>45712</v>
      </c>
      <c r="J54" s="3">
        <v>87.72</v>
      </c>
      <c r="K54" s="2">
        <f>Table4[[#This Row],[Stock-Quantity]]*Table4[[#This Row],[Unit-Price]]</f>
        <v>9495.0400000000009</v>
      </c>
      <c r="L54" s="2">
        <f>Table4[[#This Row],[Stock-Quantity]]*Table4[[#This Row],[Margin-Unit]]</f>
        <v>2807.04</v>
      </c>
      <c r="M54">
        <f>Table4[[#This Row],[Date-Sales]]-Table4[[#This Row],[Date-Received]]</f>
        <v>12</v>
      </c>
      <c r="N54" s="6">
        <f>Table4[[#This Row],[Margin-Unit]]/Table4[[#This Row],[Unit-Price]]</f>
        <v>0.29563224588837961</v>
      </c>
    </row>
    <row r="55" spans="1:14" x14ac:dyDescent="0.3">
      <c r="A55" t="s">
        <v>96</v>
      </c>
      <c r="B55" t="s">
        <v>43</v>
      </c>
      <c r="C55" t="s">
        <v>35</v>
      </c>
      <c r="D55" t="s">
        <v>40</v>
      </c>
      <c r="E55" t="s">
        <v>41</v>
      </c>
      <c r="F55">
        <v>322</v>
      </c>
      <c r="G55" s="3">
        <v>313.48</v>
      </c>
      <c r="H55" s="1">
        <v>45660</v>
      </c>
      <c r="I55" s="1">
        <v>45679</v>
      </c>
      <c r="J55" s="3">
        <v>44.03</v>
      </c>
      <c r="K55" s="2">
        <f>Table4[[#This Row],[Stock-Quantity]]*Table4[[#This Row],[Unit-Price]]</f>
        <v>100940.56000000001</v>
      </c>
      <c r="L55" s="2">
        <f>Table4[[#This Row],[Stock-Quantity]]*Table4[[#This Row],[Margin-Unit]]</f>
        <v>14177.66</v>
      </c>
      <c r="M55">
        <f>Table4[[#This Row],[Date-Sales]]-Table4[[#This Row],[Date-Received]]</f>
        <v>19</v>
      </c>
      <c r="N55" s="6">
        <f>Table4[[#This Row],[Margin-Unit]]/Table4[[#This Row],[Unit-Price]]</f>
        <v>0.14045553145336226</v>
      </c>
    </row>
    <row r="56" spans="1:14" x14ac:dyDescent="0.3">
      <c r="A56" t="s">
        <v>97</v>
      </c>
      <c r="B56" t="s">
        <v>28</v>
      </c>
      <c r="C56" t="s">
        <v>29</v>
      </c>
      <c r="D56" t="s">
        <v>18</v>
      </c>
      <c r="E56" t="s">
        <v>19</v>
      </c>
      <c r="F56">
        <v>447</v>
      </c>
      <c r="G56" s="3">
        <v>487.79</v>
      </c>
      <c r="H56" s="1">
        <v>45765</v>
      </c>
      <c r="I56" s="1">
        <v>45773</v>
      </c>
      <c r="J56" s="3">
        <v>115.47</v>
      </c>
      <c r="K56" s="2">
        <f>Table4[[#This Row],[Stock-Quantity]]*Table4[[#This Row],[Unit-Price]]</f>
        <v>218042.13</v>
      </c>
      <c r="L56" s="2">
        <f>Table4[[#This Row],[Stock-Quantity]]*Table4[[#This Row],[Margin-Unit]]</f>
        <v>51615.09</v>
      </c>
      <c r="M56">
        <f>Table4[[#This Row],[Date-Sales]]-Table4[[#This Row],[Date-Received]]</f>
        <v>8</v>
      </c>
      <c r="N56" s="6">
        <f>Table4[[#This Row],[Margin-Unit]]/Table4[[#This Row],[Unit-Price]]</f>
        <v>0.23672071998195943</v>
      </c>
    </row>
    <row r="57" spans="1:14" x14ac:dyDescent="0.3">
      <c r="A57" t="s">
        <v>98</v>
      </c>
      <c r="B57" t="s">
        <v>52</v>
      </c>
      <c r="C57" t="s">
        <v>12</v>
      </c>
      <c r="D57" t="s">
        <v>40</v>
      </c>
      <c r="E57" t="s">
        <v>41</v>
      </c>
      <c r="F57">
        <v>318</v>
      </c>
      <c r="G57" s="3">
        <v>229.71</v>
      </c>
      <c r="H57" s="1">
        <v>45735</v>
      </c>
      <c r="I57" s="1">
        <v>45750</v>
      </c>
      <c r="J57" s="3">
        <v>28.08</v>
      </c>
      <c r="K57" s="2">
        <f>Table4[[#This Row],[Stock-Quantity]]*Table4[[#This Row],[Unit-Price]]</f>
        <v>73047.78</v>
      </c>
      <c r="L57" s="2">
        <f>Table4[[#This Row],[Stock-Quantity]]*Table4[[#This Row],[Margin-Unit]]</f>
        <v>8929.4399999999987</v>
      </c>
      <c r="M57">
        <f>Table4[[#This Row],[Date-Sales]]-Table4[[#This Row],[Date-Received]]</f>
        <v>15</v>
      </c>
      <c r="N57" s="6">
        <f>Table4[[#This Row],[Margin-Unit]]/Table4[[#This Row],[Unit-Price]]</f>
        <v>0.12224108658743632</v>
      </c>
    </row>
    <row r="58" spans="1:14" x14ac:dyDescent="0.3">
      <c r="A58" t="s">
        <v>99</v>
      </c>
      <c r="B58" t="s">
        <v>21</v>
      </c>
      <c r="C58" t="s">
        <v>22</v>
      </c>
      <c r="D58" t="s">
        <v>30</v>
      </c>
      <c r="E58" t="s">
        <v>31</v>
      </c>
      <c r="F58">
        <v>478</v>
      </c>
      <c r="G58" s="3">
        <v>50.02</v>
      </c>
      <c r="H58" s="1">
        <v>45679</v>
      </c>
      <c r="I58" s="1">
        <v>45701</v>
      </c>
      <c r="J58" s="3">
        <v>5.91</v>
      </c>
      <c r="K58" s="2">
        <f>Table4[[#This Row],[Stock-Quantity]]*Table4[[#This Row],[Unit-Price]]</f>
        <v>23909.56</v>
      </c>
      <c r="L58" s="2">
        <f>Table4[[#This Row],[Stock-Quantity]]*Table4[[#This Row],[Margin-Unit]]</f>
        <v>2824.98</v>
      </c>
      <c r="M58">
        <f>Table4[[#This Row],[Date-Sales]]-Table4[[#This Row],[Date-Received]]</f>
        <v>22</v>
      </c>
      <c r="N58" s="6">
        <f>Table4[[#This Row],[Margin-Unit]]/Table4[[#This Row],[Unit-Price]]</f>
        <v>0.11815273890443823</v>
      </c>
    </row>
    <row r="59" spans="1:14" x14ac:dyDescent="0.3">
      <c r="A59" t="s">
        <v>100</v>
      </c>
      <c r="B59" t="s">
        <v>24</v>
      </c>
      <c r="C59" t="s">
        <v>22</v>
      </c>
      <c r="D59" t="s">
        <v>18</v>
      </c>
      <c r="E59" t="s">
        <v>19</v>
      </c>
      <c r="F59">
        <v>474</v>
      </c>
      <c r="G59" s="3">
        <v>186.33</v>
      </c>
      <c r="H59" s="1">
        <v>45732</v>
      </c>
      <c r="I59" s="1">
        <v>45740</v>
      </c>
      <c r="J59" s="3">
        <v>28.36</v>
      </c>
      <c r="K59" s="2">
        <f>Table4[[#This Row],[Stock-Quantity]]*Table4[[#This Row],[Unit-Price]]</f>
        <v>88320.420000000013</v>
      </c>
      <c r="L59" s="2">
        <f>Table4[[#This Row],[Stock-Quantity]]*Table4[[#This Row],[Margin-Unit]]</f>
        <v>13442.64</v>
      </c>
      <c r="M59">
        <f>Table4[[#This Row],[Date-Sales]]-Table4[[#This Row],[Date-Received]]</f>
        <v>8</v>
      </c>
      <c r="N59" s="6">
        <f>Table4[[#This Row],[Margin-Unit]]/Table4[[#This Row],[Unit-Price]]</f>
        <v>0.15220308055600279</v>
      </c>
    </row>
    <row r="60" spans="1:14" x14ac:dyDescent="0.3">
      <c r="A60" t="s">
        <v>101</v>
      </c>
      <c r="B60" t="s">
        <v>70</v>
      </c>
      <c r="C60" t="s">
        <v>35</v>
      </c>
      <c r="D60" t="s">
        <v>25</v>
      </c>
      <c r="E60" t="s">
        <v>26</v>
      </c>
      <c r="F60">
        <v>419</v>
      </c>
      <c r="G60" s="3">
        <v>28.32</v>
      </c>
      <c r="H60" s="1">
        <v>45676</v>
      </c>
      <c r="I60" s="1">
        <v>45705</v>
      </c>
      <c r="J60" s="3">
        <v>4.1900000000000004</v>
      </c>
      <c r="K60" s="2">
        <f>Table4[[#This Row],[Stock-Quantity]]*Table4[[#This Row],[Unit-Price]]</f>
        <v>11866.08</v>
      </c>
      <c r="L60" s="2">
        <f>Table4[[#This Row],[Stock-Quantity]]*Table4[[#This Row],[Margin-Unit]]</f>
        <v>1755.6100000000001</v>
      </c>
      <c r="M60">
        <f>Table4[[#This Row],[Date-Sales]]-Table4[[#This Row],[Date-Received]]</f>
        <v>29</v>
      </c>
      <c r="N60" s="6">
        <f>Table4[[#This Row],[Margin-Unit]]/Table4[[#This Row],[Unit-Price]]</f>
        <v>0.14795197740112995</v>
      </c>
    </row>
    <row r="61" spans="1:14" x14ac:dyDescent="0.3">
      <c r="A61" t="s">
        <v>102</v>
      </c>
      <c r="B61" t="s">
        <v>80</v>
      </c>
      <c r="C61" t="s">
        <v>29</v>
      </c>
      <c r="D61" t="s">
        <v>40</v>
      </c>
      <c r="E61" t="s">
        <v>41</v>
      </c>
      <c r="F61">
        <v>423</v>
      </c>
      <c r="G61" s="3">
        <v>120.39</v>
      </c>
      <c r="H61" s="1">
        <v>45725</v>
      </c>
      <c r="I61" s="1">
        <v>45731</v>
      </c>
      <c r="J61" s="3">
        <v>35.450000000000003</v>
      </c>
      <c r="K61" s="2">
        <f>Table4[[#This Row],[Stock-Quantity]]*Table4[[#This Row],[Unit-Price]]</f>
        <v>50924.97</v>
      </c>
      <c r="L61" s="2">
        <f>Table4[[#This Row],[Stock-Quantity]]*Table4[[#This Row],[Margin-Unit]]</f>
        <v>14995.35</v>
      </c>
      <c r="M61">
        <f>Table4[[#This Row],[Date-Sales]]-Table4[[#This Row],[Date-Received]]</f>
        <v>6</v>
      </c>
      <c r="N61" s="6">
        <f>Table4[[#This Row],[Margin-Unit]]/Table4[[#This Row],[Unit-Price]]</f>
        <v>0.29445967273029322</v>
      </c>
    </row>
    <row r="62" spans="1:14" x14ac:dyDescent="0.3">
      <c r="A62" t="s">
        <v>103</v>
      </c>
      <c r="B62" t="s">
        <v>37</v>
      </c>
      <c r="C62" t="s">
        <v>22</v>
      </c>
      <c r="D62" t="s">
        <v>25</v>
      </c>
      <c r="E62" t="s">
        <v>26</v>
      </c>
      <c r="F62">
        <v>460</v>
      </c>
      <c r="G62" s="3">
        <v>404.06</v>
      </c>
      <c r="H62" s="1">
        <v>45691</v>
      </c>
      <c r="I62" s="1">
        <v>45719</v>
      </c>
      <c r="J62" s="3">
        <v>79.930000000000007</v>
      </c>
      <c r="K62" s="2">
        <f>Table4[[#This Row],[Stock-Quantity]]*Table4[[#This Row],[Unit-Price]]</f>
        <v>185867.6</v>
      </c>
      <c r="L62" s="2">
        <f>Table4[[#This Row],[Stock-Quantity]]*Table4[[#This Row],[Margin-Unit]]</f>
        <v>36767.800000000003</v>
      </c>
      <c r="M62">
        <f>Table4[[#This Row],[Date-Sales]]-Table4[[#This Row],[Date-Received]]</f>
        <v>28</v>
      </c>
      <c r="N62" s="6">
        <f>Table4[[#This Row],[Margin-Unit]]/Table4[[#This Row],[Unit-Price]]</f>
        <v>0.19781715586794041</v>
      </c>
    </row>
    <row r="63" spans="1:14" x14ac:dyDescent="0.3">
      <c r="A63" t="s">
        <v>104</v>
      </c>
      <c r="B63" t="s">
        <v>52</v>
      </c>
      <c r="C63" t="s">
        <v>12</v>
      </c>
      <c r="D63" t="s">
        <v>30</v>
      </c>
      <c r="E63" t="s">
        <v>31</v>
      </c>
      <c r="F63">
        <v>474</v>
      </c>
      <c r="G63" s="3">
        <v>66.84</v>
      </c>
      <c r="H63" s="1">
        <v>45774</v>
      </c>
      <c r="I63" s="1">
        <v>45789</v>
      </c>
      <c r="J63" s="3">
        <v>12.46</v>
      </c>
      <c r="K63" s="2">
        <f>Table4[[#This Row],[Stock-Quantity]]*Table4[[#This Row],[Unit-Price]]</f>
        <v>31682.16</v>
      </c>
      <c r="L63" s="2">
        <f>Table4[[#This Row],[Stock-Quantity]]*Table4[[#This Row],[Margin-Unit]]</f>
        <v>5906.04</v>
      </c>
      <c r="M63">
        <f>Table4[[#This Row],[Date-Sales]]-Table4[[#This Row],[Date-Received]]</f>
        <v>15</v>
      </c>
      <c r="N63" s="6">
        <f>Table4[[#This Row],[Margin-Unit]]/Table4[[#This Row],[Unit-Price]]</f>
        <v>0.18641532016756435</v>
      </c>
    </row>
    <row r="64" spans="1:14" x14ac:dyDescent="0.3">
      <c r="A64" t="s">
        <v>105</v>
      </c>
      <c r="B64" t="s">
        <v>106</v>
      </c>
      <c r="C64" t="s">
        <v>17</v>
      </c>
      <c r="D64" t="s">
        <v>30</v>
      </c>
      <c r="E64" t="s">
        <v>31</v>
      </c>
      <c r="F64">
        <v>352</v>
      </c>
      <c r="G64" s="3">
        <v>63.87</v>
      </c>
      <c r="H64" s="1">
        <v>45806</v>
      </c>
      <c r="I64" s="1">
        <v>45812</v>
      </c>
      <c r="J64" s="3">
        <v>9.17</v>
      </c>
      <c r="K64" s="2">
        <f>Table4[[#This Row],[Stock-Quantity]]*Table4[[#This Row],[Unit-Price]]</f>
        <v>22482.239999999998</v>
      </c>
      <c r="L64" s="2">
        <f>Table4[[#This Row],[Stock-Quantity]]*Table4[[#This Row],[Margin-Unit]]</f>
        <v>3227.84</v>
      </c>
      <c r="M64">
        <f>Table4[[#This Row],[Date-Sales]]-Table4[[#This Row],[Date-Received]]</f>
        <v>6</v>
      </c>
      <c r="N64" s="6">
        <f>Table4[[#This Row],[Margin-Unit]]/Table4[[#This Row],[Unit-Price]]</f>
        <v>0.14357288241741037</v>
      </c>
    </row>
    <row r="65" spans="1:14" x14ac:dyDescent="0.3">
      <c r="A65" t="s">
        <v>107</v>
      </c>
      <c r="B65" t="s">
        <v>11</v>
      </c>
      <c r="C65" t="s">
        <v>12</v>
      </c>
      <c r="D65" t="s">
        <v>25</v>
      </c>
      <c r="E65" t="s">
        <v>26</v>
      </c>
      <c r="F65">
        <v>255</v>
      </c>
      <c r="G65" s="3">
        <v>491.89</v>
      </c>
      <c r="H65" s="1">
        <v>45833</v>
      </c>
      <c r="I65" s="1">
        <v>45858</v>
      </c>
      <c r="J65" s="3">
        <v>118.69</v>
      </c>
      <c r="K65" s="2">
        <f>Table4[[#This Row],[Stock-Quantity]]*Table4[[#This Row],[Unit-Price]]</f>
        <v>125431.95</v>
      </c>
      <c r="L65" s="2">
        <f>Table4[[#This Row],[Stock-Quantity]]*Table4[[#This Row],[Margin-Unit]]</f>
        <v>30265.95</v>
      </c>
      <c r="M65">
        <f>Table4[[#This Row],[Date-Sales]]-Table4[[#This Row],[Date-Received]]</f>
        <v>25</v>
      </c>
      <c r="N65" s="6">
        <f>Table4[[#This Row],[Margin-Unit]]/Table4[[#This Row],[Unit-Price]]</f>
        <v>0.24129378519587713</v>
      </c>
    </row>
    <row r="66" spans="1:14" x14ac:dyDescent="0.3">
      <c r="A66" t="s">
        <v>108</v>
      </c>
      <c r="B66" t="s">
        <v>94</v>
      </c>
      <c r="C66" t="s">
        <v>29</v>
      </c>
      <c r="D66" t="s">
        <v>30</v>
      </c>
      <c r="E66" t="s">
        <v>31</v>
      </c>
      <c r="F66">
        <v>54</v>
      </c>
      <c r="G66" s="3">
        <v>137.6</v>
      </c>
      <c r="H66" s="1">
        <v>45803</v>
      </c>
      <c r="I66" s="1">
        <v>45807</v>
      </c>
      <c r="J66" s="3">
        <v>24.62</v>
      </c>
      <c r="K66" s="2">
        <f>Table4[[#This Row],[Stock-Quantity]]*Table4[[#This Row],[Unit-Price]]</f>
        <v>7430.4</v>
      </c>
      <c r="L66" s="2">
        <f>Table4[[#This Row],[Stock-Quantity]]*Table4[[#This Row],[Margin-Unit]]</f>
        <v>1329.48</v>
      </c>
      <c r="M66">
        <f>Table4[[#This Row],[Date-Sales]]-Table4[[#This Row],[Date-Received]]</f>
        <v>4</v>
      </c>
      <c r="N66" s="6">
        <f>Table4[[#This Row],[Margin-Unit]]/Table4[[#This Row],[Unit-Price]]</f>
        <v>0.17892441860465116</v>
      </c>
    </row>
    <row r="67" spans="1:14" x14ac:dyDescent="0.3">
      <c r="A67" t="s">
        <v>109</v>
      </c>
      <c r="B67" t="s">
        <v>16</v>
      </c>
      <c r="C67" t="s">
        <v>17</v>
      </c>
      <c r="D67" t="s">
        <v>25</v>
      </c>
      <c r="E67" t="s">
        <v>26</v>
      </c>
      <c r="F67">
        <v>419</v>
      </c>
      <c r="G67" s="3">
        <v>231.56</v>
      </c>
      <c r="H67" s="1">
        <v>45666</v>
      </c>
      <c r="I67" s="1">
        <v>45683</v>
      </c>
      <c r="J67" s="3">
        <v>58.8</v>
      </c>
      <c r="K67" s="2">
        <f>Table4[[#This Row],[Stock-Quantity]]*Table4[[#This Row],[Unit-Price]]</f>
        <v>97023.64</v>
      </c>
      <c r="L67" s="2">
        <f>Table4[[#This Row],[Stock-Quantity]]*Table4[[#This Row],[Margin-Unit]]</f>
        <v>24637.199999999997</v>
      </c>
      <c r="M67">
        <f>Table4[[#This Row],[Date-Sales]]-Table4[[#This Row],[Date-Received]]</f>
        <v>17</v>
      </c>
      <c r="N67" s="6">
        <f>Table4[[#This Row],[Margin-Unit]]/Table4[[#This Row],[Unit-Price]]</f>
        <v>0.25392986698911729</v>
      </c>
    </row>
    <row r="68" spans="1:14" x14ac:dyDescent="0.3">
      <c r="A68" t="s">
        <v>110</v>
      </c>
      <c r="B68" t="s">
        <v>39</v>
      </c>
      <c r="C68" t="s">
        <v>12</v>
      </c>
      <c r="D68" t="s">
        <v>25</v>
      </c>
      <c r="E68" t="s">
        <v>26</v>
      </c>
      <c r="F68">
        <v>302</v>
      </c>
      <c r="G68" s="3">
        <v>18.309999999999999</v>
      </c>
      <c r="H68" s="1">
        <v>45826</v>
      </c>
      <c r="I68" s="1">
        <v>45836</v>
      </c>
      <c r="J68" s="3">
        <v>5.17</v>
      </c>
      <c r="K68" s="2">
        <f>Table4[[#This Row],[Stock-Quantity]]*Table4[[#This Row],[Unit-Price]]</f>
        <v>5529.62</v>
      </c>
      <c r="L68" s="2">
        <f>Table4[[#This Row],[Stock-Quantity]]*Table4[[#This Row],[Margin-Unit]]</f>
        <v>1561.34</v>
      </c>
      <c r="M68">
        <f>Table4[[#This Row],[Date-Sales]]-Table4[[#This Row],[Date-Received]]</f>
        <v>10</v>
      </c>
      <c r="N68" s="6">
        <f>Table4[[#This Row],[Margin-Unit]]/Table4[[#This Row],[Unit-Price]]</f>
        <v>0.2823593664664118</v>
      </c>
    </row>
    <row r="69" spans="1:14" x14ac:dyDescent="0.3">
      <c r="A69" t="s">
        <v>111</v>
      </c>
      <c r="B69" t="s">
        <v>28</v>
      </c>
      <c r="C69" t="s">
        <v>29</v>
      </c>
      <c r="D69" t="s">
        <v>13</v>
      </c>
      <c r="E69" t="s">
        <v>14</v>
      </c>
      <c r="F69">
        <v>57</v>
      </c>
      <c r="G69" s="3">
        <v>457.4</v>
      </c>
      <c r="H69" s="1">
        <v>45802</v>
      </c>
      <c r="I69" s="1">
        <v>45804</v>
      </c>
      <c r="J69" s="3">
        <v>53.06</v>
      </c>
      <c r="K69" s="2">
        <f>Table4[[#This Row],[Stock-Quantity]]*Table4[[#This Row],[Unit-Price]]</f>
        <v>26071.8</v>
      </c>
      <c r="L69" s="2">
        <f>Table4[[#This Row],[Stock-Quantity]]*Table4[[#This Row],[Margin-Unit]]</f>
        <v>3024.42</v>
      </c>
      <c r="M69">
        <f>Table4[[#This Row],[Date-Sales]]-Table4[[#This Row],[Date-Received]]</f>
        <v>2</v>
      </c>
      <c r="N69" s="6">
        <f>Table4[[#This Row],[Margin-Unit]]/Table4[[#This Row],[Unit-Price]]</f>
        <v>0.11600349803235681</v>
      </c>
    </row>
    <row r="70" spans="1:14" x14ac:dyDescent="0.3">
      <c r="A70" t="s">
        <v>112</v>
      </c>
      <c r="B70" t="s">
        <v>106</v>
      </c>
      <c r="C70" t="s">
        <v>17</v>
      </c>
      <c r="D70" t="s">
        <v>40</v>
      </c>
      <c r="E70" t="s">
        <v>41</v>
      </c>
      <c r="F70">
        <v>440</v>
      </c>
      <c r="G70" s="3">
        <v>201.11</v>
      </c>
      <c r="H70" s="1">
        <v>45820</v>
      </c>
      <c r="I70" s="1">
        <v>45848</v>
      </c>
      <c r="J70" s="3">
        <v>31.57</v>
      </c>
      <c r="K70" s="2">
        <f>Table4[[#This Row],[Stock-Quantity]]*Table4[[#This Row],[Unit-Price]]</f>
        <v>88488.400000000009</v>
      </c>
      <c r="L70" s="2">
        <f>Table4[[#This Row],[Stock-Quantity]]*Table4[[#This Row],[Margin-Unit]]</f>
        <v>13890.8</v>
      </c>
      <c r="M70">
        <f>Table4[[#This Row],[Date-Sales]]-Table4[[#This Row],[Date-Received]]</f>
        <v>28</v>
      </c>
      <c r="N70" s="6">
        <f>Table4[[#This Row],[Margin-Unit]]/Table4[[#This Row],[Unit-Price]]</f>
        <v>0.15697876783849635</v>
      </c>
    </row>
    <row r="71" spans="1:14" x14ac:dyDescent="0.3">
      <c r="A71" t="s">
        <v>113</v>
      </c>
      <c r="B71" t="s">
        <v>94</v>
      </c>
      <c r="C71" t="s">
        <v>29</v>
      </c>
      <c r="D71" t="s">
        <v>30</v>
      </c>
      <c r="E71" t="s">
        <v>31</v>
      </c>
      <c r="F71">
        <v>173</v>
      </c>
      <c r="G71" s="3">
        <v>341.28</v>
      </c>
      <c r="H71" s="1">
        <v>45782</v>
      </c>
      <c r="I71" s="1">
        <v>45800</v>
      </c>
      <c r="J71" s="3">
        <v>52.22</v>
      </c>
      <c r="K71" s="2">
        <f>Table4[[#This Row],[Stock-Quantity]]*Table4[[#This Row],[Unit-Price]]</f>
        <v>59041.439999999995</v>
      </c>
      <c r="L71" s="2">
        <f>Table4[[#This Row],[Stock-Quantity]]*Table4[[#This Row],[Margin-Unit]]</f>
        <v>9034.06</v>
      </c>
      <c r="M71">
        <f>Table4[[#This Row],[Date-Sales]]-Table4[[#This Row],[Date-Received]]</f>
        <v>18</v>
      </c>
      <c r="N71" s="6">
        <f>Table4[[#This Row],[Margin-Unit]]/Table4[[#This Row],[Unit-Price]]</f>
        <v>0.15301218940459449</v>
      </c>
    </row>
    <row r="72" spans="1:14" x14ac:dyDescent="0.3">
      <c r="A72" t="s">
        <v>114</v>
      </c>
      <c r="B72" t="s">
        <v>94</v>
      </c>
      <c r="C72" t="s">
        <v>29</v>
      </c>
      <c r="D72" t="s">
        <v>18</v>
      </c>
      <c r="E72" t="s">
        <v>19</v>
      </c>
      <c r="F72">
        <v>452</v>
      </c>
      <c r="G72" s="3">
        <v>44.61</v>
      </c>
      <c r="H72" s="1">
        <v>45708</v>
      </c>
      <c r="I72" s="1">
        <v>45710</v>
      </c>
      <c r="J72" s="3">
        <v>11.36</v>
      </c>
      <c r="K72" s="2">
        <f>Table4[[#This Row],[Stock-Quantity]]*Table4[[#This Row],[Unit-Price]]</f>
        <v>20163.72</v>
      </c>
      <c r="L72" s="2">
        <f>Table4[[#This Row],[Stock-Quantity]]*Table4[[#This Row],[Margin-Unit]]</f>
        <v>5134.7199999999993</v>
      </c>
      <c r="M72">
        <f>Table4[[#This Row],[Date-Sales]]-Table4[[#This Row],[Date-Received]]</f>
        <v>2</v>
      </c>
      <c r="N72" s="6">
        <f>Table4[[#This Row],[Margin-Unit]]/Table4[[#This Row],[Unit-Price]]</f>
        <v>0.25465142344765745</v>
      </c>
    </row>
    <row r="73" spans="1:14" x14ac:dyDescent="0.3">
      <c r="A73" t="s">
        <v>115</v>
      </c>
      <c r="B73" t="s">
        <v>116</v>
      </c>
      <c r="C73" t="s">
        <v>12</v>
      </c>
      <c r="D73" t="s">
        <v>13</v>
      </c>
      <c r="E73" t="s">
        <v>14</v>
      </c>
      <c r="F73">
        <v>252</v>
      </c>
      <c r="G73" s="3">
        <v>204.66</v>
      </c>
      <c r="H73" s="1">
        <v>45749</v>
      </c>
      <c r="I73" s="1">
        <v>45771</v>
      </c>
      <c r="J73" s="3">
        <v>53.49</v>
      </c>
      <c r="K73" s="2">
        <f>Table4[[#This Row],[Stock-Quantity]]*Table4[[#This Row],[Unit-Price]]</f>
        <v>51574.32</v>
      </c>
      <c r="L73" s="2">
        <f>Table4[[#This Row],[Stock-Quantity]]*Table4[[#This Row],[Margin-Unit]]</f>
        <v>13479.480000000001</v>
      </c>
      <c r="M73">
        <f>Table4[[#This Row],[Date-Sales]]-Table4[[#This Row],[Date-Received]]</f>
        <v>22</v>
      </c>
      <c r="N73" s="6">
        <f>Table4[[#This Row],[Margin-Unit]]/Table4[[#This Row],[Unit-Price]]</f>
        <v>0.26136030489592499</v>
      </c>
    </row>
    <row r="74" spans="1:14" x14ac:dyDescent="0.3">
      <c r="A74" t="s">
        <v>117</v>
      </c>
      <c r="B74" t="s">
        <v>43</v>
      </c>
      <c r="C74" t="s">
        <v>35</v>
      </c>
      <c r="D74" t="s">
        <v>25</v>
      </c>
      <c r="E74" t="s">
        <v>26</v>
      </c>
      <c r="F74">
        <v>253</v>
      </c>
      <c r="G74" s="3">
        <v>172.14</v>
      </c>
      <c r="H74" s="1">
        <v>45696</v>
      </c>
      <c r="I74" s="1">
        <v>45699</v>
      </c>
      <c r="J74" s="3">
        <v>24.59</v>
      </c>
      <c r="K74" s="2">
        <f>Table4[[#This Row],[Stock-Quantity]]*Table4[[#This Row],[Unit-Price]]</f>
        <v>43551.42</v>
      </c>
      <c r="L74" s="2">
        <f>Table4[[#This Row],[Stock-Quantity]]*Table4[[#This Row],[Margin-Unit]]</f>
        <v>6221.2699999999995</v>
      </c>
      <c r="M74">
        <f>Table4[[#This Row],[Date-Sales]]-Table4[[#This Row],[Date-Received]]</f>
        <v>3</v>
      </c>
      <c r="N74" s="6">
        <f>Table4[[#This Row],[Margin-Unit]]/Table4[[#This Row],[Unit-Price]]</f>
        <v>0.14284884396421518</v>
      </c>
    </row>
    <row r="75" spans="1:14" x14ac:dyDescent="0.3">
      <c r="A75" t="s">
        <v>118</v>
      </c>
      <c r="B75" t="s">
        <v>11</v>
      </c>
      <c r="C75" t="s">
        <v>12</v>
      </c>
      <c r="D75" t="s">
        <v>40</v>
      </c>
      <c r="E75" t="s">
        <v>41</v>
      </c>
      <c r="F75">
        <v>87</v>
      </c>
      <c r="G75" s="3">
        <v>194.85</v>
      </c>
      <c r="H75" s="1">
        <v>45727</v>
      </c>
      <c r="I75" s="1">
        <v>45748</v>
      </c>
      <c r="J75" s="3">
        <v>23.44</v>
      </c>
      <c r="K75" s="2">
        <f>Table4[[#This Row],[Stock-Quantity]]*Table4[[#This Row],[Unit-Price]]</f>
        <v>16951.95</v>
      </c>
      <c r="L75" s="2">
        <f>Table4[[#This Row],[Stock-Quantity]]*Table4[[#This Row],[Margin-Unit]]</f>
        <v>2039.2800000000002</v>
      </c>
      <c r="M75">
        <f>Table4[[#This Row],[Date-Sales]]-Table4[[#This Row],[Date-Received]]</f>
        <v>21</v>
      </c>
      <c r="N75" s="6">
        <f>Table4[[#This Row],[Margin-Unit]]/Table4[[#This Row],[Unit-Price]]</f>
        <v>0.12029766487041314</v>
      </c>
    </row>
    <row r="76" spans="1:14" x14ac:dyDescent="0.3">
      <c r="A76" t="s">
        <v>119</v>
      </c>
      <c r="B76" t="s">
        <v>24</v>
      </c>
      <c r="C76" t="s">
        <v>22</v>
      </c>
      <c r="D76" t="s">
        <v>40</v>
      </c>
      <c r="E76" t="s">
        <v>41</v>
      </c>
      <c r="F76">
        <v>227</v>
      </c>
      <c r="G76" s="3">
        <v>322.98</v>
      </c>
      <c r="H76" s="1">
        <v>45820</v>
      </c>
      <c r="I76" s="1">
        <v>45827</v>
      </c>
      <c r="J76" s="3">
        <v>43.52</v>
      </c>
      <c r="K76" s="2">
        <f>Table4[[#This Row],[Stock-Quantity]]*Table4[[#This Row],[Unit-Price]]</f>
        <v>73316.460000000006</v>
      </c>
      <c r="L76" s="2">
        <f>Table4[[#This Row],[Stock-Quantity]]*Table4[[#This Row],[Margin-Unit]]</f>
        <v>9879.0400000000009</v>
      </c>
      <c r="M76">
        <f>Table4[[#This Row],[Date-Sales]]-Table4[[#This Row],[Date-Received]]</f>
        <v>7</v>
      </c>
      <c r="N76" s="6">
        <f>Table4[[#This Row],[Margin-Unit]]/Table4[[#This Row],[Unit-Price]]</f>
        <v>0.13474518546040001</v>
      </c>
    </row>
    <row r="77" spans="1:14" x14ac:dyDescent="0.3">
      <c r="A77" t="s">
        <v>120</v>
      </c>
      <c r="B77" t="s">
        <v>34</v>
      </c>
      <c r="C77" t="s">
        <v>35</v>
      </c>
      <c r="D77" t="s">
        <v>30</v>
      </c>
      <c r="E77" t="s">
        <v>31</v>
      </c>
      <c r="F77">
        <v>174</v>
      </c>
      <c r="G77" s="3">
        <v>437.62</v>
      </c>
      <c r="H77" s="1">
        <v>45768</v>
      </c>
      <c r="I77" s="1">
        <v>45786</v>
      </c>
      <c r="J77" s="3">
        <v>45.09</v>
      </c>
      <c r="K77" s="2">
        <f>Table4[[#This Row],[Stock-Quantity]]*Table4[[#This Row],[Unit-Price]]</f>
        <v>76145.88</v>
      </c>
      <c r="L77" s="2">
        <f>Table4[[#This Row],[Stock-Quantity]]*Table4[[#This Row],[Margin-Unit]]</f>
        <v>7845.6600000000008</v>
      </c>
      <c r="M77">
        <f>Table4[[#This Row],[Date-Sales]]-Table4[[#This Row],[Date-Received]]</f>
        <v>18</v>
      </c>
      <c r="N77" s="6">
        <f>Table4[[#This Row],[Margin-Unit]]/Table4[[#This Row],[Unit-Price]]</f>
        <v>0.10303459622503543</v>
      </c>
    </row>
    <row r="78" spans="1:14" x14ac:dyDescent="0.3">
      <c r="A78" t="s">
        <v>121</v>
      </c>
      <c r="B78" t="s">
        <v>28</v>
      </c>
      <c r="C78" t="s">
        <v>29</v>
      </c>
      <c r="D78" t="s">
        <v>25</v>
      </c>
      <c r="E78" t="s">
        <v>26</v>
      </c>
      <c r="F78">
        <v>452</v>
      </c>
      <c r="G78" s="3">
        <v>72.48</v>
      </c>
      <c r="H78" s="1">
        <v>45678</v>
      </c>
      <c r="I78" s="1">
        <v>45687</v>
      </c>
      <c r="J78" s="3">
        <v>15.11</v>
      </c>
      <c r="K78" s="2">
        <f>Table4[[#This Row],[Stock-Quantity]]*Table4[[#This Row],[Unit-Price]]</f>
        <v>32760.960000000003</v>
      </c>
      <c r="L78" s="2">
        <f>Table4[[#This Row],[Stock-Quantity]]*Table4[[#This Row],[Margin-Unit]]</f>
        <v>6829.7199999999993</v>
      </c>
      <c r="M78">
        <f>Table4[[#This Row],[Date-Sales]]-Table4[[#This Row],[Date-Received]]</f>
        <v>9</v>
      </c>
      <c r="N78" s="6">
        <f>Table4[[#This Row],[Margin-Unit]]/Table4[[#This Row],[Unit-Price]]</f>
        <v>0.20847130242825604</v>
      </c>
    </row>
    <row r="79" spans="1:14" x14ac:dyDescent="0.3">
      <c r="A79" t="s">
        <v>122</v>
      </c>
      <c r="B79" t="s">
        <v>116</v>
      </c>
      <c r="C79" t="s">
        <v>12</v>
      </c>
      <c r="D79" t="s">
        <v>13</v>
      </c>
      <c r="E79" t="s">
        <v>14</v>
      </c>
      <c r="F79">
        <v>347</v>
      </c>
      <c r="G79" s="3">
        <v>74</v>
      </c>
      <c r="H79" s="1">
        <v>45739</v>
      </c>
      <c r="I79" s="1">
        <v>45747</v>
      </c>
      <c r="J79" s="3">
        <v>16.29</v>
      </c>
      <c r="K79" s="2">
        <f>Table4[[#This Row],[Stock-Quantity]]*Table4[[#This Row],[Unit-Price]]</f>
        <v>25678</v>
      </c>
      <c r="L79" s="2">
        <f>Table4[[#This Row],[Stock-Quantity]]*Table4[[#This Row],[Margin-Unit]]</f>
        <v>5652.63</v>
      </c>
      <c r="M79">
        <f>Table4[[#This Row],[Date-Sales]]-Table4[[#This Row],[Date-Received]]</f>
        <v>8</v>
      </c>
      <c r="N79" s="6">
        <f>Table4[[#This Row],[Margin-Unit]]/Table4[[#This Row],[Unit-Price]]</f>
        <v>0.22013513513513513</v>
      </c>
    </row>
    <row r="80" spans="1:14" x14ac:dyDescent="0.3">
      <c r="A80" t="s">
        <v>123</v>
      </c>
      <c r="B80" t="s">
        <v>34</v>
      </c>
      <c r="C80" t="s">
        <v>35</v>
      </c>
      <c r="D80" t="s">
        <v>40</v>
      </c>
      <c r="E80" t="s">
        <v>41</v>
      </c>
      <c r="F80">
        <v>283</v>
      </c>
      <c r="G80" s="3">
        <v>121.15</v>
      </c>
      <c r="H80" s="1">
        <v>45702</v>
      </c>
      <c r="I80" s="1">
        <v>45723</v>
      </c>
      <c r="J80" s="3">
        <v>15.2</v>
      </c>
      <c r="K80" s="2">
        <f>Table4[[#This Row],[Stock-Quantity]]*Table4[[#This Row],[Unit-Price]]</f>
        <v>34285.450000000004</v>
      </c>
      <c r="L80" s="2">
        <f>Table4[[#This Row],[Stock-Quantity]]*Table4[[#This Row],[Margin-Unit]]</f>
        <v>4301.5999999999995</v>
      </c>
      <c r="M80">
        <f>Table4[[#This Row],[Date-Sales]]-Table4[[#This Row],[Date-Received]]</f>
        <v>21</v>
      </c>
      <c r="N80" s="6">
        <f>Table4[[#This Row],[Margin-Unit]]/Table4[[#This Row],[Unit-Price]]</f>
        <v>0.12546430045398266</v>
      </c>
    </row>
    <row r="81" spans="1:14" x14ac:dyDescent="0.3">
      <c r="A81" t="s">
        <v>124</v>
      </c>
      <c r="B81" t="s">
        <v>94</v>
      </c>
      <c r="C81" t="s">
        <v>29</v>
      </c>
      <c r="D81" t="s">
        <v>18</v>
      </c>
      <c r="E81" t="s">
        <v>19</v>
      </c>
      <c r="F81">
        <v>135</v>
      </c>
      <c r="G81" s="3">
        <v>28.55</v>
      </c>
      <c r="H81" s="1">
        <v>45707</v>
      </c>
      <c r="I81" s="1">
        <v>45708</v>
      </c>
      <c r="J81" s="3">
        <v>6.95</v>
      </c>
      <c r="K81" s="2">
        <f>Table4[[#This Row],[Stock-Quantity]]*Table4[[#This Row],[Unit-Price]]</f>
        <v>3854.25</v>
      </c>
      <c r="L81" s="2">
        <f>Table4[[#This Row],[Stock-Quantity]]*Table4[[#This Row],[Margin-Unit]]</f>
        <v>938.25</v>
      </c>
      <c r="M81">
        <f>Table4[[#This Row],[Date-Sales]]-Table4[[#This Row],[Date-Received]]</f>
        <v>1</v>
      </c>
      <c r="N81" s="6">
        <f>Table4[[#This Row],[Margin-Unit]]/Table4[[#This Row],[Unit-Price]]</f>
        <v>0.24343257443082311</v>
      </c>
    </row>
    <row r="82" spans="1:14" x14ac:dyDescent="0.3">
      <c r="A82" t="s">
        <v>125</v>
      </c>
      <c r="B82" t="s">
        <v>106</v>
      </c>
      <c r="C82" t="s">
        <v>17</v>
      </c>
      <c r="D82" t="s">
        <v>18</v>
      </c>
      <c r="E82" t="s">
        <v>19</v>
      </c>
      <c r="F82">
        <v>282</v>
      </c>
      <c r="G82" s="3">
        <v>139.83000000000001</v>
      </c>
      <c r="H82" s="1">
        <v>45766</v>
      </c>
      <c r="I82" s="1">
        <v>45768</v>
      </c>
      <c r="J82" s="3">
        <v>15.86</v>
      </c>
      <c r="K82" s="2">
        <f>Table4[[#This Row],[Stock-Quantity]]*Table4[[#This Row],[Unit-Price]]</f>
        <v>39432.060000000005</v>
      </c>
      <c r="L82" s="2">
        <f>Table4[[#This Row],[Stock-Quantity]]*Table4[[#This Row],[Margin-Unit]]</f>
        <v>4472.5199999999995</v>
      </c>
      <c r="M82">
        <f>Table4[[#This Row],[Date-Sales]]-Table4[[#This Row],[Date-Received]]</f>
        <v>2</v>
      </c>
      <c r="N82" s="6">
        <f>Table4[[#This Row],[Margin-Unit]]/Table4[[#This Row],[Unit-Price]]</f>
        <v>0.11342344275191302</v>
      </c>
    </row>
    <row r="83" spans="1:14" x14ac:dyDescent="0.3">
      <c r="A83" t="s">
        <v>126</v>
      </c>
      <c r="B83" t="s">
        <v>39</v>
      </c>
      <c r="C83" t="s">
        <v>12</v>
      </c>
      <c r="D83" t="s">
        <v>40</v>
      </c>
      <c r="E83" t="s">
        <v>41</v>
      </c>
      <c r="F83">
        <v>92</v>
      </c>
      <c r="G83" s="3">
        <v>81.5</v>
      </c>
      <c r="H83" s="1">
        <v>45778</v>
      </c>
      <c r="I83" s="1">
        <v>45789</v>
      </c>
      <c r="J83" s="3">
        <v>14.51</v>
      </c>
      <c r="K83" s="2">
        <f>Table4[[#This Row],[Stock-Quantity]]*Table4[[#This Row],[Unit-Price]]</f>
        <v>7498</v>
      </c>
      <c r="L83" s="2">
        <f>Table4[[#This Row],[Stock-Quantity]]*Table4[[#This Row],[Margin-Unit]]</f>
        <v>1334.92</v>
      </c>
      <c r="M83">
        <f>Table4[[#This Row],[Date-Sales]]-Table4[[#This Row],[Date-Received]]</f>
        <v>11</v>
      </c>
      <c r="N83" s="6">
        <f>Table4[[#This Row],[Margin-Unit]]/Table4[[#This Row],[Unit-Price]]</f>
        <v>0.17803680981595091</v>
      </c>
    </row>
    <row r="84" spans="1:14" x14ac:dyDescent="0.3">
      <c r="A84" t="s">
        <v>127</v>
      </c>
      <c r="B84" t="s">
        <v>11</v>
      </c>
      <c r="C84" t="s">
        <v>12</v>
      </c>
      <c r="D84" t="s">
        <v>25</v>
      </c>
      <c r="E84" t="s">
        <v>26</v>
      </c>
      <c r="F84">
        <v>476</v>
      </c>
      <c r="G84" s="3">
        <v>111.51</v>
      </c>
      <c r="H84" s="1">
        <v>45661</v>
      </c>
      <c r="I84" s="1">
        <v>45679</v>
      </c>
      <c r="J84" s="3">
        <v>15.64</v>
      </c>
      <c r="K84" s="2">
        <f>Table4[[#This Row],[Stock-Quantity]]*Table4[[#This Row],[Unit-Price]]</f>
        <v>53078.76</v>
      </c>
      <c r="L84" s="2">
        <f>Table4[[#This Row],[Stock-Quantity]]*Table4[[#This Row],[Margin-Unit]]</f>
        <v>7444.64</v>
      </c>
      <c r="M84">
        <f>Table4[[#This Row],[Date-Sales]]-Table4[[#This Row],[Date-Received]]</f>
        <v>18</v>
      </c>
      <c r="N84" s="6">
        <f>Table4[[#This Row],[Margin-Unit]]/Table4[[#This Row],[Unit-Price]]</f>
        <v>0.14025647923953008</v>
      </c>
    </row>
    <row r="85" spans="1:14" x14ac:dyDescent="0.3">
      <c r="A85" t="s">
        <v>128</v>
      </c>
      <c r="B85" t="s">
        <v>47</v>
      </c>
      <c r="C85" t="s">
        <v>17</v>
      </c>
      <c r="D85" t="s">
        <v>13</v>
      </c>
      <c r="E85" t="s">
        <v>14</v>
      </c>
      <c r="F85">
        <v>217</v>
      </c>
      <c r="G85" s="3">
        <v>465.58</v>
      </c>
      <c r="H85" s="1">
        <v>45674</v>
      </c>
      <c r="I85" s="1">
        <v>45694</v>
      </c>
      <c r="J85" s="3">
        <v>64.709999999999994</v>
      </c>
      <c r="K85" s="2">
        <f>Table4[[#This Row],[Stock-Quantity]]*Table4[[#This Row],[Unit-Price]]</f>
        <v>101030.86</v>
      </c>
      <c r="L85" s="2">
        <f>Table4[[#This Row],[Stock-Quantity]]*Table4[[#This Row],[Margin-Unit]]</f>
        <v>14042.069999999998</v>
      </c>
      <c r="M85">
        <f>Table4[[#This Row],[Date-Sales]]-Table4[[#This Row],[Date-Received]]</f>
        <v>20</v>
      </c>
      <c r="N85" s="6">
        <f>Table4[[#This Row],[Margin-Unit]]/Table4[[#This Row],[Unit-Price]]</f>
        <v>0.13898792903475235</v>
      </c>
    </row>
    <row r="86" spans="1:14" x14ac:dyDescent="0.3">
      <c r="A86" t="s">
        <v>129</v>
      </c>
      <c r="B86" t="s">
        <v>47</v>
      </c>
      <c r="C86" t="s">
        <v>17</v>
      </c>
      <c r="D86" t="s">
        <v>18</v>
      </c>
      <c r="E86" t="s">
        <v>19</v>
      </c>
      <c r="F86">
        <v>411</v>
      </c>
      <c r="G86" s="3">
        <v>110.15</v>
      </c>
      <c r="H86" s="1">
        <v>45801</v>
      </c>
      <c r="I86" s="1">
        <v>45803</v>
      </c>
      <c r="J86" s="3">
        <v>18.600000000000001</v>
      </c>
      <c r="K86" s="2">
        <f>Table4[[#This Row],[Stock-Quantity]]*Table4[[#This Row],[Unit-Price]]</f>
        <v>45271.65</v>
      </c>
      <c r="L86" s="2">
        <f>Table4[[#This Row],[Stock-Quantity]]*Table4[[#This Row],[Margin-Unit]]</f>
        <v>7644.6</v>
      </c>
      <c r="M86">
        <f>Table4[[#This Row],[Date-Sales]]-Table4[[#This Row],[Date-Received]]</f>
        <v>2</v>
      </c>
      <c r="N86" s="6">
        <f>Table4[[#This Row],[Margin-Unit]]/Table4[[#This Row],[Unit-Price]]</f>
        <v>0.16886064457557876</v>
      </c>
    </row>
    <row r="87" spans="1:14" x14ac:dyDescent="0.3">
      <c r="A87" t="s">
        <v>130</v>
      </c>
      <c r="B87" t="s">
        <v>11</v>
      </c>
      <c r="C87" t="s">
        <v>12</v>
      </c>
      <c r="D87" t="s">
        <v>18</v>
      </c>
      <c r="E87" t="s">
        <v>19</v>
      </c>
      <c r="F87">
        <v>62</v>
      </c>
      <c r="G87" s="3">
        <v>263.48</v>
      </c>
      <c r="H87" s="1">
        <v>45829</v>
      </c>
      <c r="I87" s="1">
        <v>45837</v>
      </c>
      <c r="J87" s="3">
        <v>77.73</v>
      </c>
      <c r="K87" s="2">
        <f>Table4[[#This Row],[Stock-Quantity]]*Table4[[#This Row],[Unit-Price]]</f>
        <v>16335.760000000002</v>
      </c>
      <c r="L87" s="2">
        <f>Table4[[#This Row],[Stock-Quantity]]*Table4[[#This Row],[Margin-Unit]]</f>
        <v>4819.26</v>
      </c>
      <c r="M87">
        <f>Table4[[#This Row],[Date-Sales]]-Table4[[#This Row],[Date-Received]]</f>
        <v>8</v>
      </c>
      <c r="N87" s="6">
        <f>Table4[[#This Row],[Margin-Unit]]/Table4[[#This Row],[Unit-Price]]</f>
        <v>0.29501290420525278</v>
      </c>
    </row>
    <row r="88" spans="1:14" x14ac:dyDescent="0.3">
      <c r="A88" t="s">
        <v>131</v>
      </c>
      <c r="B88" t="s">
        <v>16</v>
      </c>
      <c r="C88" t="s">
        <v>17</v>
      </c>
      <c r="D88" t="s">
        <v>25</v>
      </c>
      <c r="E88" t="s">
        <v>26</v>
      </c>
      <c r="F88">
        <v>340</v>
      </c>
      <c r="G88" s="3">
        <v>308.91000000000003</v>
      </c>
      <c r="H88" s="1">
        <v>45782</v>
      </c>
      <c r="I88" s="1">
        <v>45790</v>
      </c>
      <c r="J88" s="3">
        <v>41.42</v>
      </c>
      <c r="K88" s="2">
        <f>Table4[[#This Row],[Stock-Quantity]]*Table4[[#This Row],[Unit-Price]]</f>
        <v>105029.40000000001</v>
      </c>
      <c r="L88" s="2">
        <f>Table4[[#This Row],[Stock-Quantity]]*Table4[[#This Row],[Margin-Unit]]</f>
        <v>14082.800000000001</v>
      </c>
      <c r="M88">
        <f>Table4[[#This Row],[Date-Sales]]-Table4[[#This Row],[Date-Received]]</f>
        <v>8</v>
      </c>
      <c r="N88" s="6">
        <f>Table4[[#This Row],[Margin-Unit]]/Table4[[#This Row],[Unit-Price]]</f>
        <v>0.13408436114078534</v>
      </c>
    </row>
    <row r="89" spans="1:14" x14ac:dyDescent="0.3">
      <c r="A89" t="s">
        <v>132</v>
      </c>
      <c r="B89" t="s">
        <v>21</v>
      </c>
      <c r="C89" t="s">
        <v>22</v>
      </c>
      <c r="D89" t="s">
        <v>25</v>
      </c>
      <c r="E89" t="s">
        <v>26</v>
      </c>
      <c r="F89">
        <v>167</v>
      </c>
      <c r="G89" s="3">
        <v>89.49</v>
      </c>
      <c r="H89" s="1">
        <v>45661</v>
      </c>
      <c r="I89" s="1">
        <v>45685</v>
      </c>
      <c r="J89" s="3">
        <v>13.53</v>
      </c>
      <c r="K89" s="2">
        <f>Table4[[#This Row],[Stock-Quantity]]*Table4[[#This Row],[Unit-Price]]</f>
        <v>14944.83</v>
      </c>
      <c r="L89" s="2">
        <f>Table4[[#This Row],[Stock-Quantity]]*Table4[[#This Row],[Margin-Unit]]</f>
        <v>2259.5099999999998</v>
      </c>
      <c r="M89">
        <f>Table4[[#This Row],[Date-Sales]]-Table4[[#This Row],[Date-Received]]</f>
        <v>24</v>
      </c>
      <c r="N89" s="6">
        <f>Table4[[#This Row],[Margin-Unit]]/Table4[[#This Row],[Unit-Price]]</f>
        <v>0.15119007710358701</v>
      </c>
    </row>
    <row r="90" spans="1:14" x14ac:dyDescent="0.3">
      <c r="A90" t="s">
        <v>133</v>
      </c>
      <c r="B90" t="s">
        <v>70</v>
      </c>
      <c r="C90" t="s">
        <v>35</v>
      </c>
      <c r="D90" t="s">
        <v>30</v>
      </c>
      <c r="E90" t="s">
        <v>31</v>
      </c>
      <c r="F90">
        <v>66</v>
      </c>
      <c r="G90" s="3">
        <v>35.86</v>
      </c>
      <c r="H90" s="1">
        <v>45671</v>
      </c>
      <c r="I90" s="1">
        <v>45685</v>
      </c>
      <c r="J90" s="3">
        <v>7.91</v>
      </c>
      <c r="K90" s="2">
        <f>Table4[[#This Row],[Stock-Quantity]]*Table4[[#This Row],[Unit-Price]]</f>
        <v>2366.7599999999998</v>
      </c>
      <c r="L90" s="2">
        <f>Table4[[#This Row],[Stock-Quantity]]*Table4[[#This Row],[Margin-Unit]]</f>
        <v>522.06000000000006</v>
      </c>
      <c r="M90">
        <f>Table4[[#This Row],[Date-Sales]]-Table4[[#This Row],[Date-Received]]</f>
        <v>14</v>
      </c>
      <c r="N90" s="6">
        <f>Table4[[#This Row],[Margin-Unit]]/Table4[[#This Row],[Unit-Price]]</f>
        <v>0.22058003346346905</v>
      </c>
    </row>
    <row r="91" spans="1:14" x14ac:dyDescent="0.3">
      <c r="A91" t="s">
        <v>134</v>
      </c>
      <c r="B91" t="s">
        <v>47</v>
      </c>
      <c r="C91" t="s">
        <v>17</v>
      </c>
      <c r="D91" t="s">
        <v>18</v>
      </c>
      <c r="E91" t="s">
        <v>19</v>
      </c>
      <c r="F91">
        <v>312</v>
      </c>
      <c r="G91" s="3">
        <v>167.72</v>
      </c>
      <c r="H91" s="1">
        <v>45838</v>
      </c>
      <c r="I91" s="1">
        <v>45840</v>
      </c>
      <c r="J91" s="3">
        <v>46.18</v>
      </c>
      <c r="K91" s="2">
        <f>Table4[[#This Row],[Stock-Quantity]]*Table4[[#This Row],[Unit-Price]]</f>
        <v>52328.639999999999</v>
      </c>
      <c r="L91" s="2">
        <f>Table4[[#This Row],[Stock-Quantity]]*Table4[[#This Row],[Margin-Unit]]</f>
        <v>14408.16</v>
      </c>
      <c r="M91">
        <f>Table4[[#This Row],[Date-Sales]]-Table4[[#This Row],[Date-Received]]</f>
        <v>2</v>
      </c>
      <c r="N91" s="6">
        <f>Table4[[#This Row],[Margin-Unit]]/Table4[[#This Row],[Unit-Price]]</f>
        <v>0.2753398521345099</v>
      </c>
    </row>
    <row r="92" spans="1:14" x14ac:dyDescent="0.3">
      <c r="A92" t="s">
        <v>135</v>
      </c>
      <c r="B92" t="s">
        <v>28</v>
      </c>
      <c r="C92" t="s">
        <v>29</v>
      </c>
      <c r="D92" t="s">
        <v>40</v>
      </c>
      <c r="E92" t="s">
        <v>41</v>
      </c>
      <c r="F92">
        <v>287</v>
      </c>
      <c r="G92" s="3">
        <v>185.55</v>
      </c>
      <c r="H92" s="1">
        <v>45753</v>
      </c>
      <c r="I92" s="1">
        <v>45766</v>
      </c>
      <c r="J92" s="3">
        <v>23.13</v>
      </c>
      <c r="K92" s="2">
        <f>Table4[[#This Row],[Stock-Quantity]]*Table4[[#This Row],[Unit-Price]]</f>
        <v>53252.850000000006</v>
      </c>
      <c r="L92" s="2">
        <f>Table4[[#This Row],[Stock-Quantity]]*Table4[[#This Row],[Margin-Unit]]</f>
        <v>6638.3099999999995</v>
      </c>
      <c r="M92">
        <f>Table4[[#This Row],[Date-Sales]]-Table4[[#This Row],[Date-Received]]</f>
        <v>13</v>
      </c>
      <c r="N92" s="6">
        <f>Table4[[#This Row],[Margin-Unit]]/Table4[[#This Row],[Unit-Price]]</f>
        <v>0.12465642683912691</v>
      </c>
    </row>
    <row r="93" spans="1:14" x14ac:dyDescent="0.3">
      <c r="A93" t="s">
        <v>136</v>
      </c>
      <c r="B93" t="s">
        <v>37</v>
      </c>
      <c r="C93" t="s">
        <v>22</v>
      </c>
      <c r="D93" t="s">
        <v>30</v>
      </c>
      <c r="E93" t="s">
        <v>31</v>
      </c>
      <c r="F93">
        <v>156</v>
      </c>
      <c r="G93" s="3">
        <v>384.4</v>
      </c>
      <c r="H93" s="1">
        <v>45742</v>
      </c>
      <c r="I93" s="1">
        <v>45762</v>
      </c>
      <c r="J93" s="3">
        <v>103.41</v>
      </c>
      <c r="K93" s="2">
        <f>Table4[[#This Row],[Stock-Quantity]]*Table4[[#This Row],[Unit-Price]]</f>
        <v>59966.399999999994</v>
      </c>
      <c r="L93" s="2">
        <f>Table4[[#This Row],[Stock-Quantity]]*Table4[[#This Row],[Margin-Unit]]</f>
        <v>16131.96</v>
      </c>
      <c r="M93">
        <f>Table4[[#This Row],[Date-Sales]]-Table4[[#This Row],[Date-Received]]</f>
        <v>20</v>
      </c>
      <c r="N93" s="6">
        <f>Table4[[#This Row],[Margin-Unit]]/Table4[[#This Row],[Unit-Price]]</f>
        <v>0.26901664932362124</v>
      </c>
    </row>
    <row r="94" spans="1:14" x14ac:dyDescent="0.3">
      <c r="A94" t="s">
        <v>137</v>
      </c>
      <c r="B94" t="s">
        <v>52</v>
      </c>
      <c r="C94" t="s">
        <v>12</v>
      </c>
      <c r="D94" t="s">
        <v>30</v>
      </c>
      <c r="E94" t="s">
        <v>31</v>
      </c>
      <c r="F94">
        <v>221</v>
      </c>
      <c r="G94" s="3">
        <v>73.97</v>
      </c>
      <c r="H94" s="1">
        <v>45750</v>
      </c>
      <c r="I94" s="1">
        <v>45775</v>
      </c>
      <c r="J94" s="3">
        <v>12.73</v>
      </c>
      <c r="K94" s="2">
        <f>Table4[[#This Row],[Stock-Quantity]]*Table4[[#This Row],[Unit-Price]]</f>
        <v>16347.369999999999</v>
      </c>
      <c r="L94" s="2">
        <f>Table4[[#This Row],[Stock-Quantity]]*Table4[[#This Row],[Margin-Unit]]</f>
        <v>2813.33</v>
      </c>
      <c r="M94">
        <f>Table4[[#This Row],[Date-Sales]]-Table4[[#This Row],[Date-Received]]</f>
        <v>25</v>
      </c>
      <c r="N94" s="6">
        <f>Table4[[#This Row],[Margin-Unit]]/Table4[[#This Row],[Unit-Price]]</f>
        <v>0.17209679599837774</v>
      </c>
    </row>
    <row r="95" spans="1:14" x14ac:dyDescent="0.3">
      <c r="A95" t="s">
        <v>138</v>
      </c>
      <c r="B95" t="s">
        <v>11</v>
      </c>
      <c r="C95" t="s">
        <v>12</v>
      </c>
      <c r="D95" t="s">
        <v>13</v>
      </c>
      <c r="E95" t="s">
        <v>14</v>
      </c>
      <c r="F95">
        <v>454</v>
      </c>
      <c r="G95" s="3">
        <v>448.03</v>
      </c>
      <c r="H95" s="1">
        <v>45771</v>
      </c>
      <c r="I95" s="1">
        <v>45793</v>
      </c>
      <c r="J95" s="3">
        <v>90.04</v>
      </c>
      <c r="K95" s="2">
        <f>Table4[[#This Row],[Stock-Quantity]]*Table4[[#This Row],[Unit-Price]]</f>
        <v>203405.62</v>
      </c>
      <c r="L95" s="2">
        <f>Table4[[#This Row],[Stock-Quantity]]*Table4[[#This Row],[Margin-Unit]]</f>
        <v>40878.160000000003</v>
      </c>
      <c r="M95">
        <f>Table4[[#This Row],[Date-Sales]]-Table4[[#This Row],[Date-Received]]</f>
        <v>22</v>
      </c>
      <c r="N95" s="6">
        <f>Table4[[#This Row],[Margin-Unit]]/Table4[[#This Row],[Unit-Price]]</f>
        <v>0.20096868513269203</v>
      </c>
    </row>
    <row r="96" spans="1:14" x14ac:dyDescent="0.3">
      <c r="A96" t="s">
        <v>139</v>
      </c>
      <c r="B96" t="s">
        <v>94</v>
      </c>
      <c r="C96" t="s">
        <v>29</v>
      </c>
      <c r="D96" t="s">
        <v>40</v>
      </c>
      <c r="E96" t="s">
        <v>41</v>
      </c>
      <c r="F96">
        <v>155</v>
      </c>
      <c r="G96" s="3">
        <v>189</v>
      </c>
      <c r="H96" s="1">
        <v>45683</v>
      </c>
      <c r="I96" s="1">
        <v>45697</v>
      </c>
      <c r="J96" s="3">
        <v>40.99</v>
      </c>
      <c r="K96" s="2">
        <f>Table4[[#This Row],[Stock-Quantity]]*Table4[[#This Row],[Unit-Price]]</f>
        <v>29295</v>
      </c>
      <c r="L96" s="2">
        <f>Table4[[#This Row],[Stock-Quantity]]*Table4[[#This Row],[Margin-Unit]]</f>
        <v>6353.4500000000007</v>
      </c>
      <c r="M96">
        <f>Table4[[#This Row],[Date-Sales]]-Table4[[#This Row],[Date-Received]]</f>
        <v>14</v>
      </c>
      <c r="N96" s="6">
        <f>Table4[[#This Row],[Margin-Unit]]/Table4[[#This Row],[Unit-Price]]</f>
        <v>0.21687830687830689</v>
      </c>
    </row>
    <row r="97" spans="1:14" x14ac:dyDescent="0.3">
      <c r="A97" t="s">
        <v>140</v>
      </c>
      <c r="B97" t="s">
        <v>63</v>
      </c>
      <c r="C97" t="s">
        <v>35</v>
      </c>
      <c r="D97" t="s">
        <v>18</v>
      </c>
      <c r="E97" t="s">
        <v>19</v>
      </c>
      <c r="F97">
        <v>180</v>
      </c>
      <c r="G97" s="3">
        <v>29.55</v>
      </c>
      <c r="H97" s="1">
        <v>45721</v>
      </c>
      <c r="I97" s="1">
        <v>45728</v>
      </c>
      <c r="J97" s="3">
        <v>4.87</v>
      </c>
      <c r="K97" s="2">
        <f>Table4[[#This Row],[Stock-Quantity]]*Table4[[#This Row],[Unit-Price]]</f>
        <v>5319</v>
      </c>
      <c r="L97" s="2">
        <f>Table4[[#This Row],[Stock-Quantity]]*Table4[[#This Row],[Margin-Unit]]</f>
        <v>876.6</v>
      </c>
      <c r="M97">
        <f>Table4[[#This Row],[Date-Sales]]-Table4[[#This Row],[Date-Received]]</f>
        <v>7</v>
      </c>
      <c r="N97" s="6">
        <f>Table4[[#This Row],[Margin-Unit]]/Table4[[#This Row],[Unit-Price]]</f>
        <v>0.16480541455160744</v>
      </c>
    </row>
    <row r="98" spans="1:14" x14ac:dyDescent="0.3">
      <c r="A98" t="s">
        <v>141</v>
      </c>
      <c r="B98" t="s">
        <v>39</v>
      </c>
      <c r="C98" t="s">
        <v>12</v>
      </c>
      <c r="D98" t="s">
        <v>13</v>
      </c>
      <c r="E98" t="s">
        <v>14</v>
      </c>
      <c r="F98">
        <v>370</v>
      </c>
      <c r="G98" s="3">
        <v>329.48</v>
      </c>
      <c r="H98" s="1">
        <v>45753</v>
      </c>
      <c r="I98" s="1">
        <v>45766</v>
      </c>
      <c r="J98" s="3">
        <v>96.83</v>
      </c>
      <c r="K98" s="2">
        <f>Table4[[#This Row],[Stock-Quantity]]*Table4[[#This Row],[Unit-Price]]</f>
        <v>121907.6</v>
      </c>
      <c r="L98" s="2">
        <f>Table4[[#This Row],[Stock-Quantity]]*Table4[[#This Row],[Margin-Unit]]</f>
        <v>35827.1</v>
      </c>
      <c r="M98">
        <f>Table4[[#This Row],[Date-Sales]]-Table4[[#This Row],[Date-Received]]</f>
        <v>13</v>
      </c>
      <c r="N98" s="6">
        <f>Table4[[#This Row],[Margin-Unit]]/Table4[[#This Row],[Unit-Price]]</f>
        <v>0.29388733762292096</v>
      </c>
    </row>
    <row r="99" spans="1:14" x14ac:dyDescent="0.3">
      <c r="A99" t="s">
        <v>142</v>
      </c>
      <c r="B99" t="s">
        <v>106</v>
      </c>
      <c r="C99" t="s">
        <v>17</v>
      </c>
      <c r="D99" t="s">
        <v>18</v>
      </c>
      <c r="E99" t="s">
        <v>19</v>
      </c>
      <c r="F99">
        <v>185</v>
      </c>
      <c r="G99" s="3">
        <v>218.36</v>
      </c>
      <c r="H99" s="1">
        <v>45726</v>
      </c>
      <c r="I99" s="1">
        <v>45749</v>
      </c>
      <c r="J99" s="3">
        <v>55.49</v>
      </c>
      <c r="K99" s="2">
        <f>Table4[[#This Row],[Stock-Quantity]]*Table4[[#This Row],[Unit-Price]]</f>
        <v>40396.600000000006</v>
      </c>
      <c r="L99" s="2">
        <f>Table4[[#This Row],[Stock-Quantity]]*Table4[[#This Row],[Margin-Unit]]</f>
        <v>10265.65</v>
      </c>
      <c r="M99">
        <f>Table4[[#This Row],[Date-Sales]]-Table4[[#This Row],[Date-Received]]</f>
        <v>23</v>
      </c>
      <c r="N99" s="6">
        <f>Table4[[#This Row],[Margin-Unit]]/Table4[[#This Row],[Unit-Price]]</f>
        <v>0.25412163399890086</v>
      </c>
    </row>
    <row r="100" spans="1:14" x14ac:dyDescent="0.3">
      <c r="A100" t="s">
        <v>143</v>
      </c>
      <c r="B100" t="s">
        <v>74</v>
      </c>
      <c r="C100" t="s">
        <v>29</v>
      </c>
      <c r="D100" t="s">
        <v>13</v>
      </c>
      <c r="E100" t="s">
        <v>14</v>
      </c>
      <c r="F100">
        <v>283</v>
      </c>
      <c r="G100" s="3">
        <v>267.41000000000003</v>
      </c>
      <c r="H100" s="1">
        <v>45804</v>
      </c>
      <c r="I100" s="1">
        <v>45834</v>
      </c>
      <c r="J100" s="3">
        <v>78.08</v>
      </c>
      <c r="K100" s="2">
        <f>Table4[[#This Row],[Stock-Quantity]]*Table4[[#This Row],[Unit-Price]]</f>
        <v>75677.030000000013</v>
      </c>
      <c r="L100" s="2">
        <f>Table4[[#This Row],[Stock-Quantity]]*Table4[[#This Row],[Margin-Unit]]</f>
        <v>22096.639999999999</v>
      </c>
      <c r="M100">
        <f>Table4[[#This Row],[Date-Sales]]-Table4[[#This Row],[Date-Received]]</f>
        <v>30</v>
      </c>
      <c r="N100" s="6">
        <f>Table4[[#This Row],[Margin-Unit]]/Table4[[#This Row],[Unit-Price]]</f>
        <v>0.29198608877753257</v>
      </c>
    </row>
    <row r="101" spans="1:14" x14ac:dyDescent="0.3">
      <c r="A101" t="s">
        <v>144</v>
      </c>
      <c r="B101" t="s">
        <v>94</v>
      </c>
      <c r="C101" t="s">
        <v>29</v>
      </c>
      <c r="D101" t="s">
        <v>25</v>
      </c>
      <c r="E101" t="s">
        <v>26</v>
      </c>
      <c r="F101">
        <v>188</v>
      </c>
      <c r="G101" s="3">
        <v>384.77</v>
      </c>
      <c r="H101" s="1">
        <v>45753</v>
      </c>
      <c r="I101" s="1">
        <v>45782</v>
      </c>
      <c r="J101" s="3">
        <v>43.62</v>
      </c>
      <c r="K101" s="2">
        <f>Table4[[#This Row],[Stock-Quantity]]*Table4[[#This Row],[Unit-Price]]</f>
        <v>72336.759999999995</v>
      </c>
      <c r="L101" s="2">
        <f>Table4[[#This Row],[Stock-Quantity]]*Table4[[#This Row],[Margin-Unit]]</f>
        <v>8200.56</v>
      </c>
      <c r="M101">
        <f>Table4[[#This Row],[Date-Sales]]-Table4[[#This Row],[Date-Received]]</f>
        <v>29</v>
      </c>
      <c r="N101" s="6">
        <f>Table4[[#This Row],[Margin-Unit]]/Table4[[#This Row],[Unit-Price]]</f>
        <v>0.11336642669646801</v>
      </c>
    </row>
    <row r="102" spans="1:14" x14ac:dyDescent="0.3">
      <c r="A102" t="s">
        <v>145</v>
      </c>
      <c r="B102" t="s">
        <v>16</v>
      </c>
      <c r="C102" t="s">
        <v>17</v>
      </c>
      <c r="D102" t="s">
        <v>25</v>
      </c>
      <c r="E102" t="s">
        <v>26</v>
      </c>
      <c r="F102">
        <v>64</v>
      </c>
      <c r="G102" s="3">
        <v>488.4</v>
      </c>
      <c r="H102" s="1">
        <v>45797</v>
      </c>
      <c r="I102" s="1">
        <v>45824</v>
      </c>
      <c r="J102" s="3">
        <v>64.510000000000005</v>
      </c>
      <c r="K102" s="2">
        <f>Table4[[#This Row],[Stock-Quantity]]*Table4[[#This Row],[Unit-Price]]</f>
        <v>31257.599999999999</v>
      </c>
      <c r="L102" s="2">
        <f>Table4[[#This Row],[Stock-Quantity]]*Table4[[#This Row],[Margin-Unit]]</f>
        <v>4128.6400000000003</v>
      </c>
      <c r="M102">
        <f>Table4[[#This Row],[Date-Sales]]-Table4[[#This Row],[Date-Received]]</f>
        <v>27</v>
      </c>
      <c r="N102" s="6">
        <f>Table4[[#This Row],[Margin-Unit]]/Table4[[#This Row],[Unit-Price]]</f>
        <v>0.13208435708435709</v>
      </c>
    </row>
    <row r="103" spans="1:14" x14ac:dyDescent="0.3">
      <c r="A103" t="s">
        <v>146</v>
      </c>
      <c r="B103" t="s">
        <v>52</v>
      </c>
      <c r="C103" t="s">
        <v>12</v>
      </c>
      <c r="D103" t="s">
        <v>13</v>
      </c>
      <c r="E103" t="s">
        <v>14</v>
      </c>
      <c r="F103">
        <v>195</v>
      </c>
      <c r="G103" s="3">
        <v>75.180000000000007</v>
      </c>
      <c r="H103" s="1">
        <v>45752</v>
      </c>
      <c r="I103" s="1">
        <v>45765</v>
      </c>
      <c r="J103" s="3">
        <v>16.64</v>
      </c>
      <c r="K103" s="2">
        <f>Table4[[#This Row],[Stock-Quantity]]*Table4[[#This Row],[Unit-Price]]</f>
        <v>14660.100000000002</v>
      </c>
      <c r="L103" s="2">
        <f>Table4[[#This Row],[Stock-Quantity]]*Table4[[#This Row],[Margin-Unit]]</f>
        <v>3244.8</v>
      </c>
      <c r="M103">
        <f>Table4[[#This Row],[Date-Sales]]-Table4[[#This Row],[Date-Received]]</f>
        <v>13</v>
      </c>
      <c r="N103" s="6">
        <f>Table4[[#This Row],[Margin-Unit]]/Table4[[#This Row],[Unit-Price]]</f>
        <v>0.22133546155892522</v>
      </c>
    </row>
    <row r="104" spans="1:14" x14ac:dyDescent="0.3">
      <c r="A104" t="s">
        <v>147</v>
      </c>
      <c r="B104" t="s">
        <v>47</v>
      </c>
      <c r="C104" t="s">
        <v>17</v>
      </c>
      <c r="D104" t="s">
        <v>18</v>
      </c>
      <c r="E104" t="s">
        <v>19</v>
      </c>
      <c r="F104">
        <v>219</v>
      </c>
      <c r="G104" s="3">
        <v>479.74</v>
      </c>
      <c r="H104" s="1">
        <v>45779</v>
      </c>
      <c r="I104" s="1">
        <v>45798</v>
      </c>
      <c r="J104" s="3">
        <v>57.77</v>
      </c>
      <c r="K104" s="2">
        <f>Table4[[#This Row],[Stock-Quantity]]*Table4[[#This Row],[Unit-Price]]</f>
        <v>105063.06</v>
      </c>
      <c r="L104" s="2">
        <f>Table4[[#This Row],[Stock-Quantity]]*Table4[[#This Row],[Margin-Unit]]</f>
        <v>12651.630000000001</v>
      </c>
      <c r="M104">
        <f>Table4[[#This Row],[Date-Sales]]-Table4[[#This Row],[Date-Received]]</f>
        <v>19</v>
      </c>
      <c r="N104" s="6">
        <f>Table4[[#This Row],[Margin-Unit]]/Table4[[#This Row],[Unit-Price]]</f>
        <v>0.1204193938383291</v>
      </c>
    </row>
    <row r="105" spans="1:14" x14ac:dyDescent="0.3">
      <c r="A105" t="s">
        <v>148</v>
      </c>
      <c r="B105" t="s">
        <v>50</v>
      </c>
      <c r="C105" t="s">
        <v>17</v>
      </c>
      <c r="D105" t="s">
        <v>30</v>
      </c>
      <c r="E105" t="s">
        <v>31</v>
      </c>
      <c r="F105">
        <v>274</v>
      </c>
      <c r="G105" s="3">
        <v>139.53</v>
      </c>
      <c r="H105" s="1">
        <v>45700</v>
      </c>
      <c r="I105" s="1">
        <v>45706</v>
      </c>
      <c r="J105" s="3">
        <v>18.86</v>
      </c>
      <c r="K105" s="2">
        <f>Table4[[#This Row],[Stock-Quantity]]*Table4[[#This Row],[Unit-Price]]</f>
        <v>38231.22</v>
      </c>
      <c r="L105" s="2">
        <f>Table4[[#This Row],[Stock-Quantity]]*Table4[[#This Row],[Margin-Unit]]</f>
        <v>5167.6399999999994</v>
      </c>
      <c r="M105">
        <f>Table4[[#This Row],[Date-Sales]]-Table4[[#This Row],[Date-Received]]</f>
        <v>6</v>
      </c>
      <c r="N105" s="6">
        <f>Table4[[#This Row],[Margin-Unit]]/Table4[[#This Row],[Unit-Price]]</f>
        <v>0.13516806421558086</v>
      </c>
    </row>
    <row r="106" spans="1:14" x14ac:dyDescent="0.3">
      <c r="A106" t="s">
        <v>149</v>
      </c>
      <c r="B106" t="s">
        <v>21</v>
      </c>
      <c r="C106" t="s">
        <v>22</v>
      </c>
      <c r="D106" t="s">
        <v>40</v>
      </c>
      <c r="E106" t="s">
        <v>41</v>
      </c>
      <c r="F106">
        <v>89</v>
      </c>
      <c r="G106" s="3">
        <v>108.98</v>
      </c>
      <c r="H106" s="1">
        <v>45766</v>
      </c>
      <c r="I106" s="1">
        <v>45775</v>
      </c>
      <c r="J106" s="3">
        <v>16.260000000000002</v>
      </c>
      <c r="K106" s="2">
        <f>Table4[[#This Row],[Stock-Quantity]]*Table4[[#This Row],[Unit-Price]]</f>
        <v>9699.2200000000012</v>
      </c>
      <c r="L106" s="2">
        <f>Table4[[#This Row],[Stock-Quantity]]*Table4[[#This Row],[Margin-Unit]]</f>
        <v>1447.14</v>
      </c>
      <c r="M106">
        <f>Table4[[#This Row],[Date-Sales]]-Table4[[#This Row],[Date-Received]]</f>
        <v>9</v>
      </c>
      <c r="N106" s="6">
        <f>Table4[[#This Row],[Margin-Unit]]/Table4[[#This Row],[Unit-Price]]</f>
        <v>0.14920168838318959</v>
      </c>
    </row>
    <row r="107" spans="1:14" x14ac:dyDescent="0.3">
      <c r="A107" t="s">
        <v>150</v>
      </c>
      <c r="B107" t="s">
        <v>28</v>
      </c>
      <c r="C107" t="s">
        <v>29</v>
      </c>
      <c r="D107" t="s">
        <v>18</v>
      </c>
      <c r="E107" t="s">
        <v>19</v>
      </c>
      <c r="F107">
        <v>416</v>
      </c>
      <c r="G107" s="3">
        <v>182.71</v>
      </c>
      <c r="H107" s="1">
        <v>45734</v>
      </c>
      <c r="I107" s="1">
        <v>45747</v>
      </c>
      <c r="J107" s="3">
        <v>53.53</v>
      </c>
      <c r="K107" s="2">
        <f>Table4[[#This Row],[Stock-Quantity]]*Table4[[#This Row],[Unit-Price]]</f>
        <v>76007.360000000001</v>
      </c>
      <c r="L107" s="2">
        <f>Table4[[#This Row],[Stock-Quantity]]*Table4[[#This Row],[Margin-Unit]]</f>
        <v>22268.48</v>
      </c>
      <c r="M107">
        <f>Table4[[#This Row],[Date-Sales]]-Table4[[#This Row],[Date-Received]]</f>
        <v>13</v>
      </c>
      <c r="N107" s="6">
        <f>Table4[[#This Row],[Margin-Unit]]/Table4[[#This Row],[Unit-Price]]</f>
        <v>0.29297794318865961</v>
      </c>
    </row>
    <row r="108" spans="1:14" x14ac:dyDescent="0.3">
      <c r="A108" t="s">
        <v>151</v>
      </c>
      <c r="B108" t="s">
        <v>106</v>
      </c>
      <c r="C108" t="s">
        <v>17</v>
      </c>
      <c r="D108" t="s">
        <v>25</v>
      </c>
      <c r="E108" t="s">
        <v>26</v>
      </c>
      <c r="F108">
        <v>188</v>
      </c>
      <c r="G108" s="3">
        <v>209.71</v>
      </c>
      <c r="H108" s="1">
        <v>45750</v>
      </c>
      <c r="I108" s="1">
        <v>45773</v>
      </c>
      <c r="J108" s="3">
        <v>49.18</v>
      </c>
      <c r="K108" s="2">
        <f>Table4[[#This Row],[Stock-Quantity]]*Table4[[#This Row],[Unit-Price]]</f>
        <v>39425.480000000003</v>
      </c>
      <c r="L108" s="2">
        <f>Table4[[#This Row],[Stock-Quantity]]*Table4[[#This Row],[Margin-Unit]]</f>
        <v>9245.84</v>
      </c>
      <c r="M108">
        <f>Table4[[#This Row],[Date-Sales]]-Table4[[#This Row],[Date-Received]]</f>
        <v>23</v>
      </c>
      <c r="N108" s="6">
        <f>Table4[[#This Row],[Margin-Unit]]/Table4[[#This Row],[Unit-Price]]</f>
        <v>0.23451432931190691</v>
      </c>
    </row>
    <row r="109" spans="1:14" x14ac:dyDescent="0.3">
      <c r="A109" t="s">
        <v>152</v>
      </c>
      <c r="B109" t="s">
        <v>70</v>
      </c>
      <c r="C109" t="s">
        <v>35</v>
      </c>
      <c r="D109" t="s">
        <v>40</v>
      </c>
      <c r="E109" t="s">
        <v>41</v>
      </c>
      <c r="F109">
        <v>157</v>
      </c>
      <c r="G109" s="3">
        <v>120.97</v>
      </c>
      <c r="H109" s="1">
        <v>45673</v>
      </c>
      <c r="I109" s="1">
        <v>45692</v>
      </c>
      <c r="J109" s="3">
        <v>23.86</v>
      </c>
      <c r="K109" s="2">
        <f>Table4[[#This Row],[Stock-Quantity]]*Table4[[#This Row],[Unit-Price]]</f>
        <v>18992.29</v>
      </c>
      <c r="L109" s="2">
        <f>Table4[[#This Row],[Stock-Quantity]]*Table4[[#This Row],[Margin-Unit]]</f>
        <v>3746.02</v>
      </c>
      <c r="M109">
        <f>Table4[[#This Row],[Date-Sales]]-Table4[[#This Row],[Date-Received]]</f>
        <v>19</v>
      </c>
      <c r="N109" s="6">
        <f>Table4[[#This Row],[Margin-Unit]]/Table4[[#This Row],[Unit-Price]]</f>
        <v>0.19723898487228239</v>
      </c>
    </row>
    <row r="110" spans="1:14" x14ac:dyDescent="0.3">
      <c r="A110" t="s">
        <v>153</v>
      </c>
      <c r="B110" t="s">
        <v>24</v>
      </c>
      <c r="C110" t="s">
        <v>22</v>
      </c>
      <c r="D110" t="s">
        <v>30</v>
      </c>
      <c r="E110" t="s">
        <v>31</v>
      </c>
      <c r="F110">
        <v>136</v>
      </c>
      <c r="G110" s="3">
        <v>30.48</v>
      </c>
      <c r="H110" s="1">
        <v>45721</v>
      </c>
      <c r="I110" s="1">
        <v>45745</v>
      </c>
      <c r="J110" s="3">
        <v>4.3</v>
      </c>
      <c r="K110" s="2">
        <f>Table4[[#This Row],[Stock-Quantity]]*Table4[[#This Row],[Unit-Price]]</f>
        <v>4145.28</v>
      </c>
      <c r="L110" s="2">
        <f>Table4[[#This Row],[Stock-Quantity]]*Table4[[#This Row],[Margin-Unit]]</f>
        <v>584.79999999999995</v>
      </c>
      <c r="M110">
        <f>Table4[[#This Row],[Date-Sales]]-Table4[[#This Row],[Date-Received]]</f>
        <v>24</v>
      </c>
      <c r="N110" s="6">
        <f>Table4[[#This Row],[Margin-Unit]]/Table4[[#This Row],[Unit-Price]]</f>
        <v>0.14107611548556429</v>
      </c>
    </row>
    <row r="111" spans="1:14" x14ac:dyDescent="0.3">
      <c r="A111" t="s">
        <v>154</v>
      </c>
      <c r="B111" t="s">
        <v>52</v>
      </c>
      <c r="C111" t="s">
        <v>12</v>
      </c>
      <c r="D111" t="s">
        <v>13</v>
      </c>
      <c r="E111" t="s">
        <v>14</v>
      </c>
      <c r="F111">
        <v>371</v>
      </c>
      <c r="G111" s="3">
        <v>335.42</v>
      </c>
      <c r="H111" s="1">
        <v>45735</v>
      </c>
      <c r="I111" s="1">
        <v>45759</v>
      </c>
      <c r="J111" s="3">
        <v>52.22</v>
      </c>
      <c r="K111" s="2">
        <f>Table4[[#This Row],[Stock-Quantity]]*Table4[[#This Row],[Unit-Price]]</f>
        <v>124440.82</v>
      </c>
      <c r="L111" s="2">
        <f>Table4[[#This Row],[Stock-Quantity]]*Table4[[#This Row],[Margin-Unit]]</f>
        <v>19373.62</v>
      </c>
      <c r="M111">
        <f>Table4[[#This Row],[Date-Sales]]-Table4[[#This Row],[Date-Received]]</f>
        <v>24</v>
      </c>
      <c r="N111" s="6">
        <f>Table4[[#This Row],[Margin-Unit]]/Table4[[#This Row],[Unit-Price]]</f>
        <v>0.15568540933754693</v>
      </c>
    </row>
    <row r="112" spans="1:14" x14ac:dyDescent="0.3">
      <c r="A112" t="s">
        <v>155</v>
      </c>
      <c r="B112" t="s">
        <v>94</v>
      </c>
      <c r="C112" t="s">
        <v>29</v>
      </c>
      <c r="D112" t="s">
        <v>18</v>
      </c>
      <c r="E112" t="s">
        <v>19</v>
      </c>
      <c r="F112">
        <v>88</v>
      </c>
      <c r="G112" s="3">
        <v>90.46</v>
      </c>
      <c r="H112" s="1">
        <v>45693</v>
      </c>
      <c r="I112" s="1">
        <v>45708</v>
      </c>
      <c r="J112" s="3">
        <v>14.11</v>
      </c>
      <c r="K112" s="2">
        <f>Table4[[#This Row],[Stock-Quantity]]*Table4[[#This Row],[Unit-Price]]</f>
        <v>7960.48</v>
      </c>
      <c r="L112" s="2">
        <f>Table4[[#This Row],[Stock-Quantity]]*Table4[[#This Row],[Margin-Unit]]</f>
        <v>1241.6799999999998</v>
      </c>
      <c r="M112">
        <f>Table4[[#This Row],[Date-Sales]]-Table4[[#This Row],[Date-Received]]</f>
        <v>15</v>
      </c>
      <c r="N112" s="6">
        <f>Table4[[#This Row],[Margin-Unit]]/Table4[[#This Row],[Unit-Price]]</f>
        <v>0.1559805438868008</v>
      </c>
    </row>
    <row r="113" spans="1:14" x14ac:dyDescent="0.3">
      <c r="A113" t="s">
        <v>156</v>
      </c>
      <c r="B113" t="s">
        <v>47</v>
      </c>
      <c r="C113" t="s">
        <v>17</v>
      </c>
      <c r="D113" t="s">
        <v>13</v>
      </c>
      <c r="E113" t="s">
        <v>14</v>
      </c>
      <c r="F113">
        <v>261</v>
      </c>
      <c r="G113" s="3">
        <v>469.26</v>
      </c>
      <c r="H113" s="1">
        <v>45749</v>
      </c>
      <c r="I113" s="1">
        <v>45775</v>
      </c>
      <c r="J113" s="3">
        <v>93.75</v>
      </c>
      <c r="K113" s="2">
        <f>Table4[[#This Row],[Stock-Quantity]]*Table4[[#This Row],[Unit-Price]]</f>
        <v>122476.86</v>
      </c>
      <c r="L113" s="2">
        <f>Table4[[#This Row],[Stock-Quantity]]*Table4[[#This Row],[Margin-Unit]]</f>
        <v>24468.75</v>
      </c>
      <c r="M113">
        <f>Table4[[#This Row],[Date-Sales]]-Table4[[#This Row],[Date-Received]]</f>
        <v>26</v>
      </c>
      <c r="N113" s="6">
        <f>Table4[[#This Row],[Margin-Unit]]/Table4[[#This Row],[Unit-Price]]</f>
        <v>0.19978263649149725</v>
      </c>
    </row>
    <row r="114" spans="1:14" x14ac:dyDescent="0.3">
      <c r="A114" t="s">
        <v>157</v>
      </c>
      <c r="B114" t="s">
        <v>11</v>
      </c>
      <c r="C114" t="s">
        <v>12</v>
      </c>
      <c r="D114" t="s">
        <v>40</v>
      </c>
      <c r="E114" t="s">
        <v>41</v>
      </c>
      <c r="F114">
        <v>13</v>
      </c>
      <c r="G114" s="3">
        <v>108.68</v>
      </c>
      <c r="H114" s="1">
        <v>45781</v>
      </c>
      <c r="I114" s="1">
        <v>45798</v>
      </c>
      <c r="J114" s="3">
        <v>28.14</v>
      </c>
      <c r="K114" s="2">
        <f>Table4[[#This Row],[Stock-Quantity]]*Table4[[#This Row],[Unit-Price]]</f>
        <v>1412.8400000000001</v>
      </c>
      <c r="L114" s="2">
        <f>Table4[[#This Row],[Stock-Quantity]]*Table4[[#This Row],[Margin-Unit]]</f>
        <v>365.82</v>
      </c>
      <c r="M114">
        <f>Table4[[#This Row],[Date-Sales]]-Table4[[#This Row],[Date-Received]]</f>
        <v>17</v>
      </c>
      <c r="N114" s="6">
        <f>Table4[[#This Row],[Margin-Unit]]/Table4[[#This Row],[Unit-Price]]</f>
        <v>0.25892528524107472</v>
      </c>
    </row>
    <row r="115" spans="1:14" x14ac:dyDescent="0.3">
      <c r="A115" t="s">
        <v>158</v>
      </c>
      <c r="B115" t="s">
        <v>47</v>
      </c>
      <c r="C115" t="s">
        <v>17</v>
      </c>
      <c r="D115" t="s">
        <v>18</v>
      </c>
      <c r="E115" t="s">
        <v>19</v>
      </c>
      <c r="F115">
        <v>433</v>
      </c>
      <c r="G115" s="3">
        <v>265.95</v>
      </c>
      <c r="H115" s="1">
        <v>45782</v>
      </c>
      <c r="I115" s="1">
        <v>45805</v>
      </c>
      <c r="J115" s="3">
        <v>62.75</v>
      </c>
      <c r="K115" s="2">
        <f>Table4[[#This Row],[Stock-Quantity]]*Table4[[#This Row],[Unit-Price]]</f>
        <v>115156.34999999999</v>
      </c>
      <c r="L115" s="2">
        <f>Table4[[#This Row],[Stock-Quantity]]*Table4[[#This Row],[Margin-Unit]]</f>
        <v>27170.75</v>
      </c>
      <c r="M115">
        <f>Table4[[#This Row],[Date-Sales]]-Table4[[#This Row],[Date-Received]]</f>
        <v>23</v>
      </c>
      <c r="N115" s="6">
        <f>Table4[[#This Row],[Margin-Unit]]/Table4[[#This Row],[Unit-Price]]</f>
        <v>0.23594660650498214</v>
      </c>
    </row>
    <row r="116" spans="1:14" x14ac:dyDescent="0.3">
      <c r="A116" t="s">
        <v>159</v>
      </c>
      <c r="B116" t="s">
        <v>94</v>
      </c>
      <c r="C116" t="s">
        <v>29</v>
      </c>
      <c r="D116" t="s">
        <v>25</v>
      </c>
      <c r="E116" t="s">
        <v>26</v>
      </c>
      <c r="F116">
        <v>27</v>
      </c>
      <c r="G116" s="3">
        <v>143.29</v>
      </c>
      <c r="H116" s="1">
        <v>45766</v>
      </c>
      <c r="I116" s="1">
        <v>45782</v>
      </c>
      <c r="J116" s="3">
        <v>28.41</v>
      </c>
      <c r="K116" s="2">
        <f>Table4[[#This Row],[Stock-Quantity]]*Table4[[#This Row],[Unit-Price]]</f>
        <v>3868.83</v>
      </c>
      <c r="L116" s="2">
        <f>Table4[[#This Row],[Stock-Quantity]]*Table4[[#This Row],[Margin-Unit]]</f>
        <v>767.07</v>
      </c>
      <c r="M116">
        <f>Table4[[#This Row],[Date-Sales]]-Table4[[#This Row],[Date-Received]]</f>
        <v>16</v>
      </c>
      <c r="N116" s="6">
        <f>Table4[[#This Row],[Margin-Unit]]/Table4[[#This Row],[Unit-Price]]</f>
        <v>0.198269244190104</v>
      </c>
    </row>
    <row r="117" spans="1:14" x14ac:dyDescent="0.3">
      <c r="A117" t="s">
        <v>160</v>
      </c>
      <c r="B117" t="s">
        <v>80</v>
      </c>
      <c r="C117" t="s">
        <v>29</v>
      </c>
      <c r="D117" t="s">
        <v>13</v>
      </c>
      <c r="E117" t="s">
        <v>14</v>
      </c>
      <c r="F117">
        <v>223</v>
      </c>
      <c r="G117" s="3">
        <v>304.55</v>
      </c>
      <c r="H117" s="1">
        <v>45739</v>
      </c>
      <c r="I117" s="1">
        <v>45762</v>
      </c>
      <c r="J117" s="3">
        <v>77.03</v>
      </c>
      <c r="K117" s="2">
        <f>Table4[[#This Row],[Stock-Quantity]]*Table4[[#This Row],[Unit-Price]]</f>
        <v>67914.650000000009</v>
      </c>
      <c r="L117" s="2">
        <f>Table4[[#This Row],[Stock-Quantity]]*Table4[[#This Row],[Margin-Unit]]</f>
        <v>17177.689999999999</v>
      </c>
      <c r="M117">
        <f>Table4[[#This Row],[Date-Sales]]-Table4[[#This Row],[Date-Received]]</f>
        <v>23</v>
      </c>
      <c r="N117" s="6">
        <f>Table4[[#This Row],[Margin-Unit]]/Table4[[#This Row],[Unit-Price]]</f>
        <v>0.25293055327532427</v>
      </c>
    </row>
    <row r="118" spans="1:14" x14ac:dyDescent="0.3">
      <c r="A118" t="s">
        <v>161</v>
      </c>
      <c r="B118" t="s">
        <v>43</v>
      </c>
      <c r="C118" t="s">
        <v>35</v>
      </c>
      <c r="D118" t="s">
        <v>30</v>
      </c>
      <c r="E118" t="s">
        <v>31</v>
      </c>
      <c r="F118">
        <v>278</v>
      </c>
      <c r="G118" s="3">
        <v>157.82</v>
      </c>
      <c r="H118" s="1">
        <v>45748</v>
      </c>
      <c r="I118" s="1">
        <v>45772</v>
      </c>
      <c r="J118" s="3">
        <v>33.049999999999997</v>
      </c>
      <c r="K118" s="2">
        <f>Table4[[#This Row],[Stock-Quantity]]*Table4[[#This Row],[Unit-Price]]</f>
        <v>43873.96</v>
      </c>
      <c r="L118" s="2">
        <f>Table4[[#This Row],[Stock-Quantity]]*Table4[[#This Row],[Margin-Unit]]</f>
        <v>9187.9</v>
      </c>
      <c r="M118">
        <f>Table4[[#This Row],[Date-Sales]]-Table4[[#This Row],[Date-Received]]</f>
        <v>24</v>
      </c>
      <c r="N118" s="6">
        <f>Table4[[#This Row],[Margin-Unit]]/Table4[[#This Row],[Unit-Price]]</f>
        <v>0.20941579014066658</v>
      </c>
    </row>
    <row r="119" spans="1:14" x14ac:dyDescent="0.3">
      <c r="A119" t="s">
        <v>162</v>
      </c>
      <c r="B119" t="s">
        <v>70</v>
      </c>
      <c r="C119" t="s">
        <v>35</v>
      </c>
      <c r="D119" t="s">
        <v>13</v>
      </c>
      <c r="E119" t="s">
        <v>14</v>
      </c>
      <c r="F119">
        <v>136</v>
      </c>
      <c r="G119" s="3">
        <v>376.55</v>
      </c>
      <c r="H119" s="1">
        <v>45728</v>
      </c>
      <c r="I119" s="1">
        <v>45738</v>
      </c>
      <c r="J119" s="3">
        <v>106.5</v>
      </c>
      <c r="K119" s="2">
        <f>Table4[[#This Row],[Stock-Quantity]]*Table4[[#This Row],[Unit-Price]]</f>
        <v>51210.8</v>
      </c>
      <c r="L119" s="2">
        <f>Table4[[#This Row],[Stock-Quantity]]*Table4[[#This Row],[Margin-Unit]]</f>
        <v>14484</v>
      </c>
      <c r="M119">
        <f>Table4[[#This Row],[Date-Sales]]-Table4[[#This Row],[Date-Received]]</f>
        <v>10</v>
      </c>
      <c r="N119" s="6">
        <f>Table4[[#This Row],[Margin-Unit]]/Table4[[#This Row],[Unit-Price]]</f>
        <v>0.28283096534324792</v>
      </c>
    </row>
    <row r="120" spans="1:14" x14ac:dyDescent="0.3">
      <c r="A120" t="s">
        <v>163</v>
      </c>
      <c r="B120" t="s">
        <v>34</v>
      </c>
      <c r="C120" t="s">
        <v>35</v>
      </c>
      <c r="D120" t="s">
        <v>25</v>
      </c>
      <c r="E120" t="s">
        <v>26</v>
      </c>
      <c r="F120">
        <v>488</v>
      </c>
      <c r="G120" s="3">
        <v>278.31</v>
      </c>
      <c r="H120" s="1">
        <v>45731</v>
      </c>
      <c r="I120" s="1">
        <v>45742</v>
      </c>
      <c r="J120" s="3">
        <v>29.29</v>
      </c>
      <c r="K120" s="2">
        <f>Table4[[#This Row],[Stock-Quantity]]*Table4[[#This Row],[Unit-Price]]</f>
        <v>135815.28</v>
      </c>
      <c r="L120" s="2">
        <f>Table4[[#This Row],[Stock-Quantity]]*Table4[[#This Row],[Margin-Unit]]</f>
        <v>14293.52</v>
      </c>
      <c r="M120">
        <f>Table4[[#This Row],[Date-Sales]]-Table4[[#This Row],[Date-Received]]</f>
        <v>11</v>
      </c>
      <c r="N120" s="6">
        <f>Table4[[#This Row],[Margin-Unit]]/Table4[[#This Row],[Unit-Price]]</f>
        <v>0.10524235564658115</v>
      </c>
    </row>
    <row r="121" spans="1:14" x14ac:dyDescent="0.3">
      <c r="A121" t="s">
        <v>164</v>
      </c>
      <c r="B121" t="s">
        <v>116</v>
      </c>
      <c r="C121" t="s">
        <v>12</v>
      </c>
      <c r="D121" t="s">
        <v>18</v>
      </c>
      <c r="E121" t="s">
        <v>19</v>
      </c>
      <c r="F121">
        <v>117</v>
      </c>
      <c r="G121" s="3">
        <v>315.26</v>
      </c>
      <c r="H121" s="1">
        <v>45767</v>
      </c>
      <c r="I121" s="1">
        <v>45787</v>
      </c>
      <c r="J121" s="3">
        <v>33.17</v>
      </c>
      <c r="K121" s="2">
        <f>Table4[[#This Row],[Stock-Quantity]]*Table4[[#This Row],[Unit-Price]]</f>
        <v>36885.42</v>
      </c>
      <c r="L121" s="2">
        <f>Table4[[#This Row],[Stock-Quantity]]*Table4[[#This Row],[Margin-Unit]]</f>
        <v>3880.8900000000003</v>
      </c>
      <c r="M121">
        <f>Table4[[#This Row],[Date-Sales]]-Table4[[#This Row],[Date-Received]]</f>
        <v>20</v>
      </c>
      <c r="N121" s="6">
        <f>Table4[[#This Row],[Margin-Unit]]/Table4[[#This Row],[Unit-Price]]</f>
        <v>0.10521474338641122</v>
      </c>
    </row>
    <row r="122" spans="1:14" x14ac:dyDescent="0.3">
      <c r="A122" t="s">
        <v>165</v>
      </c>
      <c r="B122" t="s">
        <v>70</v>
      </c>
      <c r="C122" t="s">
        <v>35</v>
      </c>
      <c r="D122" t="s">
        <v>40</v>
      </c>
      <c r="E122" t="s">
        <v>41</v>
      </c>
      <c r="F122">
        <v>61</v>
      </c>
      <c r="G122" s="3">
        <v>68.22</v>
      </c>
      <c r="H122" s="1">
        <v>45728</v>
      </c>
      <c r="I122" s="1">
        <v>45746</v>
      </c>
      <c r="J122" s="3">
        <v>8.8699999999999992</v>
      </c>
      <c r="K122" s="2">
        <f>Table4[[#This Row],[Stock-Quantity]]*Table4[[#This Row],[Unit-Price]]</f>
        <v>4161.42</v>
      </c>
      <c r="L122" s="2">
        <f>Table4[[#This Row],[Stock-Quantity]]*Table4[[#This Row],[Margin-Unit]]</f>
        <v>541.06999999999994</v>
      </c>
      <c r="M122">
        <f>Table4[[#This Row],[Date-Sales]]-Table4[[#This Row],[Date-Received]]</f>
        <v>18</v>
      </c>
      <c r="N122" s="6">
        <f>Table4[[#This Row],[Margin-Unit]]/Table4[[#This Row],[Unit-Price]]</f>
        <v>0.1300205218411023</v>
      </c>
    </row>
    <row r="123" spans="1:14" x14ac:dyDescent="0.3">
      <c r="A123" t="s">
        <v>166</v>
      </c>
      <c r="B123" t="s">
        <v>50</v>
      </c>
      <c r="C123" t="s">
        <v>17</v>
      </c>
      <c r="D123" t="s">
        <v>13</v>
      </c>
      <c r="E123" t="s">
        <v>14</v>
      </c>
      <c r="F123">
        <v>122</v>
      </c>
      <c r="G123" s="3">
        <v>202.6</v>
      </c>
      <c r="H123" s="1">
        <v>45764</v>
      </c>
      <c r="I123" s="1">
        <v>45790</v>
      </c>
      <c r="J123" s="3">
        <v>33.31</v>
      </c>
      <c r="K123" s="2">
        <f>Table4[[#This Row],[Stock-Quantity]]*Table4[[#This Row],[Unit-Price]]</f>
        <v>24717.200000000001</v>
      </c>
      <c r="L123" s="2">
        <f>Table4[[#This Row],[Stock-Quantity]]*Table4[[#This Row],[Margin-Unit]]</f>
        <v>4063.82</v>
      </c>
      <c r="M123">
        <f>Table4[[#This Row],[Date-Sales]]-Table4[[#This Row],[Date-Received]]</f>
        <v>26</v>
      </c>
      <c r="N123" s="6">
        <f>Table4[[#This Row],[Margin-Unit]]/Table4[[#This Row],[Unit-Price]]</f>
        <v>0.16441263573543929</v>
      </c>
    </row>
    <row r="124" spans="1:14" x14ac:dyDescent="0.3">
      <c r="A124" t="s">
        <v>167</v>
      </c>
      <c r="B124" t="s">
        <v>34</v>
      </c>
      <c r="C124" t="s">
        <v>35</v>
      </c>
      <c r="D124" t="s">
        <v>40</v>
      </c>
      <c r="E124" t="s">
        <v>41</v>
      </c>
      <c r="F124">
        <v>280</v>
      </c>
      <c r="G124" s="3">
        <v>9.8800000000000008</v>
      </c>
      <c r="H124" s="1">
        <v>45693</v>
      </c>
      <c r="I124" s="1">
        <v>45700</v>
      </c>
      <c r="J124" s="3">
        <v>1.38</v>
      </c>
      <c r="K124" s="2">
        <f>Table4[[#This Row],[Stock-Quantity]]*Table4[[#This Row],[Unit-Price]]</f>
        <v>2766.4</v>
      </c>
      <c r="L124" s="2">
        <f>Table4[[#This Row],[Stock-Quantity]]*Table4[[#This Row],[Margin-Unit]]</f>
        <v>386.4</v>
      </c>
      <c r="M124">
        <f>Table4[[#This Row],[Date-Sales]]-Table4[[#This Row],[Date-Received]]</f>
        <v>7</v>
      </c>
      <c r="N124" s="6">
        <f>Table4[[#This Row],[Margin-Unit]]/Table4[[#This Row],[Unit-Price]]</f>
        <v>0.13967611336032387</v>
      </c>
    </row>
    <row r="125" spans="1:14" x14ac:dyDescent="0.3">
      <c r="A125" t="s">
        <v>168</v>
      </c>
      <c r="B125" t="s">
        <v>65</v>
      </c>
      <c r="C125" t="s">
        <v>22</v>
      </c>
      <c r="D125" t="s">
        <v>18</v>
      </c>
      <c r="E125" t="s">
        <v>19</v>
      </c>
      <c r="F125">
        <v>269</v>
      </c>
      <c r="G125" s="3">
        <v>164.41</v>
      </c>
      <c r="H125" s="1">
        <v>45714</v>
      </c>
      <c r="I125" s="1">
        <v>45717</v>
      </c>
      <c r="J125" s="3">
        <v>35.61</v>
      </c>
      <c r="K125" s="2">
        <f>Table4[[#This Row],[Stock-Quantity]]*Table4[[#This Row],[Unit-Price]]</f>
        <v>44226.29</v>
      </c>
      <c r="L125" s="2">
        <f>Table4[[#This Row],[Stock-Quantity]]*Table4[[#This Row],[Margin-Unit]]</f>
        <v>9579.09</v>
      </c>
      <c r="M125">
        <f>Table4[[#This Row],[Date-Sales]]-Table4[[#This Row],[Date-Received]]</f>
        <v>3</v>
      </c>
      <c r="N125" s="6">
        <f>Table4[[#This Row],[Margin-Unit]]/Table4[[#This Row],[Unit-Price]]</f>
        <v>0.21659266467976401</v>
      </c>
    </row>
    <row r="126" spans="1:14" x14ac:dyDescent="0.3">
      <c r="A126" t="s">
        <v>169</v>
      </c>
      <c r="B126" t="s">
        <v>74</v>
      </c>
      <c r="C126" t="s">
        <v>29</v>
      </c>
      <c r="D126" t="s">
        <v>40</v>
      </c>
      <c r="E126" t="s">
        <v>41</v>
      </c>
      <c r="F126">
        <v>251</v>
      </c>
      <c r="G126" s="3">
        <v>103.1</v>
      </c>
      <c r="H126" s="1">
        <v>45796</v>
      </c>
      <c r="I126" s="1">
        <v>45804</v>
      </c>
      <c r="J126" s="3">
        <v>13.77</v>
      </c>
      <c r="K126" s="2">
        <f>Table4[[#This Row],[Stock-Quantity]]*Table4[[#This Row],[Unit-Price]]</f>
        <v>25878.1</v>
      </c>
      <c r="L126" s="2">
        <f>Table4[[#This Row],[Stock-Quantity]]*Table4[[#This Row],[Margin-Unit]]</f>
        <v>3456.27</v>
      </c>
      <c r="M126">
        <f>Table4[[#This Row],[Date-Sales]]-Table4[[#This Row],[Date-Received]]</f>
        <v>8</v>
      </c>
      <c r="N126" s="6">
        <f>Table4[[#This Row],[Margin-Unit]]/Table4[[#This Row],[Unit-Price]]</f>
        <v>0.13355965082444229</v>
      </c>
    </row>
    <row r="127" spans="1:14" x14ac:dyDescent="0.3">
      <c r="A127" t="s">
        <v>170</v>
      </c>
      <c r="B127" t="s">
        <v>16</v>
      </c>
      <c r="C127" t="s">
        <v>17</v>
      </c>
      <c r="D127" t="s">
        <v>40</v>
      </c>
      <c r="E127" t="s">
        <v>41</v>
      </c>
      <c r="F127">
        <v>37</v>
      </c>
      <c r="G127" s="3">
        <v>86.98</v>
      </c>
      <c r="H127" s="1">
        <v>45737</v>
      </c>
      <c r="I127" s="1">
        <v>45758</v>
      </c>
      <c r="J127" s="3">
        <v>26.08</v>
      </c>
      <c r="K127" s="2">
        <f>Table4[[#This Row],[Stock-Quantity]]*Table4[[#This Row],[Unit-Price]]</f>
        <v>3218.26</v>
      </c>
      <c r="L127" s="2">
        <f>Table4[[#This Row],[Stock-Quantity]]*Table4[[#This Row],[Margin-Unit]]</f>
        <v>964.95999999999992</v>
      </c>
      <c r="M127">
        <f>Table4[[#This Row],[Date-Sales]]-Table4[[#This Row],[Date-Received]]</f>
        <v>21</v>
      </c>
      <c r="N127" s="6">
        <f>Table4[[#This Row],[Margin-Unit]]/Table4[[#This Row],[Unit-Price]]</f>
        <v>0.29983904345826623</v>
      </c>
    </row>
    <row r="128" spans="1:14" x14ac:dyDescent="0.3">
      <c r="A128" t="s">
        <v>171</v>
      </c>
      <c r="B128" t="s">
        <v>116</v>
      </c>
      <c r="C128" t="s">
        <v>12</v>
      </c>
      <c r="D128" t="s">
        <v>18</v>
      </c>
      <c r="E128" t="s">
        <v>19</v>
      </c>
      <c r="F128">
        <v>183</v>
      </c>
      <c r="G128" s="3">
        <v>294.43</v>
      </c>
      <c r="H128" s="1">
        <v>45727</v>
      </c>
      <c r="I128" s="1">
        <v>45739</v>
      </c>
      <c r="J128" s="3">
        <v>71.760000000000005</v>
      </c>
      <c r="K128" s="2">
        <f>Table4[[#This Row],[Stock-Quantity]]*Table4[[#This Row],[Unit-Price]]</f>
        <v>53880.69</v>
      </c>
      <c r="L128" s="2">
        <f>Table4[[#This Row],[Stock-Quantity]]*Table4[[#This Row],[Margin-Unit]]</f>
        <v>13132.080000000002</v>
      </c>
      <c r="M128">
        <f>Table4[[#This Row],[Date-Sales]]-Table4[[#This Row],[Date-Received]]</f>
        <v>12</v>
      </c>
      <c r="N128" s="6">
        <f>Table4[[#This Row],[Margin-Unit]]/Table4[[#This Row],[Unit-Price]]</f>
        <v>0.24372516387596374</v>
      </c>
    </row>
    <row r="129" spans="1:14" x14ac:dyDescent="0.3">
      <c r="A129" t="s">
        <v>172</v>
      </c>
      <c r="B129" t="s">
        <v>65</v>
      </c>
      <c r="C129" t="s">
        <v>22</v>
      </c>
      <c r="D129" t="s">
        <v>40</v>
      </c>
      <c r="E129" t="s">
        <v>41</v>
      </c>
      <c r="F129">
        <v>411</v>
      </c>
      <c r="G129" s="3">
        <v>237.57</v>
      </c>
      <c r="H129" s="1">
        <v>45825</v>
      </c>
      <c r="I129" s="1">
        <v>45850</v>
      </c>
      <c r="J129" s="3">
        <v>26.4</v>
      </c>
      <c r="K129" s="2">
        <f>Table4[[#This Row],[Stock-Quantity]]*Table4[[#This Row],[Unit-Price]]</f>
        <v>97641.27</v>
      </c>
      <c r="L129" s="2">
        <f>Table4[[#This Row],[Stock-Quantity]]*Table4[[#This Row],[Margin-Unit]]</f>
        <v>10850.4</v>
      </c>
      <c r="M129">
        <f>Table4[[#This Row],[Date-Sales]]-Table4[[#This Row],[Date-Received]]</f>
        <v>25</v>
      </c>
      <c r="N129" s="6">
        <f>Table4[[#This Row],[Margin-Unit]]/Table4[[#This Row],[Unit-Price]]</f>
        <v>0.11112514206339184</v>
      </c>
    </row>
    <row r="130" spans="1:14" x14ac:dyDescent="0.3">
      <c r="A130" t="s">
        <v>173</v>
      </c>
      <c r="B130" t="s">
        <v>34</v>
      </c>
      <c r="C130" t="s">
        <v>35</v>
      </c>
      <c r="D130" t="s">
        <v>13</v>
      </c>
      <c r="E130" t="s">
        <v>14</v>
      </c>
      <c r="F130">
        <v>181</v>
      </c>
      <c r="G130" s="3">
        <v>124.46</v>
      </c>
      <c r="H130" s="1">
        <v>45826</v>
      </c>
      <c r="I130" s="1">
        <v>45829</v>
      </c>
      <c r="J130" s="3">
        <v>16.66</v>
      </c>
      <c r="K130" s="2">
        <f>Table4[[#This Row],[Stock-Quantity]]*Table4[[#This Row],[Unit-Price]]</f>
        <v>22527.26</v>
      </c>
      <c r="L130" s="2">
        <f>Table4[[#This Row],[Stock-Quantity]]*Table4[[#This Row],[Margin-Unit]]</f>
        <v>3015.46</v>
      </c>
      <c r="M130">
        <f>Table4[[#This Row],[Date-Sales]]-Table4[[#This Row],[Date-Received]]</f>
        <v>3</v>
      </c>
      <c r="N130" s="6">
        <f>Table4[[#This Row],[Margin-Unit]]/Table4[[#This Row],[Unit-Price]]</f>
        <v>0.13385826771653545</v>
      </c>
    </row>
    <row r="131" spans="1:14" x14ac:dyDescent="0.3">
      <c r="A131" t="s">
        <v>174</v>
      </c>
      <c r="B131" t="s">
        <v>16</v>
      </c>
      <c r="C131" t="s">
        <v>17</v>
      </c>
      <c r="D131" t="s">
        <v>13</v>
      </c>
      <c r="E131" t="s">
        <v>14</v>
      </c>
      <c r="F131">
        <v>43</v>
      </c>
      <c r="G131" s="3">
        <v>155.05000000000001</v>
      </c>
      <c r="H131" s="1">
        <v>45667</v>
      </c>
      <c r="I131" s="1">
        <v>45674</v>
      </c>
      <c r="J131" s="3">
        <v>16.87</v>
      </c>
      <c r="K131" s="2">
        <f>Table4[[#This Row],[Stock-Quantity]]*Table4[[#This Row],[Unit-Price]]</f>
        <v>6667.1500000000005</v>
      </c>
      <c r="L131" s="2">
        <f>Table4[[#This Row],[Stock-Quantity]]*Table4[[#This Row],[Margin-Unit]]</f>
        <v>725.41000000000008</v>
      </c>
      <c r="M131">
        <f>Table4[[#This Row],[Date-Sales]]-Table4[[#This Row],[Date-Received]]</f>
        <v>7</v>
      </c>
      <c r="N131" s="6">
        <f>Table4[[#This Row],[Margin-Unit]]/Table4[[#This Row],[Unit-Price]]</f>
        <v>0.10880361173814898</v>
      </c>
    </row>
    <row r="132" spans="1:14" x14ac:dyDescent="0.3">
      <c r="A132" t="s">
        <v>175</v>
      </c>
      <c r="B132" t="s">
        <v>16</v>
      </c>
      <c r="C132" t="s">
        <v>17</v>
      </c>
      <c r="D132" t="s">
        <v>40</v>
      </c>
      <c r="E132" t="s">
        <v>41</v>
      </c>
      <c r="F132">
        <v>315</v>
      </c>
      <c r="G132" s="3">
        <v>356.51</v>
      </c>
      <c r="H132" s="1">
        <v>45661</v>
      </c>
      <c r="I132" s="1">
        <v>45690</v>
      </c>
      <c r="J132" s="3">
        <v>99.81</v>
      </c>
      <c r="K132" s="2">
        <f>Table4[[#This Row],[Stock-Quantity]]*Table4[[#This Row],[Unit-Price]]</f>
        <v>112300.65</v>
      </c>
      <c r="L132" s="2">
        <f>Table4[[#This Row],[Stock-Quantity]]*Table4[[#This Row],[Margin-Unit]]</f>
        <v>31440.15</v>
      </c>
      <c r="M132">
        <f>Table4[[#This Row],[Date-Sales]]-Table4[[#This Row],[Date-Received]]</f>
        <v>29</v>
      </c>
      <c r="N132" s="6">
        <f>Table4[[#This Row],[Margin-Unit]]/Table4[[#This Row],[Unit-Price]]</f>
        <v>0.27996409637878322</v>
      </c>
    </row>
    <row r="133" spans="1:14" x14ac:dyDescent="0.3">
      <c r="A133" t="s">
        <v>176</v>
      </c>
      <c r="B133" t="s">
        <v>94</v>
      </c>
      <c r="C133" t="s">
        <v>29</v>
      </c>
      <c r="D133" t="s">
        <v>40</v>
      </c>
      <c r="E133" t="s">
        <v>41</v>
      </c>
      <c r="F133">
        <v>258</v>
      </c>
      <c r="G133" s="3">
        <v>486.08</v>
      </c>
      <c r="H133" s="1">
        <v>45686</v>
      </c>
      <c r="I133" s="1">
        <v>45693</v>
      </c>
      <c r="J133" s="3">
        <v>135.9</v>
      </c>
      <c r="K133" s="2">
        <f>Table4[[#This Row],[Stock-Quantity]]*Table4[[#This Row],[Unit-Price]]</f>
        <v>125408.64</v>
      </c>
      <c r="L133" s="2">
        <f>Table4[[#This Row],[Stock-Quantity]]*Table4[[#This Row],[Margin-Unit]]</f>
        <v>35062.200000000004</v>
      </c>
      <c r="M133">
        <f>Table4[[#This Row],[Date-Sales]]-Table4[[#This Row],[Date-Received]]</f>
        <v>7</v>
      </c>
      <c r="N133" s="6">
        <f>Table4[[#This Row],[Margin-Unit]]/Table4[[#This Row],[Unit-Price]]</f>
        <v>0.27958360763660306</v>
      </c>
    </row>
    <row r="134" spans="1:14" x14ac:dyDescent="0.3">
      <c r="A134" t="s">
        <v>177</v>
      </c>
      <c r="B134" t="s">
        <v>39</v>
      </c>
      <c r="C134" t="s">
        <v>12</v>
      </c>
      <c r="D134" t="s">
        <v>40</v>
      </c>
      <c r="E134" t="s">
        <v>41</v>
      </c>
      <c r="F134">
        <v>127</v>
      </c>
      <c r="G134" s="3">
        <v>233.31</v>
      </c>
      <c r="H134" s="1">
        <v>45721</v>
      </c>
      <c r="I134" s="1">
        <v>45746</v>
      </c>
      <c r="J134" s="3">
        <v>61.49</v>
      </c>
      <c r="K134" s="2">
        <f>Table4[[#This Row],[Stock-Quantity]]*Table4[[#This Row],[Unit-Price]]</f>
        <v>29630.37</v>
      </c>
      <c r="L134" s="2">
        <f>Table4[[#This Row],[Stock-Quantity]]*Table4[[#This Row],[Margin-Unit]]</f>
        <v>7809.2300000000005</v>
      </c>
      <c r="M134">
        <f>Table4[[#This Row],[Date-Sales]]-Table4[[#This Row],[Date-Received]]</f>
        <v>25</v>
      </c>
      <c r="N134" s="6">
        <f>Table4[[#This Row],[Margin-Unit]]/Table4[[#This Row],[Unit-Price]]</f>
        <v>0.26355492692126359</v>
      </c>
    </row>
    <row r="135" spans="1:14" x14ac:dyDescent="0.3">
      <c r="A135" t="s">
        <v>178</v>
      </c>
      <c r="B135" t="s">
        <v>63</v>
      </c>
      <c r="C135" t="s">
        <v>35</v>
      </c>
      <c r="D135" t="s">
        <v>13</v>
      </c>
      <c r="E135" t="s">
        <v>14</v>
      </c>
      <c r="F135">
        <v>308</v>
      </c>
      <c r="G135" s="3">
        <v>14.08</v>
      </c>
      <c r="H135" s="1">
        <v>45794</v>
      </c>
      <c r="I135" s="1">
        <v>45797</v>
      </c>
      <c r="J135" s="3">
        <v>3.09</v>
      </c>
      <c r="K135" s="2">
        <f>Table4[[#This Row],[Stock-Quantity]]*Table4[[#This Row],[Unit-Price]]</f>
        <v>4336.6400000000003</v>
      </c>
      <c r="L135" s="2">
        <f>Table4[[#This Row],[Stock-Quantity]]*Table4[[#This Row],[Margin-Unit]]</f>
        <v>951.71999999999991</v>
      </c>
      <c r="M135">
        <f>Table4[[#This Row],[Date-Sales]]-Table4[[#This Row],[Date-Received]]</f>
        <v>3</v>
      </c>
      <c r="N135" s="6">
        <f>Table4[[#This Row],[Margin-Unit]]/Table4[[#This Row],[Unit-Price]]</f>
        <v>0.21946022727272727</v>
      </c>
    </row>
    <row r="136" spans="1:14" x14ac:dyDescent="0.3">
      <c r="A136" t="s">
        <v>179</v>
      </c>
      <c r="B136" t="s">
        <v>24</v>
      </c>
      <c r="C136" t="s">
        <v>22</v>
      </c>
      <c r="D136" t="s">
        <v>30</v>
      </c>
      <c r="E136" t="s">
        <v>31</v>
      </c>
      <c r="F136">
        <v>415</v>
      </c>
      <c r="G136" s="3">
        <v>475.74</v>
      </c>
      <c r="H136" s="1">
        <v>45823</v>
      </c>
      <c r="I136" s="1">
        <v>45830</v>
      </c>
      <c r="J136" s="3">
        <v>79.42</v>
      </c>
      <c r="K136" s="2">
        <f>Table4[[#This Row],[Stock-Quantity]]*Table4[[#This Row],[Unit-Price]]</f>
        <v>197432.1</v>
      </c>
      <c r="L136" s="2">
        <f>Table4[[#This Row],[Stock-Quantity]]*Table4[[#This Row],[Margin-Unit]]</f>
        <v>32959.300000000003</v>
      </c>
      <c r="M136">
        <f>Table4[[#This Row],[Date-Sales]]-Table4[[#This Row],[Date-Received]]</f>
        <v>7</v>
      </c>
      <c r="N136" s="6">
        <f>Table4[[#This Row],[Margin-Unit]]/Table4[[#This Row],[Unit-Price]]</f>
        <v>0.16693992516921008</v>
      </c>
    </row>
    <row r="137" spans="1:14" x14ac:dyDescent="0.3">
      <c r="A137" t="s">
        <v>180</v>
      </c>
      <c r="B137" t="s">
        <v>70</v>
      </c>
      <c r="C137" t="s">
        <v>35</v>
      </c>
      <c r="D137" t="s">
        <v>25</v>
      </c>
      <c r="E137" t="s">
        <v>26</v>
      </c>
      <c r="F137">
        <v>180</v>
      </c>
      <c r="G137" s="3">
        <v>274.33</v>
      </c>
      <c r="H137" s="1">
        <v>45713</v>
      </c>
      <c r="I137" s="1">
        <v>45731</v>
      </c>
      <c r="J137" s="3">
        <v>52.55</v>
      </c>
      <c r="K137" s="2">
        <f>Table4[[#This Row],[Stock-Quantity]]*Table4[[#This Row],[Unit-Price]]</f>
        <v>49379.399999999994</v>
      </c>
      <c r="L137" s="2">
        <f>Table4[[#This Row],[Stock-Quantity]]*Table4[[#This Row],[Margin-Unit]]</f>
        <v>9459</v>
      </c>
      <c r="M137">
        <f>Table4[[#This Row],[Date-Sales]]-Table4[[#This Row],[Date-Received]]</f>
        <v>18</v>
      </c>
      <c r="N137" s="6">
        <f>Table4[[#This Row],[Margin-Unit]]/Table4[[#This Row],[Unit-Price]]</f>
        <v>0.19155761309371924</v>
      </c>
    </row>
    <row r="138" spans="1:14" x14ac:dyDescent="0.3">
      <c r="A138" t="s">
        <v>181</v>
      </c>
      <c r="B138" t="s">
        <v>21</v>
      </c>
      <c r="C138" t="s">
        <v>22</v>
      </c>
      <c r="D138" t="s">
        <v>25</v>
      </c>
      <c r="E138" t="s">
        <v>26</v>
      </c>
      <c r="F138">
        <v>22</v>
      </c>
      <c r="G138" s="3">
        <v>312.62</v>
      </c>
      <c r="H138" s="1">
        <v>45807</v>
      </c>
      <c r="I138" s="1">
        <v>45811</v>
      </c>
      <c r="J138" s="3">
        <v>57.62</v>
      </c>
      <c r="K138" s="2">
        <f>Table4[[#This Row],[Stock-Quantity]]*Table4[[#This Row],[Unit-Price]]</f>
        <v>6877.64</v>
      </c>
      <c r="L138" s="2">
        <f>Table4[[#This Row],[Stock-Quantity]]*Table4[[#This Row],[Margin-Unit]]</f>
        <v>1267.6399999999999</v>
      </c>
      <c r="M138">
        <f>Table4[[#This Row],[Date-Sales]]-Table4[[#This Row],[Date-Received]]</f>
        <v>4</v>
      </c>
      <c r="N138" s="6">
        <f>Table4[[#This Row],[Margin-Unit]]/Table4[[#This Row],[Unit-Price]]</f>
        <v>0.18431322372209072</v>
      </c>
    </row>
    <row r="139" spans="1:14" x14ac:dyDescent="0.3">
      <c r="A139" t="s">
        <v>182</v>
      </c>
      <c r="B139" t="s">
        <v>70</v>
      </c>
      <c r="C139" t="s">
        <v>35</v>
      </c>
      <c r="D139" t="s">
        <v>40</v>
      </c>
      <c r="E139" t="s">
        <v>41</v>
      </c>
      <c r="F139">
        <v>228</v>
      </c>
      <c r="G139" s="3">
        <v>69.77</v>
      </c>
      <c r="H139" s="1">
        <v>45816</v>
      </c>
      <c r="I139" s="1">
        <v>45819</v>
      </c>
      <c r="J139" s="3">
        <v>16.43</v>
      </c>
      <c r="K139" s="2">
        <f>Table4[[#This Row],[Stock-Quantity]]*Table4[[#This Row],[Unit-Price]]</f>
        <v>15907.56</v>
      </c>
      <c r="L139" s="2">
        <f>Table4[[#This Row],[Stock-Quantity]]*Table4[[#This Row],[Margin-Unit]]</f>
        <v>3746.04</v>
      </c>
      <c r="M139">
        <f>Table4[[#This Row],[Date-Sales]]-Table4[[#This Row],[Date-Received]]</f>
        <v>3</v>
      </c>
      <c r="N139" s="6">
        <f>Table4[[#This Row],[Margin-Unit]]/Table4[[#This Row],[Unit-Price]]</f>
        <v>0.23548803210548946</v>
      </c>
    </row>
    <row r="140" spans="1:14" x14ac:dyDescent="0.3">
      <c r="A140" t="s">
        <v>183</v>
      </c>
      <c r="B140" t="s">
        <v>24</v>
      </c>
      <c r="C140" t="s">
        <v>22</v>
      </c>
      <c r="D140" t="s">
        <v>13</v>
      </c>
      <c r="E140" t="s">
        <v>14</v>
      </c>
      <c r="F140">
        <v>195</v>
      </c>
      <c r="G140" s="3">
        <v>490.66</v>
      </c>
      <c r="H140" s="1">
        <v>45698</v>
      </c>
      <c r="I140" s="1">
        <v>45719</v>
      </c>
      <c r="J140" s="3">
        <v>71.760000000000005</v>
      </c>
      <c r="K140" s="2">
        <f>Table4[[#This Row],[Stock-Quantity]]*Table4[[#This Row],[Unit-Price]]</f>
        <v>95678.700000000012</v>
      </c>
      <c r="L140" s="2">
        <f>Table4[[#This Row],[Stock-Quantity]]*Table4[[#This Row],[Margin-Unit]]</f>
        <v>13993.2</v>
      </c>
      <c r="M140">
        <f>Table4[[#This Row],[Date-Sales]]-Table4[[#This Row],[Date-Received]]</f>
        <v>21</v>
      </c>
      <c r="N140" s="6">
        <f>Table4[[#This Row],[Margin-Unit]]/Table4[[#This Row],[Unit-Price]]</f>
        <v>0.14625198711939022</v>
      </c>
    </row>
    <row r="141" spans="1:14" x14ac:dyDescent="0.3">
      <c r="A141" t="s">
        <v>184</v>
      </c>
      <c r="B141" t="s">
        <v>106</v>
      </c>
      <c r="C141" t="s">
        <v>17</v>
      </c>
      <c r="D141" t="s">
        <v>18</v>
      </c>
      <c r="E141" t="s">
        <v>19</v>
      </c>
      <c r="F141">
        <v>499</v>
      </c>
      <c r="G141" s="3">
        <v>56.12</v>
      </c>
      <c r="H141" s="1">
        <v>45736</v>
      </c>
      <c r="I141" s="1">
        <v>45739</v>
      </c>
      <c r="J141" s="3">
        <v>11.15</v>
      </c>
      <c r="K141" s="2">
        <f>Table4[[#This Row],[Stock-Quantity]]*Table4[[#This Row],[Unit-Price]]</f>
        <v>28003.879999999997</v>
      </c>
      <c r="L141" s="2">
        <f>Table4[[#This Row],[Stock-Quantity]]*Table4[[#This Row],[Margin-Unit]]</f>
        <v>5563.85</v>
      </c>
      <c r="M141">
        <f>Table4[[#This Row],[Date-Sales]]-Table4[[#This Row],[Date-Received]]</f>
        <v>3</v>
      </c>
      <c r="N141" s="6">
        <f>Table4[[#This Row],[Margin-Unit]]/Table4[[#This Row],[Unit-Price]]</f>
        <v>0.19868139700641485</v>
      </c>
    </row>
    <row r="142" spans="1:14" x14ac:dyDescent="0.3">
      <c r="A142" t="s">
        <v>185</v>
      </c>
      <c r="B142" t="s">
        <v>80</v>
      </c>
      <c r="C142" t="s">
        <v>29</v>
      </c>
      <c r="D142" t="s">
        <v>30</v>
      </c>
      <c r="E142" t="s">
        <v>31</v>
      </c>
      <c r="F142">
        <v>158</v>
      </c>
      <c r="G142" s="3">
        <v>342.14</v>
      </c>
      <c r="H142" s="1">
        <v>45833</v>
      </c>
      <c r="I142" s="1">
        <v>45856</v>
      </c>
      <c r="J142" s="3">
        <v>41.3</v>
      </c>
      <c r="K142" s="2">
        <f>Table4[[#This Row],[Stock-Quantity]]*Table4[[#This Row],[Unit-Price]]</f>
        <v>54058.119999999995</v>
      </c>
      <c r="L142" s="2">
        <f>Table4[[#This Row],[Stock-Quantity]]*Table4[[#This Row],[Margin-Unit]]</f>
        <v>6525.4</v>
      </c>
      <c r="M142">
        <f>Table4[[#This Row],[Date-Sales]]-Table4[[#This Row],[Date-Received]]</f>
        <v>23</v>
      </c>
      <c r="N142" s="6">
        <f>Table4[[#This Row],[Margin-Unit]]/Table4[[#This Row],[Unit-Price]]</f>
        <v>0.12071082013210965</v>
      </c>
    </row>
    <row r="143" spans="1:14" x14ac:dyDescent="0.3">
      <c r="A143" t="s">
        <v>186</v>
      </c>
      <c r="B143" t="s">
        <v>52</v>
      </c>
      <c r="C143" t="s">
        <v>12</v>
      </c>
      <c r="D143" t="s">
        <v>25</v>
      </c>
      <c r="E143" t="s">
        <v>26</v>
      </c>
      <c r="F143">
        <v>439</v>
      </c>
      <c r="G143" s="3">
        <v>418.21</v>
      </c>
      <c r="H143" s="1">
        <v>45751</v>
      </c>
      <c r="I143" s="1">
        <v>45758</v>
      </c>
      <c r="J143" s="3">
        <v>81.47</v>
      </c>
      <c r="K143" s="2">
        <f>Table4[[#This Row],[Stock-Quantity]]*Table4[[#This Row],[Unit-Price]]</f>
        <v>183594.19</v>
      </c>
      <c r="L143" s="2">
        <f>Table4[[#This Row],[Stock-Quantity]]*Table4[[#This Row],[Margin-Unit]]</f>
        <v>35765.33</v>
      </c>
      <c r="M143">
        <f>Table4[[#This Row],[Date-Sales]]-Table4[[#This Row],[Date-Received]]</f>
        <v>7</v>
      </c>
      <c r="N143" s="6">
        <f>Table4[[#This Row],[Margin-Unit]]/Table4[[#This Row],[Unit-Price]]</f>
        <v>0.1948064369575094</v>
      </c>
    </row>
    <row r="144" spans="1:14" x14ac:dyDescent="0.3">
      <c r="A144" t="s">
        <v>187</v>
      </c>
      <c r="B144" t="s">
        <v>28</v>
      </c>
      <c r="C144" t="s">
        <v>29</v>
      </c>
      <c r="D144" t="s">
        <v>25</v>
      </c>
      <c r="E144" t="s">
        <v>26</v>
      </c>
      <c r="F144">
        <v>476</v>
      </c>
      <c r="G144" s="3">
        <v>342.02</v>
      </c>
      <c r="H144" s="1">
        <v>45778</v>
      </c>
      <c r="I144" s="1">
        <v>45793</v>
      </c>
      <c r="J144" s="3">
        <v>65.98</v>
      </c>
      <c r="K144" s="2">
        <f>Table4[[#This Row],[Stock-Quantity]]*Table4[[#This Row],[Unit-Price]]</f>
        <v>162801.51999999999</v>
      </c>
      <c r="L144" s="2">
        <f>Table4[[#This Row],[Stock-Quantity]]*Table4[[#This Row],[Margin-Unit]]</f>
        <v>31406.480000000003</v>
      </c>
      <c r="M144">
        <f>Table4[[#This Row],[Date-Sales]]-Table4[[#This Row],[Date-Received]]</f>
        <v>15</v>
      </c>
      <c r="N144" s="6">
        <f>Table4[[#This Row],[Margin-Unit]]/Table4[[#This Row],[Unit-Price]]</f>
        <v>0.19291269516402551</v>
      </c>
    </row>
    <row r="145" spans="1:14" x14ac:dyDescent="0.3">
      <c r="A145" t="s">
        <v>188</v>
      </c>
      <c r="B145" t="s">
        <v>52</v>
      </c>
      <c r="C145" t="s">
        <v>12</v>
      </c>
      <c r="D145" t="s">
        <v>13</v>
      </c>
      <c r="E145" t="s">
        <v>14</v>
      </c>
      <c r="F145">
        <v>396</v>
      </c>
      <c r="G145" s="3">
        <v>23.6</v>
      </c>
      <c r="H145" s="1">
        <v>45738</v>
      </c>
      <c r="I145" s="1">
        <v>45753</v>
      </c>
      <c r="J145" s="3">
        <v>4.26</v>
      </c>
      <c r="K145" s="2">
        <f>Table4[[#This Row],[Stock-Quantity]]*Table4[[#This Row],[Unit-Price]]</f>
        <v>9345.6</v>
      </c>
      <c r="L145" s="2">
        <f>Table4[[#This Row],[Stock-Quantity]]*Table4[[#This Row],[Margin-Unit]]</f>
        <v>1686.9599999999998</v>
      </c>
      <c r="M145">
        <f>Table4[[#This Row],[Date-Sales]]-Table4[[#This Row],[Date-Received]]</f>
        <v>15</v>
      </c>
      <c r="N145" s="6">
        <f>Table4[[#This Row],[Margin-Unit]]/Table4[[#This Row],[Unit-Price]]</f>
        <v>0.18050847457627117</v>
      </c>
    </row>
    <row r="146" spans="1:14" x14ac:dyDescent="0.3">
      <c r="A146" t="s">
        <v>189</v>
      </c>
      <c r="B146" t="s">
        <v>94</v>
      </c>
      <c r="C146" t="s">
        <v>29</v>
      </c>
      <c r="D146" t="s">
        <v>25</v>
      </c>
      <c r="E146" t="s">
        <v>26</v>
      </c>
      <c r="F146">
        <v>89</v>
      </c>
      <c r="G146" s="3">
        <v>388.32</v>
      </c>
      <c r="H146" s="1">
        <v>45813</v>
      </c>
      <c r="I146" s="1">
        <v>45843</v>
      </c>
      <c r="J146" s="3">
        <v>55.76</v>
      </c>
      <c r="K146" s="2">
        <f>Table4[[#This Row],[Stock-Quantity]]*Table4[[#This Row],[Unit-Price]]</f>
        <v>34560.479999999996</v>
      </c>
      <c r="L146" s="2">
        <f>Table4[[#This Row],[Stock-Quantity]]*Table4[[#This Row],[Margin-Unit]]</f>
        <v>4962.6399999999994</v>
      </c>
      <c r="M146">
        <f>Table4[[#This Row],[Date-Sales]]-Table4[[#This Row],[Date-Received]]</f>
        <v>30</v>
      </c>
      <c r="N146" s="6">
        <f>Table4[[#This Row],[Margin-Unit]]/Table4[[#This Row],[Unit-Price]]</f>
        <v>0.14359291306139266</v>
      </c>
    </row>
    <row r="147" spans="1:14" x14ac:dyDescent="0.3">
      <c r="A147" t="s">
        <v>190</v>
      </c>
      <c r="B147" t="s">
        <v>16</v>
      </c>
      <c r="C147" t="s">
        <v>17</v>
      </c>
      <c r="D147" t="s">
        <v>30</v>
      </c>
      <c r="E147" t="s">
        <v>31</v>
      </c>
      <c r="F147">
        <v>269</v>
      </c>
      <c r="G147" s="3">
        <v>138.63999999999999</v>
      </c>
      <c r="H147" s="1">
        <v>45738</v>
      </c>
      <c r="I147" s="1">
        <v>45764</v>
      </c>
      <c r="J147" s="3">
        <v>17.739999999999998</v>
      </c>
      <c r="K147" s="2">
        <f>Table4[[#This Row],[Stock-Quantity]]*Table4[[#This Row],[Unit-Price]]</f>
        <v>37294.159999999996</v>
      </c>
      <c r="L147" s="2">
        <f>Table4[[#This Row],[Stock-Quantity]]*Table4[[#This Row],[Margin-Unit]]</f>
        <v>4772.0599999999995</v>
      </c>
      <c r="M147">
        <f>Table4[[#This Row],[Date-Sales]]-Table4[[#This Row],[Date-Received]]</f>
        <v>26</v>
      </c>
      <c r="N147" s="6">
        <f>Table4[[#This Row],[Margin-Unit]]/Table4[[#This Row],[Unit-Price]]</f>
        <v>0.12795729948066936</v>
      </c>
    </row>
    <row r="148" spans="1:14" x14ac:dyDescent="0.3">
      <c r="A148" t="s">
        <v>191</v>
      </c>
      <c r="B148" t="s">
        <v>43</v>
      </c>
      <c r="C148" t="s">
        <v>35</v>
      </c>
      <c r="D148" t="s">
        <v>40</v>
      </c>
      <c r="E148" t="s">
        <v>41</v>
      </c>
      <c r="F148">
        <v>169</v>
      </c>
      <c r="G148" s="3">
        <v>162.66999999999999</v>
      </c>
      <c r="H148" s="1">
        <v>45834</v>
      </c>
      <c r="I148" s="1">
        <v>45853</v>
      </c>
      <c r="J148" s="3">
        <v>32.340000000000003</v>
      </c>
      <c r="K148" s="2">
        <f>Table4[[#This Row],[Stock-Quantity]]*Table4[[#This Row],[Unit-Price]]</f>
        <v>27491.23</v>
      </c>
      <c r="L148" s="2">
        <f>Table4[[#This Row],[Stock-Quantity]]*Table4[[#This Row],[Margin-Unit]]</f>
        <v>5465.4600000000009</v>
      </c>
      <c r="M148">
        <f>Table4[[#This Row],[Date-Sales]]-Table4[[#This Row],[Date-Received]]</f>
        <v>19</v>
      </c>
      <c r="N148" s="6">
        <f>Table4[[#This Row],[Margin-Unit]]/Table4[[#This Row],[Unit-Price]]</f>
        <v>0.19880740148767448</v>
      </c>
    </row>
    <row r="149" spans="1:14" x14ac:dyDescent="0.3">
      <c r="A149" t="s">
        <v>192</v>
      </c>
      <c r="B149" t="s">
        <v>63</v>
      </c>
      <c r="C149" t="s">
        <v>35</v>
      </c>
      <c r="D149" t="s">
        <v>40</v>
      </c>
      <c r="E149" t="s">
        <v>41</v>
      </c>
      <c r="F149">
        <v>355</v>
      </c>
      <c r="G149" s="3">
        <v>84.53</v>
      </c>
      <c r="H149" s="1">
        <v>45700</v>
      </c>
      <c r="I149" s="1">
        <v>45729</v>
      </c>
      <c r="J149" s="3">
        <v>18.399999999999999</v>
      </c>
      <c r="K149" s="2">
        <f>Table4[[#This Row],[Stock-Quantity]]*Table4[[#This Row],[Unit-Price]]</f>
        <v>30008.15</v>
      </c>
      <c r="L149" s="2">
        <f>Table4[[#This Row],[Stock-Quantity]]*Table4[[#This Row],[Margin-Unit]]</f>
        <v>6531.9999999999991</v>
      </c>
      <c r="M149">
        <f>Table4[[#This Row],[Date-Sales]]-Table4[[#This Row],[Date-Received]]</f>
        <v>29</v>
      </c>
      <c r="N149" s="6">
        <f>Table4[[#This Row],[Margin-Unit]]/Table4[[#This Row],[Unit-Price]]</f>
        <v>0.21767419850940492</v>
      </c>
    </row>
    <row r="150" spans="1:14" x14ac:dyDescent="0.3">
      <c r="A150" t="s">
        <v>193</v>
      </c>
      <c r="B150" t="s">
        <v>11</v>
      </c>
      <c r="C150" t="s">
        <v>12</v>
      </c>
      <c r="D150" t="s">
        <v>25</v>
      </c>
      <c r="E150" t="s">
        <v>26</v>
      </c>
      <c r="F150">
        <v>219</v>
      </c>
      <c r="G150" s="3">
        <v>447.92</v>
      </c>
      <c r="H150" s="1">
        <v>45779</v>
      </c>
      <c r="I150" s="1">
        <v>45802</v>
      </c>
      <c r="J150" s="3">
        <v>48.43</v>
      </c>
      <c r="K150" s="2">
        <f>Table4[[#This Row],[Stock-Quantity]]*Table4[[#This Row],[Unit-Price]]</f>
        <v>98094.48000000001</v>
      </c>
      <c r="L150" s="2">
        <f>Table4[[#This Row],[Stock-Quantity]]*Table4[[#This Row],[Margin-Unit]]</f>
        <v>10606.17</v>
      </c>
      <c r="M150">
        <f>Table4[[#This Row],[Date-Sales]]-Table4[[#This Row],[Date-Received]]</f>
        <v>23</v>
      </c>
      <c r="N150" s="6">
        <f>Table4[[#This Row],[Margin-Unit]]/Table4[[#This Row],[Unit-Price]]</f>
        <v>0.10812198606894088</v>
      </c>
    </row>
    <row r="151" spans="1:14" x14ac:dyDescent="0.3">
      <c r="A151" t="s">
        <v>194</v>
      </c>
      <c r="B151" t="s">
        <v>16</v>
      </c>
      <c r="C151" t="s">
        <v>17</v>
      </c>
      <c r="D151" t="s">
        <v>13</v>
      </c>
      <c r="E151" t="s">
        <v>14</v>
      </c>
      <c r="F151">
        <v>235</v>
      </c>
      <c r="G151" s="3">
        <v>59.32</v>
      </c>
      <c r="H151" s="1">
        <v>45799</v>
      </c>
      <c r="I151" s="1">
        <v>45806</v>
      </c>
      <c r="J151" s="3">
        <v>8.5</v>
      </c>
      <c r="K151" s="2">
        <f>Table4[[#This Row],[Stock-Quantity]]*Table4[[#This Row],[Unit-Price]]</f>
        <v>13940.2</v>
      </c>
      <c r="L151" s="2">
        <f>Table4[[#This Row],[Stock-Quantity]]*Table4[[#This Row],[Margin-Unit]]</f>
        <v>1997.5</v>
      </c>
      <c r="M151">
        <f>Table4[[#This Row],[Date-Sales]]-Table4[[#This Row],[Date-Received]]</f>
        <v>7</v>
      </c>
      <c r="N151" s="6">
        <f>Table4[[#This Row],[Margin-Unit]]/Table4[[#This Row],[Unit-Price]]</f>
        <v>0.1432906271072151</v>
      </c>
    </row>
    <row r="152" spans="1:14" x14ac:dyDescent="0.3">
      <c r="A152" t="s">
        <v>195</v>
      </c>
      <c r="B152" t="s">
        <v>43</v>
      </c>
      <c r="C152" t="s">
        <v>35</v>
      </c>
      <c r="D152" t="s">
        <v>18</v>
      </c>
      <c r="E152" t="s">
        <v>19</v>
      </c>
      <c r="F152">
        <v>298</v>
      </c>
      <c r="G152" s="3">
        <v>484.54</v>
      </c>
      <c r="H152" s="1">
        <v>45678</v>
      </c>
      <c r="I152" s="1">
        <v>45692</v>
      </c>
      <c r="J152" s="3">
        <v>114.91</v>
      </c>
      <c r="K152" s="2">
        <f>Table4[[#This Row],[Stock-Quantity]]*Table4[[#This Row],[Unit-Price]]</f>
        <v>144392.92000000001</v>
      </c>
      <c r="L152" s="2">
        <f>Table4[[#This Row],[Stock-Quantity]]*Table4[[#This Row],[Margin-Unit]]</f>
        <v>34243.18</v>
      </c>
      <c r="M152">
        <f>Table4[[#This Row],[Date-Sales]]-Table4[[#This Row],[Date-Received]]</f>
        <v>14</v>
      </c>
      <c r="N152" s="6">
        <f>Table4[[#This Row],[Margin-Unit]]/Table4[[#This Row],[Unit-Price]]</f>
        <v>0.23715276344574235</v>
      </c>
    </row>
    <row r="153" spans="1:14" x14ac:dyDescent="0.3">
      <c r="A153" t="s">
        <v>196</v>
      </c>
      <c r="B153" t="s">
        <v>74</v>
      </c>
      <c r="C153" t="s">
        <v>29</v>
      </c>
      <c r="D153" t="s">
        <v>25</v>
      </c>
      <c r="E153" t="s">
        <v>26</v>
      </c>
      <c r="F153">
        <v>465</v>
      </c>
      <c r="G153" s="3">
        <v>397.81</v>
      </c>
      <c r="H153" s="1">
        <v>45757</v>
      </c>
      <c r="I153" s="1">
        <v>45785</v>
      </c>
      <c r="J153" s="3">
        <v>64.62</v>
      </c>
      <c r="K153" s="2">
        <f>Table4[[#This Row],[Stock-Quantity]]*Table4[[#This Row],[Unit-Price]]</f>
        <v>184981.65</v>
      </c>
      <c r="L153" s="2">
        <f>Table4[[#This Row],[Stock-Quantity]]*Table4[[#This Row],[Margin-Unit]]</f>
        <v>30048.300000000003</v>
      </c>
      <c r="M153">
        <f>Table4[[#This Row],[Date-Sales]]-Table4[[#This Row],[Date-Received]]</f>
        <v>28</v>
      </c>
      <c r="N153" s="6">
        <f>Table4[[#This Row],[Margin-Unit]]/Table4[[#This Row],[Unit-Price]]</f>
        <v>0.16243935547120486</v>
      </c>
    </row>
    <row r="154" spans="1:14" x14ac:dyDescent="0.3">
      <c r="A154" t="s">
        <v>197</v>
      </c>
      <c r="B154" t="s">
        <v>74</v>
      </c>
      <c r="C154" t="s">
        <v>29</v>
      </c>
      <c r="D154" t="s">
        <v>40</v>
      </c>
      <c r="E154" t="s">
        <v>41</v>
      </c>
      <c r="F154">
        <v>142</v>
      </c>
      <c r="G154" s="3">
        <v>329.98</v>
      </c>
      <c r="H154" s="1">
        <v>45825</v>
      </c>
      <c r="I154" s="1">
        <v>45836</v>
      </c>
      <c r="J154" s="3">
        <v>54.22</v>
      </c>
      <c r="K154" s="2">
        <f>Table4[[#This Row],[Stock-Quantity]]*Table4[[#This Row],[Unit-Price]]</f>
        <v>46857.16</v>
      </c>
      <c r="L154" s="2">
        <f>Table4[[#This Row],[Stock-Quantity]]*Table4[[#This Row],[Margin-Unit]]</f>
        <v>7699.24</v>
      </c>
      <c r="M154">
        <f>Table4[[#This Row],[Date-Sales]]-Table4[[#This Row],[Date-Received]]</f>
        <v>11</v>
      </c>
      <c r="N154" s="6">
        <f>Table4[[#This Row],[Margin-Unit]]/Table4[[#This Row],[Unit-Price]]</f>
        <v>0.16431298866597974</v>
      </c>
    </row>
    <row r="155" spans="1:14" x14ac:dyDescent="0.3">
      <c r="A155" t="s">
        <v>198</v>
      </c>
      <c r="B155" t="s">
        <v>70</v>
      </c>
      <c r="C155" t="s">
        <v>35</v>
      </c>
      <c r="D155" t="s">
        <v>25</v>
      </c>
      <c r="E155" t="s">
        <v>26</v>
      </c>
      <c r="F155">
        <v>412</v>
      </c>
      <c r="G155" s="3">
        <v>240.38</v>
      </c>
      <c r="H155" s="1">
        <v>45835</v>
      </c>
      <c r="I155" s="1">
        <v>45840</v>
      </c>
      <c r="J155" s="3">
        <v>30.61</v>
      </c>
      <c r="K155" s="2">
        <f>Table4[[#This Row],[Stock-Quantity]]*Table4[[#This Row],[Unit-Price]]</f>
        <v>99036.56</v>
      </c>
      <c r="L155" s="2">
        <f>Table4[[#This Row],[Stock-Quantity]]*Table4[[#This Row],[Margin-Unit]]</f>
        <v>12611.32</v>
      </c>
      <c r="M155">
        <f>Table4[[#This Row],[Date-Sales]]-Table4[[#This Row],[Date-Received]]</f>
        <v>5</v>
      </c>
      <c r="N155" s="6">
        <f>Table4[[#This Row],[Margin-Unit]]/Table4[[#This Row],[Unit-Price]]</f>
        <v>0.12734004492886264</v>
      </c>
    </row>
    <row r="156" spans="1:14" x14ac:dyDescent="0.3">
      <c r="A156" t="s">
        <v>199</v>
      </c>
      <c r="B156" t="s">
        <v>80</v>
      </c>
      <c r="C156" t="s">
        <v>29</v>
      </c>
      <c r="D156" t="s">
        <v>13</v>
      </c>
      <c r="E156" t="s">
        <v>14</v>
      </c>
      <c r="F156">
        <v>131</v>
      </c>
      <c r="G156" s="3">
        <v>190.53</v>
      </c>
      <c r="H156" s="1">
        <v>45724</v>
      </c>
      <c r="I156" s="1">
        <v>45738</v>
      </c>
      <c r="J156" s="3">
        <v>42.64</v>
      </c>
      <c r="K156" s="2">
        <f>Table4[[#This Row],[Stock-Quantity]]*Table4[[#This Row],[Unit-Price]]</f>
        <v>24959.43</v>
      </c>
      <c r="L156" s="2">
        <f>Table4[[#This Row],[Stock-Quantity]]*Table4[[#This Row],[Margin-Unit]]</f>
        <v>5585.84</v>
      </c>
      <c r="M156">
        <f>Table4[[#This Row],[Date-Sales]]-Table4[[#This Row],[Date-Received]]</f>
        <v>14</v>
      </c>
      <c r="N156" s="6">
        <f>Table4[[#This Row],[Margin-Unit]]/Table4[[#This Row],[Unit-Price]]</f>
        <v>0.22379677741038156</v>
      </c>
    </row>
    <row r="157" spans="1:14" x14ac:dyDescent="0.3">
      <c r="A157" t="s">
        <v>200</v>
      </c>
      <c r="B157" t="s">
        <v>52</v>
      </c>
      <c r="C157" t="s">
        <v>12</v>
      </c>
      <c r="D157" t="s">
        <v>25</v>
      </c>
      <c r="E157" t="s">
        <v>26</v>
      </c>
      <c r="F157">
        <v>28</v>
      </c>
      <c r="G157" s="3">
        <v>152.02000000000001</v>
      </c>
      <c r="H157" s="1">
        <v>45829</v>
      </c>
      <c r="I157" s="1">
        <v>45855</v>
      </c>
      <c r="J157" s="3">
        <v>39.17</v>
      </c>
      <c r="K157" s="2">
        <f>Table4[[#This Row],[Stock-Quantity]]*Table4[[#This Row],[Unit-Price]]</f>
        <v>4256.5600000000004</v>
      </c>
      <c r="L157" s="2">
        <f>Table4[[#This Row],[Stock-Quantity]]*Table4[[#This Row],[Margin-Unit]]</f>
        <v>1096.76</v>
      </c>
      <c r="M157">
        <f>Table4[[#This Row],[Date-Sales]]-Table4[[#This Row],[Date-Received]]</f>
        <v>26</v>
      </c>
      <c r="N157" s="6">
        <f>Table4[[#This Row],[Margin-Unit]]/Table4[[#This Row],[Unit-Price]]</f>
        <v>0.25766346533350876</v>
      </c>
    </row>
    <row r="158" spans="1:14" x14ac:dyDescent="0.3">
      <c r="A158" t="s">
        <v>201</v>
      </c>
      <c r="B158" t="s">
        <v>21</v>
      </c>
      <c r="C158" t="s">
        <v>22</v>
      </c>
      <c r="D158" t="s">
        <v>40</v>
      </c>
      <c r="E158" t="s">
        <v>41</v>
      </c>
      <c r="F158">
        <v>133</v>
      </c>
      <c r="G158" s="3">
        <v>220.82</v>
      </c>
      <c r="H158" s="1">
        <v>45705</v>
      </c>
      <c r="I158" s="1">
        <v>45729</v>
      </c>
      <c r="J158" s="3">
        <v>64.17</v>
      </c>
      <c r="K158" s="2">
        <f>Table4[[#This Row],[Stock-Quantity]]*Table4[[#This Row],[Unit-Price]]</f>
        <v>29369.059999999998</v>
      </c>
      <c r="L158" s="2">
        <f>Table4[[#This Row],[Stock-Quantity]]*Table4[[#This Row],[Margin-Unit]]</f>
        <v>8534.61</v>
      </c>
      <c r="M158">
        <f>Table4[[#This Row],[Date-Sales]]-Table4[[#This Row],[Date-Received]]</f>
        <v>24</v>
      </c>
      <c r="N158" s="6">
        <f>Table4[[#This Row],[Margin-Unit]]/Table4[[#This Row],[Unit-Price]]</f>
        <v>0.29059867765600944</v>
      </c>
    </row>
    <row r="159" spans="1:14" x14ac:dyDescent="0.3">
      <c r="A159" t="s">
        <v>202</v>
      </c>
      <c r="B159" t="s">
        <v>116</v>
      </c>
      <c r="C159" t="s">
        <v>12</v>
      </c>
      <c r="D159" t="s">
        <v>30</v>
      </c>
      <c r="E159" t="s">
        <v>31</v>
      </c>
      <c r="F159">
        <v>242</v>
      </c>
      <c r="G159" s="3">
        <v>47.92</v>
      </c>
      <c r="H159" s="1">
        <v>45749</v>
      </c>
      <c r="I159" s="1">
        <v>45755</v>
      </c>
      <c r="J159" s="3">
        <v>11.67</v>
      </c>
      <c r="K159" s="2">
        <f>Table4[[#This Row],[Stock-Quantity]]*Table4[[#This Row],[Unit-Price]]</f>
        <v>11596.640000000001</v>
      </c>
      <c r="L159" s="2">
        <f>Table4[[#This Row],[Stock-Quantity]]*Table4[[#This Row],[Margin-Unit]]</f>
        <v>2824.14</v>
      </c>
      <c r="M159">
        <f>Table4[[#This Row],[Date-Sales]]-Table4[[#This Row],[Date-Received]]</f>
        <v>6</v>
      </c>
      <c r="N159" s="6">
        <f>Table4[[#This Row],[Margin-Unit]]/Table4[[#This Row],[Unit-Price]]</f>
        <v>0.24353088480801335</v>
      </c>
    </row>
    <row r="160" spans="1:14" x14ac:dyDescent="0.3">
      <c r="A160" t="s">
        <v>203</v>
      </c>
      <c r="B160" t="s">
        <v>39</v>
      </c>
      <c r="C160" t="s">
        <v>12</v>
      </c>
      <c r="D160" t="s">
        <v>30</v>
      </c>
      <c r="E160" t="s">
        <v>31</v>
      </c>
      <c r="F160">
        <v>115</v>
      </c>
      <c r="G160" s="3">
        <v>136.72999999999999</v>
      </c>
      <c r="H160" s="1">
        <v>45815</v>
      </c>
      <c r="I160" s="1">
        <v>45825</v>
      </c>
      <c r="J160" s="3">
        <v>16.73</v>
      </c>
      <c r="K160" s="2">
        <f>Table4[[#This Row],[Stock-Quantity]]*Table4[[#This Row],[Unit-Price]]</f>
        <v>15723.949999999999</v>
      </c>
      <c r="L160" s="2">
        <f>Table4[[#This Row],[Stock-Quantity]]*Table4[[#This Row],[Margin-Unit]]</f>
        <v>1923.95</v>
      </c>
      <c r="M160">
        <f>Table4[[#This Row],[Date-Sales]]-Table4[[#This Row],[Date-Received]]</f>
        <v>10</v>
      </c>
      <c r="N160" s="6">
        <f>Table4[[#This Row],[Margin-Unit]]/Table4[[#This Row],[Unit-Price]]</f>
        <v>0.12235793169019236</v>
      </c>
    </row>
    <row r="161" spans="1:14" x14ac:dyDescent="0.3">
      <c r="A161" t="s">
        <v>204</v>
      </c>
      <c r="B161" t="s">
        <v>47</v>
      </c>
      <c r="C161" t="s">
        <v>17</v>
      </c>
      <c r="D161" t="s">
        <v>18</v>
      </c>
      <c r="E161" t="s">
        <v>19</v>
      </c>
      <c r="F161">
        <v>220</v>
      </c>
      <c r="G161" s="3">
        <v>321.73</v>
      </c>
      <c r="H161" s="1">
        <v>45684</v>
      </c>
      <c r="I161" s="1">
        <v>45706</v>
      </c>
      <c r="J161" s="3">
        <v>68.790000000000006</v>
      </c>
      <c r="K161" s="2">
        <f>Table4[[#This Row],[Stock-Quantity]]*Table4[[#This Row],[Unit-Price]]</f>
        <v>70780.600000000006</v>
      </c>
      <c r="L161" s="2">
        <f>Table4[[#This Row],[Stock-Quantity]]*Table4[[#This Row],[Margin-Unit]]</f>
        <v>15133.800000000001</v>
      </c>
      <c r="M161">
        <f>Table4[[#This Row],[Date-Sales]]-Table4[[#This Row],[Date-Received]]</f>
        <v>22</v>
      </c>
      <c r="N161" s="6">
        <f>Table4[[#This Row],[Margin-Unit]]/Table4[[#This Row],[Unit-Price]]</f>
        <v>0.21381282441799024</v>
      </c>
    </row>
    <row r="162" spans="1:14" x14ac:dyDescent="0.3">
      <c r="A162" t="s">
        <v>205</v>
      </c>
      <c r="B162" t="s">
        <v>74</v>
      </c>
      <c r="C162" t="s">
        <v>29</v>
      </c>
      <c r="D162" t="s">
        <v>18</v>
      </c>
      <c r="E162" t="s">
        <v>19</v>
      </c>
      <c r="F162">
        <v>375</v>
      </c>
      <c r="G162" s="3">
        <v>99.62</v>
      </c>
      <c r="H162" s="1">
        <v>45721</v>
      </c>
      <c r="I162" s="1">
        <v>45742</v>
      </c>
      <c r="J162" s="3">
        <v>26.96</v>
      </c>
      <c r="K162" s="2">
        <f>Table4[[#This Row],[Stock-Quantity]]*Table4[[#This Row],[Unit-Price]]</f>
        <v>37357.5</v>
      </c>
      <c r="L162" s="2">
        <f>Table4[[#This Row],[Stock-Quantity]]*Table4[[#This Row],[Margin-Unit]]</f>
        <v>10110</v>
      </c>
      <c r="M162">
        <f>Table4[[#This Row],[Date-Sales]]-Table4[[#This Row],[Date-Received]]</f>
        <v>21</v>
      </c>
      <c r="N162" s="6">
        <f>Table4[[#This Row],[Margin-Unit]]/Table4[[#This Row],[Unit-Price]]</f>
        <v>0.27062838787392091</v>
      </c>
    </row>
    <row r="163" spans="1:14" x14ac:dyDescent="0.3">
      <c r="A163" t="s">
        <v>206</v>
      </c>
      <c r="B163" t="s">
        <v>39</v>
      </c>
      <c r="C163" t="s">
        <v>12</v>
      </c>
      <c r="D163" t="s">
        <v>25</v>
      </c>
      <c r="E163" t="s">
        <v>26</v>
      </c>
      <c r="F163">
        <v>418</v>
      </c>
      <c r="G163" s="3">
        <v>178.08</v>
      </c>
      <c r="H163" s="1">
        <v>45701</v>
      </c>
      <c r="I163" s="1">
        <v>45708</v>
      </c>
      <c r="J163" s="3">
        <v>19.899999999999999</v>
      </c>
      <c r="K163" s="2">
        <f>Table4[[#This Row],[Stock-Quantity]]*Table4[[#This Row],[Unit-Price]]</f>
        <v>74437.440000000002</v>
      </c>
      <c r="L163" s="2">
        <f>Table4[[#This Row],[Stock-Quantity]]*Table4[[#This Row],[Margin-Unit]]</f>
        <v>8318.1999999999989</v>
      </c>
      <c r="M163">
        <f>Table4[[#This Row],[Date-Sales]]-Table4[[#This Row],[Date-Received]]</f>
        <v>7</v>
      </c>
      <c r="N163" s="6">
        <f>Table4[[#This Row],[Margin-Unit]]/Table4[[#This Row],[Unit-Price]]</f>
        <v>0.11174752920035938</v>
      </c>
    </row>
    <row r="164" spans="1:14" x14ac:dyDescent="0.3">
      <c r="A164" t="s">
        <v>207</v>
      </c>
      <c r="B164" t="s">
        <v>28</v>
      </c>
      <c r="C164" t="s">
        <v>29</v>
      </c>
      <c r="D164" t="s">
        <v>18</v>
      </c>
      <c r="E164" t="s">
        <v>19</v>
      </c>
      <c r="F164">
        <v>477</v>
      </c>
      <c r="G164" s="3">
        <v>221.56</v>
      </c>
      <c r="H164" s="1">
        <v>45772</v>
      </c>
      <c r="I164" s="1">
        <v>45791</v>
      </c>
      <c r="J164" s="3">
        <v>27</v>
      </c>
      <c r="K164" s="2">
        <f>Table4[[#This Row],[Stock-Quantity]]*Table4[[#This Row],[Unit-Price]]</f>
        <v>105684.12</v>
      </c>
      <c r="L164" s="2">
        <f>Table4[[#This Row],[Stock-Quantity]]*Table4[[#This Row],[Margin-Unit]]</f>
        <v>12879</v>
      </c>
      <c r="M164">
        <f>Table4[[#This Row],[Date-Sales]]-Table4[[#This Row],[Date-Received]]</f>
        <v>19</v>
      </c>
      <c r="N164" s="6">
        <f>Table4[[#This Row],[Margin-Unit]]/Table4[[#This Row],[Unit-Price]]</f>
        <v>0.12186315219353674</v>
      </c>
    </row>
    <row r="165" spans="1:14" x14ac:dyDescent="0.3">
      <c r="A165" t="s">
        <v>208</v>
      </c>
      <c r="B165" t="s">
        <v>37</v>
      </c>
      <c r="C165" t="s">
        <v>22</v>
      </c>
      <c r="D165" t="s">
        <v>40</v>
      </c>
      <c r="E165" t="s">
        <v>41</v>
      </c>
      <c r="F165">
        <v>320</v>
      </c>
      <c r="G165" s="3">
        <v>177.49</v>
      </c>
      <c r="H165" s="1">
        <v>45729</v>
      </c>
      <c r="I165" s="1">
        <v>45755</v>
      </c>
      <c r="J165" s="3">
        <v>25.05</v>
      </c>
      <c r="K165" s="2">
        <f>Table4[[#This Row],[Stock-Quantity]]*Table4[[#This Row],[Unit-Price]]</f>
        <v>56796.800000000003</v>
      </c>
      <c r="L165" s="2">
        <f>Table4[[#This Row],[Stock-Quantity]]*Table4[[#This Row],[Margin-Unit]]</f>
        <v>8016</v>
      </c>
      <c r="M165">
        <f>Table4[[#This Row],[Date-Sales]]-Table4[[#This Row],[Date-Received]]</f>
        <v>26</v>
      </c>
      <c r="N165" s="6">
        <f>Table4[[#This Row],[Margin-Unit]]/Table4[[#This Row],[Unit-Price]]</f>
        <v>0.14113471181475012</v>
      </c>
    </row>
    <row r="166" spans="1:14" x14ac:dyDescent="0.3">
      <c r="A166" t="s">
        <v>209</v>
      </c>
      <c r="B166" t="s">
        <v>43</v>
      </c>
      <c r="C166" t="s">
        <v>35</v>
      </c>
      <c r="D166" t="s">
        <v>40</v>
      </c>
      <c r="E166" t="s">
        <v>41</v>
      </c>
      <c r="F166">
        <v>309</v>
      </c>
      <c r="G166" s="3">
        <v>458.14</v>
      </c>
      <c r="H166" s="1">
        <v>45686</v>
      </c>
      <c r="I166" s="1">
        <v>45704</v>
      </c>
      <c r="J166" s="3">
        <v>101.03</v>
      </c>
      <c r="K166" s="2">
        <f>Table4[[#This Row],[Stock-Quantity]]*Table4[[#This Row],[Unit-Price]]</f>
        <v>141565.26</v>
      </c>
      <c r="L166" s="2">
        <f>Table4[[#This Row],[Stock-Quantity]]*Table4[[#This Row],[Margin-Unit]]</f>
        <v>31218.27</v>
      </c>
      <c r="M166">
        <f>Table4[[#This Row],[Date-Sales]]-Table4[[#This Row],[Date-Received]]</f>
        <v>18</v>
      </c>
      <c r="N166" s="6">
        <f>Table4[[#This Row],[Margin-Unit]]/Table4[[#This Row],[Unit-Price]]</f>
        <v>0.22052211114506484</v>
      </c>
    </row>
    <row r="167" spans="1:14" x14ac:dyDescent="0.3">
      <c r="A167" t="s">
        <v>210</v>
      </c>
      <c r="B167" t="s">
        <v>52</v>
      </c>
      <c r="C167" t="s">
        <v>12</v>
      </c>
      <c r="D167" t="s">
        <v>25</v>
      </c>
      <c r="E167" t="s">
        <v>26</v>
      </c>
      <c r="F167">
        <v>206</v>
      </c>
      <c r="G167" s="3">
        <v>233.08</v>
      </c>
      <c r="H167" s="1">
        <v>45735</v>
      </c>
      <c r="I167" s="1">
        <v>45763</v>
      </c>
      <c r="J167" s="3">
        <v>29.66</v>
      </c>
      <c r="K167" s="2">
        <f>Table4[[#This Row],[Stock-Quantity]]*Table4[[#This Row],[Unit-Price]]</f>
        <v>48014.48</v>
      </c>
      <c r="L167" s="2">
        <f>Table4[[#This Row],[Stock-Quantity]]*Table4[[#This Row],[Margin-Unit]]</f>
        <v>6109.96</v>
      </c>
      <c r="M167">
        <f>Table4[[#This Row],[Date-Sales]]-Table4[[#This Row],[Date-Received]]</f>
        <v>28</v>
      </c>
      <c r="N167" s="6">
        <f>Table4[[#This Row],[Margin-Unit]]/Table4[[#This Row],[Unit-Price]]</f>
        <v>0.12725244551227047</v>
      </c>
    </row>
    <row r="168" spans="1:14" x14ac:dyDescent="0.3">
      <c r="A168" t="s">
        <v>211</v>
      </c>
      <c r="B168" t="s">
        <v>39</v>
      </c>
      <c r="C168" t="s">
        <v>12</v>
      </c>
      <c r="D168" t="s">
        <v>18</v>
      </c>
      <c r="E168" t="s">
        <v>19</v>
      </c>
      <c r="F168">
        <v>318</v>
      </c>
      <c r="G168" s="3">
        <v>37.1</v>
      </c>
      <c r="H168" s="1">
        <v>45776</v>
      </c>
      <c r="I168" s="1">
        <v>45782</v>
      </c>
      <c r="J168" s="3">
        <v>8.15</v>
      </c>
      <c r="K168" s="2">
        <f>Table4[[#This Row],[Stock-Quantity]]*Table4[[#This Row],[Unit-Price]]</f>
        <v>11797.800000000001</v>
      </c>
      <c r="L168" s="2">
        <f>Table4[[#This Row],[Stock-Quantity]]*Table4[[#This Row],[Margin-Unit]]</f>
        <v>2591.7000000000003</v>
      </c>
      <c r="M168">
        <f>Table4[[#This Row],[Date-Sales]]-Table4[[#This Row],[Date-Received]]</f>
        <v>6</v>
      </c>
      <c r="N168" s="6">
        <f>Table4[[#This Row],[Margin-Unit]]/Table4[[#This Row],[Unit-Price]]</f>
        <v>0.21967654986522911</v>
      </c>
    </row>
    <row r="169" spans="1:14" x14ac:dyDescent="0.3">
      <c r="A169" t="s">
        <v>212</v>
      </c>
      <c r="B169" t="s">
        <v>70</v>
      </c>
      <c r="C169" t="s">
        <v>35</v>
      </c>
      <c r="D169" t="s">
        <v>40</v>
      </c>
      <c r="E169" t="s">
        <v>41</v>
      </c>
      <c r="F169">
        <v>379</v>
      </c>
      <c r="G169" s="3">
        <v>260.45</v>
      </c>
      <c r="H169" s="1">
        <v>45807</v>
      </c>
      <c r="I169" s="1">
        <v>45825</v>
      </c>
      <c r="J169" s="3">
        <v>67.040000000000006</v>
      </c>
      <c r="K169" s="2">
        <f>Table4[[#This Row],[Stock-Quantity]]*Table4[[#This Row],[Unit-Price]]</f>
        <v>98710.55</v>
      </c>
      <c r="L169" s="2">
        <f>Table4[[#This Row],[Stock-Quantity]]*Table4[[#This Row],[Margin-Unit]]</f>
        <v>25408.160000000003</v>
      </c>
      <c r="M169">
        <f>Table4[[#This Row],[Date-Sales]]-Table4[[#This Row],[Date-Received]]</f>
        <v>18</v>
      </c>
      <c r="N169" s="6">
        <f>Table4[[#This Row],[Margin-Unit]]/Table4[[#This Row],[Unit-Price]]</f>
        <v>0.25740065271645235</v>
      </c>
    </row>
    <row r="170" spans="1:14" x14ac:dyDescent="0.3">
      <c r="A170" t="s">
        <v>213</v>
      </c>
      <c r="B170" t="s">
        <v>21</v>
      </c>
      <c r="C170" t="s">
        <v>22</v>
      </c>
      <c r="D170" t="s">
        <v>25</v>
      </c>
      <c r="E170" t="s">
        <v>26</v>
      </c>
      <c r="F170">
        <v>218</v>
      </c>
      <c r="G170" s="3">
        <v>310.37</v>
      </c>
      <c r="H170" s="1">
        <v>45811</v>
      </c>
      <c r="I170" s="1">
        <v>45833</v>
      </c>
      <c r="J170" s="3">
        <v>52.75</v>
      </c>
      <c r="K170" s="2">
        <f>Table4[[#This Row],[Stock-Quantity]]*Table4[[#This Row],[Unit-Price]]</f>
        <v>67660.66</v>
      </c>
      <c r="L170" s="2">
        <f>Table4[[#This Row],[Stock-Quantity]]*Table4[[#This Row],[Margin-Unit]]</f>
        <v>11499.5</v>
      </c>
      <c r="M170">
        <f>Table4[[#This Row],[Date-Sales]]-Table4[[#This Row],[Date-Received]]</f>
        <v>22</v>
      </c>
      <c r="N170" s="6">
        <f>Table4[[#This Row],[Margin-Unit]]/Table4[[#This Row],[Unit-Price]]</f>
        <v>0.16995843670457841</v>
      </c>
    </row>
    <row r="171" spans="1:14" x14ac:dyDescent="0.3">
      <c r="A171" t="s">
        <v>214</v>
      </c>
      <c r="B171" t="s">
        <v>116</v>
      </c>
      <c r="C171" t="s">
        <v>12</v>
      </c>
      <c r="D171" t="s">
        <v>13</v>
      </c>
      <c r="E171" t="s">
        <v>14</v>
      </c>
      <c r="F171">
        <v>323</v>
      </c>
      <c r="G171" s="3">
        <v>303.06</v>
      </c>
      <c r="H171" s="1">
        <v>45719</v>
      </c>
      <c r="I171" s="1">
        <v>45748</v>
      </c>
      <c r="J171" s="3">
        <v>55.36</v>
      </c>
      <c r="K171" s="2">
        <f>Table4[[#This Row],[Stock-Quantity]]*Table4[[#This Row],[Unit-Price]]</f>
        <v>97888.38</v>
      </c>
      <c r="L171" s="2">
        <f>Table4[[#This Row],[Stock-Quantity]]*Table4[[#This Row],[Margin-Unit]]</f>
        <v>17881.28</v>
      </c>
      <c r="M171">
        <f>Table4[[#This Row],[Date-Sales]]-Table4[[#This Row],[Date-Received]]</f>
        <v>29</v>
      </c>
      <c r="N171" s="6">
        <f>Table4[[#This Row],[Margin-Unit]]/Table4[[#This Row],[Unit-Price]]</f>
        <v>0.18267009833036363</v>
      </c>
    </row>
    <row r="172" spans="1:14" x14ac:dyDescent="0.3">
      <c r="A172" t="s">
        <v>215</v>
      </c>
      <c r="B172" t="s">
        <v>116</v>
      </c>
      <c r="C172" t="s">
        <v>12</v>
      </c>
      <c r="D172" t="s">
        <v>25</v>
      </c>
      <c r="E172" t="s">
        <v>26</v>
      </c>
      <c r="F172">
        <v>447</v>
      </c>
      <c r="G172" s="3">
        <v>376.14</v>
      </c>
      <c r="H172" s="1">
        <v>45788</v>
      </c>
      <c r="I172" s="1">
        <v>45795</v>
      </c>
      <c r="J172" s="3">
        <v>81.17</v>
      </c>
      <c r="K172" s="2">
        <f>Table4[[#This Row],[Stock-Quantity]]*Table4[[#This Row],[Unit-Price]]</f>
        <v>168134.58</v>
      </c>
      <c r="L172" s="2">
        <f>Table4[[#This Row],[Stock-Quantity]]*Table4[[#This Row],[Margin-Unit]]</f>
        <v>36282.99</v>
      </c>
      <c r="M172">
        <f>Table4[[#This Row],[Date-Sales]]-Table4[[#This Row],[Date-Received]]</f>
        <v>7</v>
      </c>
      <c r="N172" s="6">
        <f>Table4[[#This Row],[Margin-Unit]]/Table4[[#This Row],[Unit-Price]]</f>
        <v>0.2157973095124156</v>
      </c>
    </row>
    <row r="173" spans="1:14" x14ac:dyDescent="0.3">
      <c r="A173" t="s">
        <v>216</v>
      </c>
      <c r="B173" t="s">
        <v>24</v>
      </c>
      <c r="C173" t="s">
        <v>22</v>
      </c>
      <c r="D173" t="s">
        <v>30</v>
      </c>
      <c r="E173" t="s">
        <v>31</v>
      </c>
      <c r="F173">
        <v>37</v>
      </c>
      <c r="G173" s="3">
        <v>43.93</v>
      </c>
      <c r="H173" s="1">
        <v>45682</v>
      </c>
      <c r="I173" s="1">
        <v>45694</v>
      </c>
      <c r="J173" s="3">
        <v>8.5299999999999994</v>
      </c>
      <c r="K173" s="2">
        <f>Table4[[#This Row],[Stock-Quantity]]*Table4[[#This Row],[Unit-Price]]</f>
        <v>1625.41</v>
      </c>
      <c r="L173" s="2">
        <f>Table4[[#This Row],[Stock-Quantity]]*Table4[[#This Row],[Margin-Unit]]</f>
        <v>315.60999999999996</v>
      </c>
      <c r="M173">
        <f>Table4[[#This Row],[Date-Sales]]-Table4[[#This Row],[Date-Received]]</f>
        <v>12</v>
      </c>
      <c r="N173" s="6">
        <f>Table4[[#This Row],[Margin-Unit]]/Table4[[#This Row],[Unit-Price]]</f>
        <v>0.19417254723423627</v>
      </c>
    </row>
    <row r="174" spans="1:14" x14ac:dyDescent="0.3">
      <c r="A174" t="s">
        <v>217</v>
      </c>
      <c r="B174" t="s">
        <v>21</v>
      </c>
      <c r="C174" t="s">
        <v>22</v>
      </c>
      <c r="D174" t="s">
        <v>30</v>
      </c>
      <c r="E174" t="s">
        <v>31</v>
      </c>
      <c r="F174">
        <v>127</v>
      </c>
      <c r="G174" s="3">
        <v>428.47</v>
      </c>
      <c r="H174" s="1">
        <v>45695</v>
      </c>
      <c r="I174" s="1">
        <v>45725</v>
      </c>
      <c r="J174" s="3">
        <v>71.66</v>
      </c>
      <c r="K174" s="2">
        <f>Table4[[#This Row],[Stock-Quantity]]*Table4[[#This Row],[Unit-Price]]</f>
        <v>54415.69</v>
      </c>
      <c r="L174" s="2">
        <f>Table4[[#This Row],[Stock-Quantity]]*Table4[[#This Row],[Margin-Unit]]</f>
        <v>9100.82</v>
      </c>
      <c r="M174">
        <f>Table4[[#This Row],[Date-Sales]]-Table4[[#This Row],[Date-Received]]</f>
        <v>30</v>
      </c>
      <c r="N174" s="6">
        <f>Table4[[#This Row],[Margin-Unit]]/Table4[[#This Row],[Unit-Price]]</f>
        <v>0.16724624827875928</v>
      </c>
    </row>
    <row r="175" spans="1:14" x14ac:dyDescent="0.3">
      <c r="A175" t="s">
        <v>218</v>
      </c>
      <c r="B175" t="s">
        <v>34</v>
      </c>
      <c r="C175" t="s">
        <v>35</v>
      </c>
      <c r="D175" t="s">
        <v>25</v>
      </c>
      <c r="E175" t="s">
        <v>26</v>
      </c>
      <c r="F175">
        <v>318</v>
      </c>
      <c r="G175" s="3">
        <v>234.68</v>
      </c>
      <c r="H175" s="1">
        <v>45821</v>
      </c>
      <c r="I175" s="1">
        <v>45841</v>
      </c>
      <c r="J175" s="3">
        <v>25.58</v>
      </c>
      <c r="K175" s="2">
        <f>Table4[[#This Row],[Stock-Quantity]]*Table4[[#This Row],[Unit-Price]]</f>
        <v>74628.240000000005</v>
      </c>
      <c r="L175" s="2">
        <f>Table4[[#This Row],[Stock-Quantity]]*Table4[[#This Row],[Margin-Unit]]</f>
        <v>8134.44</v>
      </c>
      <c r="M175">
        <f>Table4[[#This Row],[Date-Sales]]-Table4[[#This Row],[Date-Received]]</f>
        <v>20</v>
      </c>
      <c r="N175" s="6">
        <f>Table4[[#This Row],[Margin-Unit]]/Table4[[#This Row],[Unit-Price]]</f>
        <v>0.10899948866541673</v>
      </c>
    </row>
    <row r="176" spans="1:14" x14ac:dyDescent="0.3">
      <c r="A176" t="s">
        <v>219</v>
      </c>
      <c r="B176" t="s">
        <v>28</v>
      </c>
      <c r="C176" t="s">
        <v>29</v>
      </c>
      <c r="D176" t="s">
        <v>13</v>
      </c>
      <c r="E176" t="s">
        <v>14</v>
      </c>
      <c r="F176">
        <v>462</v>
      </c>
      <c r="G176" s="3">
        <v>221.71</v>
      </c>
      <c r="H176" s="1">
        <v>45805</v>
      </c>
      <c r="I176" s="1">
        <v>45814</v>
      </c>
      <c r="J176" s="3">
        <v>24.97</v>
      </c>
      <c r="K176" s="2">
        <f>Table4[[#This Row],[Stock-Quantity]]*Table4[[#This Row],[Unit-Price]]</f>
        <v>102430.02</v>
      </c>
      <c r="L176" s="2">
        <f>Table4[[#This Row],[Stock-Quantity]]*Table4[[#This Row],[Margin-Unit]]</f>
        <v>11536.14</v>
      </c>
      <c r="M176">
        <f>Table4[[#This Row],[Date-Sales]]-Table4[[#This Row],[Date-Received]]</f>
        <v>9</v>
      </c>
      <c r="N176" s="6">
        <f>Table4[[#This Row],[Margin-Unit]]/Table4[[#This Row],[Unit-Price]]</f>
        <v>0.11262459970231382</v>
      </c>
    </row>
    <row r="177" spans="1:14" x14ac:dyDescent="0.3">
      <c r="A177" t="s">
        <v>220</v>
      </c>
      <c r="B177" t="s">
        <v>28</v>
      </c>
      <c r="C177" t="s">
        <v>29</v>
      </c>
      <c r="D177" t="s">
        <v>30</v>
      </c>
      <c r="E177" t="s">
        <v>31</v>
      </c>
      <c r="F177">
        <v>128</v>
      </c>
      <c r="G177" s="3">
        <v>373.78</v>
      </c>
      <c r="H177" s="1">
        <v>45785</v>
      </c>
      <c r="I177" s="1">
        <v>45792</v>
      </c>
      <c r="J177" s="3">
        <v>81.66</v>
      </c>
      <c r="K177" s="2">
        <f>Table4[[#This Row],[Stock-Quantity]]*Table4[[#This Row],[Unit-Price]]</f>
        <v>47843.839999999997</v>
      </c>
      <c r="L177" s="2">
        <f>Table4[[#This Row],[Stock-Quantity]]*Table4[[#This Row],[Margin-Unit]]</f>
        <v>10452.48</v>
      </c>
      <c r="M177">
        <f>Table4[[#This Row],[Date-Sales]]-Table4[[#This Row],[Date-Received]]</f>
        <v>7</v>
      </c>
      <c r="N177" s="6">
        <f>Table4[[#This Row],[Margin-Unit]]/Table4[[#This Row],[Unit-Price]]</f>
        <v>0.21847075820001072</v>
      </c>
    </row>
    <row r="178" spans="1:14" x14ac:dyDescent="0.3">
      <c r="A178" t="s">
        <v>221</v>
      </c>
      <c r="B178" t="s">
        <v>43</v>
      </c>
      <c r="C178" t="s">
        <v>35</v>
      </c>
      <c r="D178" t="s">
        <v>13</v>
      </c>
      <c r="E178" t="s">
        <v>14</v>
      </c>
      <c r="F178">
        <v>10</v>
      </c>
      <c r="G178" s="3">
        <v>388.69</v>
      </c>
      <c r="H178" s="1">
        <v>45811</v>
      </c>
      <c r="I178" s="1">
        <v>45824</v>
      </c>
      <c r="J178" s="3">
        <v>62.72</v>
      </c>
      <c r="K178" s="2">
        <f>Table4[[#This Row],[Stock-Quantity]]*Table4[[#This Row],[Unit-Price]]</f>
        <v>3886.9</v>
      </c>
      <c r="L178" s="2">
        <f>Table4[[#This Row],[Stock-Quantity]]*Table4[[#This Row],[Margin-Unit]]</f>
        <v>627.20000000000005</v>
      </c>
      <c r="M178">
        <f>Table4[[#This Row],[Date-Sales]]-Table4[[#This Row],[Date-Received]]</f>
        <v>13</v>
      </c>
      <c r="N178" s="6">
        <f>Table4[[#This Row],[Margin-Unit]]/Table4[[#This Row],[Unit-Price]]</f>
        <v>0.16136252540585042</v>
      </c>
    </row>
    <row r="179" spans="1:14" x14ac:dyDescent="0.3">
      <c r="A179" t="s">
        <v>222</v>
      </c>
      <c r="B179" t="s">
        <v>16</v>
      </c>
      <c r="C179" t="s">
        <v>17</v>
      </c>
      <c r="D179" t="s">
        <v>25</v>
      </c>
      <c r="E179" t="s">
        <v>26</v>
      </c>
      <c r="F179">
        <v>391</v>
      </c>
      <c r="G179" s="3">
        <v>283.8</v>
      </c>
      <c r="H179" s="1">
        <v>45750</v>
      </c>
      <c r="I179" s="1">
        <v>45776</v>
      </c>
      <c r="J179" s="3">
        <v>39.74</v>
      </c>
      <c r="K179" s="2">
        <f>Table4[[#This Row],[Stock-Quantity]]*Table4[[#This Row],[Unit-Price]]</f>
        <v>110965.8</v>
      </c>
      <c r="L179" s="2">
        <f>Table4[[#This Row],[Stock-Quantity]]*Table4[[#This Row],[Margin-Unit]]</f>
        <v>15538.34</v>
      </c>
      <c r="M179">
        <f>Table4[[#This Row],[Date-Sales]]-Table4[[#This Row],[Date-Received]]</f>
        <v>26</v>
      </c>
      <c r="N179" s="6">
        <f>Table4[[#This Row],[Margin-Unit]]/Table4[[#This Row],[Unit-Price]]</f>
        <v>0.14002818886539817</v>
      </c>
    </row>
    <row r="180" spans="1:14" x14ac:dyDescent="0.3">
      <c r="A180" t="s">
        <v>223</v>
      </c>
      <c r="B180" t="s">
        <v>74</v>
      </c>
      <c r="C180" t="s">
        <v>29</v>
      </c>
      <c r="D180" t="s">
        <v>25</v>
      </c>
      <c r="E180" t="s">
        <v>26</v>
      </c>
      <c r="F180">
        <v>333</v>
      </c>
      <c r="G180" s="3">
        <v>419.22</v>
      </c>
      <c r="H180" s="1">
        <v>45760</v>
      </c>
      <c r="I180" s="1">
        <v>45787</v>
      </c>
      <c r="J180" s="3">
        <v>93.6</v>
      </c>
      <c r="K180" s="2">
        <f>Table4[[#This Row],[Stock-Quantity]]*Table4[[#This Row],[Unit-Price]]</f>
        <v>139600.26</v>
      </c>
      <c r="L180" s="2">
        <f>Table4[[#This Row],[Stock-Quantity]]*Table4[[#This Row],[Margin-Unit]]</f>
        <v>31168.799999999999</v>
      </c>
      <c r="M180">
        <f>Table4[[#This Row],[Date-Sales]]-Table4[[#This Row],[Date-Received]]</f>
        <v>27</v>
      </c>
      <c r="N180" s="6">
        <f>Table4[[#This Row],[Margin-Unit]]/Table4[[#This Row],[Unit-Price]]</f>
        <v>0.22327179046801199</v>
      </c>
    </row>
    <row r="181" spans="1:14" x14ac:dyDescent="0.3">
      <c r="A181" t="s">
        <v>224</v>
      </c>
      <c r="B181" t="s">
        <v>52</v>
      </c>
      <c r="C181" t="s">
        <v>12</v>
      </c>
      <c r="D181" t="s">
        <v>25</v>
      </c>
      <c r="E181" t="s">
        <v>26</v>
      </c>
      <c r="F181">
        <v>197</v>
      </c>
      <c r="G181" s="3">
        <v>381.42</v>
      </c>
      <c r="H181" s="1">
        <v>45743</v>
      </c>
      <c r="I181" s="1">
        <v>45760</v>
      </c>
      <c r="J181" s="3">
        <v>97.69</v>
      </c>
      <c r="K181" s="2">
        <f>Table4[[#This Row],[Stock-Quantity]]*Table4[[#This Row],[Unit-Price]]</f>
        <v>75139.740000000005</v>
      </c>
      <c r="L181" s="2">
        <f>Table4[[#This Row],[Stock-Quantity]]*Table4[[#This Row],[Margin-Unit]]</f>
        <v>19244.93</v>
      </c>
      <c r="M181">
        <f>Table4[[#This Row],[Date-Sales]]-Table4[[#This Row],[Date-Received]]</f>
        <v>17</v>
      </c>
      <c r="N181" s="6">
        <f>Table4[[#This Row],[Margin-Unit]]/Table4[[#This Row],[Unit-Price]]</f>
        <v>0.25612186041633894</v>
      </c>
    </row>
    <row r="182" spans="1:14" x14ac:dyDescent="0.3">
      <c r="A182" t="s">
        <v>225</v>
      </c>
      <c r="B182" t="s">
        <v>21</v>
      </c>
      <c r="C182" t="s">
        <v>22</v>
      </c>
      <c r="D182" t="s">
        <v>18</v>
      </c>
      <c r="E182" t="s">
        <v>19</v>
      </c>
      <c r="F182">
        <v>465</v>
      </c>
      <c r="G182" s="3">
        <v>174.75</v>
      </c>
      <c r="H182" s="1">
        <v>45725</v>
      </c>
      <c r="I182" s="1">
        <v>45728</v>
      </c>
      <c r="J182" s="3">
        <v>40.119999999999997</v>
      </c>
      <c r="K182" s="2">
        <f>Table4[[#This Row],[Stock-Quantity]]*Table4[[#This Row],[Unit-Price]]</f>
        <v>81258.75</v>
      </c>
      <c r="L182" s="2">
        <f>Table4[[#This Row],[Stock-Quantity]]*Table4[[#This Row],[Margin-Unit]]</f>
        <v>18655.8</v>
      </c>
      <c r="M182">
        <f>Table4[[#This Row],[Date-Sales]]-Table4[[#This Row],[Date-Received]]</f>
        <v>3</v>
      </c>
      <c r="N182" s="6">
        <f>Table4[[#This Row],[Margin-Unit]]/Table4[[#This Row],[Unit-Price]]</f>
        <v>0.22958512160228897</v>
      </c>
    </row>
    <row r="183" spans="1:14" x14ac:dyDescent="0.3">
      <c r="A183" t="s">
        <v>226</v>
      </c>
      <c r="B183" t="s">
        <v>34</v>
      </c>
      <c r="C183" t="s">
        <v>35</v>
      </c>
      <c r="D183" t="s">
        <v>18</v>
      </c>
      <c r="E183" t="s">
        <v>19</v>
      </c>
      <c r="F183">
        <v>225</v>
      </c>
      <c r="G183" s="3">
        <v>483.84</v>
      </c>
      <c r="H183" s="1">
        <v>45790</v>
      </c>
      <c r="I183" s="1">
        <v>45817</v>
      </c>
      <c r="J183" s="3">
        <v>71.150000000000006</v>
      </c>
      <c r="K183" s="2">
        <f>Table4[[#This Row],[Stock-Quantity]]*Table4[[#This Row],[Unit-Price]]</f>
        <v>108864</v>
      </c>
      <c r="L183" s="2">
        <f>Table4[[#This Row],[Stock-Quantity]]*Table4[[#This Row],[Margin-Unit]]</f>
        <v>16008.750000000002</v>
      </c>
      <c r="M183">
        <f>Table4[[#This Row],[Date-Sales]]-Table4[[#This Row],[Date-Received]]</f>
        <v>27</v>
      </c>
      <c r="N183" s="6">
        <f>Table4[[#This Row],[Margin-Unit]]/Table4[[#This Row],[Unit-Price]]</f>
        <v>0.14705274470899474</v>
      </c>
    </row>
    <row r="184" spans="1:14" x14ac:dyDescent="0.3">
      <c r="A184" t="s">
        <v>227</v>
      </c>
      <c r="B184" t="s">
        <v>43</v>
      </c>
      <c r="C184" t="s">
        <v>35</v>
      </c>
      <c r="D184" t="s">
        <v>40</v>
      </c>
      <c r="E184" t="s">
        <v>41</v>
      </c>
      <c r="F184">
        <v>241</v>
      </c>
      <c r="G184" s="3">
        <v>467.23</v>
      </c>
      <c r="H184" s="1">
        <v>45706</v>
      </c>
      <c r="I184" s="1">
        <v>45732</v>
      </c>
      <c r="J184" s="3">
        <v>78.260000000000005</v>
      </c>
      <c r="K184" s="2">
        <f>Table4[[#This Row],[Stock-Quantity]]*Table4[[#This Row],[Unit-Price]]</f>
        <v>112602.43000000001</v>
      </c>
      <c r="L184" s="2">
        <f>Table4[[#This Row],[Stock-Quantity]]*Table4[[#This Row],[Margin-Unit]]</f>
        <v>18860.66</v>
      </c>
      <c r="M184">
        <f>Table4[[#This Row],[Date-Sales]]-Table4[[#This Row],[Date-Received]]</f>
        <v>26</v>
      </c>
      <c r="N184" s="6">
        <f>Table4[[#This Row],[Margin-Unit]]/Table4[[#This Row],[Unit-Price]]</f>
        <v>0.16749780621963486</v>
      </c>
    </row>
    <row r="185" spans="1:14" x14ac:dyDescent="0.3">
      <c r="A185" t="s">
        <v>228</v>
      </c>
      <c r="B185" t="s">
        <v>37</v>
      </c>
      <c r="C185" t="s">
        <v>22</v>
      </c>
      <c r="D185" t="s">
        <v>25</v>
      </c>
      <c r="E185" t="s">
        <v>26</v>
      </c>
      <c r="F185">
        <v>495</v>
      </c>
      <c r="G185" s="3">
        <v>328.98</v>
      </c>
      <c r="H185" s="1">
        <v>45777</v>
      </c>
      <c r="I185" s="1">
        <v>45783</v>
      </c>
      <c r="J185" s="3">
        <v>56.41</v>
      </c>
      <c r="K185" s="2">
        <f>Table4[[#This Row],[Stock-Quantity]]*Table4[[#This Row],[Unit-Price]]</f>
        <v>162845.1</v>
      </c>
      <c r="L185" s="2">
        <f>Table4[[#This Row],[Stock-Quantity]]*Table4[[#This Row],[Margin-Unit]]</f>
        <v>27922.949999999997</v>
      </c>
      <c r="M185">
        <f>Table4[[#This Row],[Date-Sales]]-Table4[[#This Row],[Date-Received]]</f>
        <v>6</v>
      </c>
      <c r="N185" s="6">
        <f>Table4[[#This Row],[Margin-Unit]]/Table4[[#This Row],[Unit-Price]]</f>
        <v>0.17146939023648852</v>
      </c>
    </row>
    <row r="186" spans="1:14" x14ac:dyDescent="0.3">
      <c r="A186" t="s">
        <v>229</v>
      </c>
      <c r="B186" t="s">
        <v>47</v>
      </c>
      <c r="C186" t="s">
        <v>17</v>
      </c>
      <c r="D186" t="s">
        <v>40</v>
      </c>
      <c r="E186" t="s">
        <v>41</v>
      </c>
      <c r="F186">
        <v>340</v>
      </c>
      <c r="G186" s="3">
        <v>317.26</v>
      </c>
      <c r="H186" s="1">
        <v>45682</v>
      </c>
      <c r="I186" s="1">
        <v>45695</v>
      </c>
      <c r="J186" s="3">
        <v>53.15</v>
      </c>
      <c r="K186" s="2">
        <f>Table4[[#This Row],[Stock-Quantity]]*Table4[[#This Row],[Unit-Price]]</f>
        <v>107868.4</v>
      </c>
      <c r="L186" s="2">
        <f>Table4[[#This Row],[Stock-Quantity]]*Table4[[#This Row],[Margin-Unit]]</f>
        <v>18071</v>
      </c>
      <c r="M186">
        <f>Table4[[#This Row],[Date-Sales]]-Table4[[#This Row],[Date-Received]]</f>
        <v>13</v>
      </c>
      <c r="N186" s="6">
        <f>Table4[[#This Row],[Margin-Unit]]/Table4[[#This Row],[Unit-Price]]</f>
        <v>0.16752821030069975</v>
      </c>
    </row>
    <row r="187" spans="1:14" x14ac:dyDescent="0.3">
      <c r="A187" t="s">
        <v>230</v>
      </c>
      <c r="B187" t="s">
        <v>37</v>
      </c>
      <c r="C187" t="s">
        <v>22</v>
      </c>
      <c r="D187" t="s">
        <v>30</v>
      </c>
      <c r="E187" t="s">
        <v>31</v>
      </c>
      <c r="F187">
        <v>133</v>
      </c>
      <c r="G187" s="3">
        <v>341.05</v>
      </c>
      <c r="H187" s="1">
        <v>45741</v>
      </c>
      <c r="I187" s="1">
        <v>45749</v>
      </c>
      <c r="J187" s="3">
        <v>85.89</v>
      </c>
      <c r="K187" s="2">
        <f>Table4[[#This Row],[Stock-Quantity]]*Table4[[#This Row],[Unit-Price]]</f>
        <v>45359.65</v>
      </c>
      <c r="L187" s="2">
        <f>Table4[[#This Row],[Stock-Quantity]]*Table4[[#This Row],[Margin-Unit]]</f>
        <v>11423.37</v>
      </c>
      <c r="M187">
        <f>Table4[[#This Row],[Date-Sales]]-Table4[[#This Row],[Date-Received]]</f>
        <v>8</v>
      </c>
      <c r="N187" s="6">
        <f>Table4[[#This Row],[Margin-Unit]]/Table4[[#This Row],[Unit-Price]]</f>
        <v>0.25183990617211555</v>
      </c>
    </row>
    <row r="188" spans="1:14" x14ac:dyDescent="0.3">
      <c r="A188" t="s">
        <v>231</v>
      </c>
      <c r="B188" t="s">
        <v>16</v>
      </c>
      <c r="C188" t="s">
        <v>17</v>
      </c>
      <c r="D188" t="s">
        <v>18</v>
      </c>
      <c r="E188" t="s">
        <v>19</v>
      </c>
      <c r="F188">
        <v>460</v>
      </c>
      <c r="G188" s="3">
        <v>491.78</v>
      </c>
      <c r="H188" s="1">
        <v>45820</v>
      </c>
      <c r="I188" s="1">
        <v>45848</v>
      </c>
      <c r="J188" s="3">
        <v>64.42</v>
      </c>
      <c r="K188" s="2">
        <f>Table4[[#This Row],[Stock-Quantity]]*Table4[[#This Row],[Unit-Price]]</f>
        <v>226218.8</v>
      </c>
      <c r="L188" s="2">
        <f>Table4[[#This Row],[Stock-Quantity]]*Table4[[#This Row],[Margin-Unit]]</f>
        <v>29633.200000000001</v>
      </c>
      <c r="M188">
        <f>Table4[[#This Row],[Date-Sales]]-Table4[[#This Row],[Date-Received]]</f>
        <v>28</v>
      </c>
      <c r="N188" s="6">
        <f>Table4[[#This Row],[Margin-Unit]]/Table4[[#This Row],[Unit-Price]]</f>
        <v>0.13099353369392819</v>
      </c>
    </row>
    <row r="189" spans="1:14" x14ac:dyDescent="0.3">
      <c r="A189" t="s">
        <v>232</v>
      </c>
      <c r="B189" t="s">
        <v>11</v>
      </c>
      <c r="C189" t="s">
        <v>12</v>
      </c>
      <c r="D189" t="s">
        <v>18</v>
      </c>
      <c r="E189" t="s">
        <v>19</v>
      </c>
      <c r="F189">
        <v>399</v>
      </c>
      <c r="G189" s="3">
        <v>27.09</v>
      </c>
      <c r="H189" s="1">
        <v>45667</v>
      </c>
      <c r="I189" s="1">
        <v>45673</v>
      </c>
      <c r="J189" s="3">
        <v>6.56</v>
      </c>
      <c r="K189" s="2">
        <f>Table4[[#This Row],[Stock-Quantity]]*Table4[[#This Row],[Unit-Price]]</f>
        <v>10808.91</v>
      </c>
      <c r="L189" s="2">
        <f>Table4[[#This Row],[Stock-Quantity]]*Table4[[#This Row],[Margin-Unit]]</f>
        <v>2617.44</v>
      </c>
      <c r="M189">
        <f>Table4[[#This Row],[Date-Sales]]-Table4[[#This Row],[Date-Received]]</f>
        <v>6</v>
      </c>
      <c r="N189" s="6">
        <f>Table4[[#This Row],[Margin-Unit]]/Table4[[#This Row],[Unit-Price]]</f>
        <v>0.24215577703949795</v>
      </c>
    </row>
    <row r="190" spans="1:14" x14ac:dyDescent="0.3">
      <c r="A190" t="s">
        <v>233</v>
      </c>
      <c r="B190" t="s">
        <v>28</v>
      </c>
      <c r="C190" t="s">
        <v>29</v>
      </c>
      <c r="D190" t="s">
        <v>13</v>
      </c>
      <c r="E190" t="s">
        <v>14</v>
      </c>
      <c r="F190">
        <v>228</v>
      </c>
      <c r="G190" s="3">
        <v>264.41000000000003</v>
      </c>
      <c r="H190" s="1">
        <v>45700</v>
      </c>
      <c r="I190" s="1">
        <v>45710</v>
      </c>
      <c r="J190" s="3">
        <v>65.86</v>
      </c>
      <c r="K190" s="2">
        <f>Table4[[#This Row],[Stock-Quantity]]*Table4[[#This Row],[Unit-Price]]</f>
        <v>60285.48</v>
      </c>
      <c r="L190" s="2">
        <f>Table4[[#This Row],[Stock-Quantity]]*Table4[[#This Row],[Margin-Unit]]</f>
        <v>15016.08</v>
      </c>
      <c r="M190">
        <f>Table4[[#This Row],[Date-Sales]]-Table4[[#This Row],[Date-Received]]</f>
        <v>10</v>
      </c>
      <c r="N190" s="6">
        <f>Table4[[#This Row],[Margin-Unit]]/Table4[[#This Row],[Unit-Price]]</f>
        <v>0.24908286373435193</v>
      </c>
    </row>
    <row r="191" spans="1:14" x14ac:dyDescent="0.3">
      <c r="A191" t="s">
        <v>234</v>
      </c>
      <c r="B191" t="s">
        <v>39</v>
      </c>
      <c r="C191" t="s">
        <v>12</v>
      </c>
      <c r="D191" t="s">
        <v>13</v>
      </c>
      <c r="E191" t="s">
        <v>14</v>
      </c>
      <c r="F191">
        <v>161</v>
      </c>
      <c r="G191" s="3">
        <v>447.4</v>
      </c>
      <c r="H191" s="1">
        <v>45807</v>
      </c>
      <c r="I191" s="1">
        <v>45824</v>
      </c>
      <c r="J191" s="3">
        <v>101.71</v>
      </c>
      <c r="K191" s="2">
        <f>Table4[[#This Row],[Stock-Quantity]]*Table4[[#This Row],[Unit-Price]]</f>
        <v>72031.399999999994</v>
      </c>
      <c r="L191" s="2">
        <f>Table4[[#This Row],[Stock-Quantity]]*Table4[[#This Row],[Margin-Unit]]</f>
        <v>16375.31</v>
      </c>
      <c r="M191">
        <f>Table4[[#This Row],[Date-Sales]]-Table4[[#This Row],[Date-Received]]</f>
        <v>17</v>
      </c>
      <c r="N191" s="6">
        <f>Table4[[#This Row],[Margin-Unit]]/Table4[[#This Row],[Unit-Price]]</f>
        <v>0.22733571747876621</v>
      </c>
    </row>
    <row r="192" spans="1:14" x14ac:dyDescent="0.3">
      <c r="A192" t="s">
        <v>235</v>
      </c>
      <c r="B192" t="s">
        <v>94</v>
      </c>
      <c r="C192" t="s">
        <v>29</v>
      </c>
      <c r="D192" t="s">
        <v>40</v>
      </c>
      <c r="E192" t="s">
        <v>41</v>
      </c>
      <c r="F192">
        <v>449</v>
      </c>
      <c r="G192" s="3">
        <v>256.47000000000003</v>
      </c>
      <c r="H192" s="1">
        <v>45721</v>
      </c>
      <c r="I192" s="1">
        <v>45723</v>
      </c>
      <c r="J192" s="3">
        <v>63.32</v>
      </c>
      <c r="K192" s="2">
        <f>Table4[[#This Row],[Stock-Quantity]]*Table4[[#This Row],[Unit-Price]]</f>
        <v>115155.03000000001</v>
      </c>
      <c r="L192" s="2">
        <f>Table4[[#This Row],[Stock-Quantity]]*Table4[[#This Row],[Margin-Unit]]</f>
        <v>28430.68</v>
      </c>
      <c r="M192">
        <f>Table4[[#This Row],[Date-Sales]]-Table4[[#This Row],[Date-Received]]</f>
        <v>2</v>
      </c>
      <c r="N192" s="6">
        <f>Table4[[#This Row],[Margin-Unit]]/Table4[[#This Row],[Unit-Price]]</f>
        <v>0.24689047451943694</v>
      </c>
    </row>
    <row r="193" spans="1:14" x14ac:dyDescent="0.3">
      <c r="A193" t="s">
        <v>236</v>
      </c>
      <c r="B193" t="s">
        <v>80</v>
      </c>
      <c r="C193" t="s">
        <v>29</v>
      </c>
      <c r="D193" t="s">
        <v>13</v>
      </c>
      <c r="E193" t="s">
        <v>14</v>
      </c>
      <c r="F193">
        <v>221</v>
      </c>
      <c r="G193" s="3">
        <v>206.95</v>
      </c>
      <c r="H193" s="1">
        <v>45832</v>
      </c>
      <c r="I193" s="1">
        <v>45838</v>
      </c>
      <c r="J193" s="3">
        <v>33.06</v>
      </c>
      <c r="K193" s="2">
        <f>Table4[[#This Row],[Stock-Quantity]]*Table4[[#This Row],[Unit-Price]]</f>
        <v>45735.95</v>
      </c>
      <c r="L193" s="2">
        <f>Table4[[#This Row],[Stock-Quantity]]*Table4[[#This Row],[Margin-Unit]]</f>
        <v>7306.26</v>
      </c>
      <c r="M193">
        <f>Table4[[#This Row],[Date-Sales]]-Table4[[#This Row],[Date-Received]]</f>
        <v>6</v>
      </c>
      <c r="N193" s="6">
        <f>Table4[[#This Row],[Margin-Unit]]/Table4[[#This Row],[Unit-Price]]</f>
        <v>0.15974873157767577</v>
      </c>
    </row>
    <row r="194" spans="1:14" x14ac:dyDescent="0.3">
      <c r="A194" t="s">
        <v>237</v>
      </c>
      <c r="B194" t="s">
        <v>43</v>
      </c>
      <c r="C194" t="s">
        <v>35</v>
      </c>
      <c r="D194" t="s">
        <v>25</v>
      </c>
      <c r="E194" t="s">
        <v>26</v>
      </c>
      <c r="F194">
        <v>16</v>
      </c>
      <c r="G194" s="3">
        <v>33.53</v>
      </c>
      <c r="H194" s="1">
        <v>45669</v>
      </c>
      <c r="I194" s="1">
        <v>45679</v>
      </c>
      <c r="J194" s="3">
        <v>9.64</v>
      </c>
      <c r="K194" s="2">
        <f>Table4[[#This Row],[Stock-Quantity]]*Table4[[#This Row],[Unit-Price]]</f>
        <v>536.48</v>
      </c>
      <c r="L194" s="2">
        <f>Table4[[#This Row],[Stock-Quantity]]*Table4[[#This Row],[Margin-Unit]]</f>
        <v>154.24</v>
      </c>
      <c r="M194">
        <f>Table4[[#This Row],[Date-Sales]]-Table4[[#This Row],[Date-Received]]</f>
        <v>10</v>
      </c>
      <c r="N194" s="6">
        <f>Table4[[#This Row],[Margin-Unit]]/Table4[[#This Row],[Unit-Price]]</f>
        <v>0.28750372800477186</v>
      </c>
    </row>
    <row r="195" spans="1:14" x14ac:dyDescent="0.3">
      <c r="A195" t="s">
        <v>238</v>
      </c>
      <c r="B195" t="s">
        <v>47</v>
      </c>
      <c r="C195" t="s">
        <v>17</v>
      </c>
      <c r="D195" t="s">
        <v>30</v>
      </c>
      <c r="E195" t="s">
        <v>31</v>
      </c>
      <c r="F195">
        <v>109</v>
      </c>
      <c r="G195" s="3">
        <v>186.23</v>
      </c>
      <c r="H195" s="1">
        <v>45786</v>
      </c>
      <c r="I195" s="1">
        <v>45814</v>
      </c>
      <c r="J195" s="3">
        <v>29.93</v>
      </c>
      <c r="K195" s="2">
        <f>Table4[[#This Row],[Stock-Quantity]]*Table4[[#This Row],[Unit-Price]]</f>
        <v>20299.07</v>
      </c>
      <c r="L195" s="2">
        <f>Table4[[#This Row],[Stock-Quantity]]*Table4[[#This Row],[Margin-Unit]]</f>
        <v>3262.37</v>
      </c>
      <c r="M195">
        <f>Table4[[#This Row],[Date-Sales]]-Table4[[#This Row],[Date-Received]]</f>
        <v>28</v>
      </c>
      <c r="N195" s="6">
        <f>Table4[[#This Row],[Margin-Unit]]/Table4[[#This Row],[Unit-Price]]</f>
        <v>0.16071524459002309</v>
      </c>
    </row>
    <row r="196" spans="1:14" x14ac:dyDescent="0.3">
      <c r="A196" t="s">
        <v>239</v>
      </c>
      <c r="B196" t="s">
        <v>65</v>
      </c>
      <c r="C196" t="s">
        <v>22</v>
      </c>
      <c r="D196" t="s">
        <v>18</v>
      </c>
      <c r="E196" t="s">
        <v>19</v>
      </c>
      <c r="F196">
        <v>404</v>
      </c>
      <c r="G196" s="3">
        <v>41.57</v>
      </c>
      <c r="H196" s="1">
        <v>45805</v>
      </c>
      <c r="I196" s="1">
        <v>45823</v>
      </c>
      <c r="J196" s="3">
        <v>10.119999999999999</v>
      </c>
      <c r="K196" s="2">
        <f>Table4[[#This Row],[Stock-Quantity]]*Table4[[#This Row],[Unit-Price]]</f>
        <v>16794.28</v>
      </c>
      <c r="L196" s="2">
        <f>Table4[[#This Row],[Stock-Quantity]]*Table4[[#This Row],[Margin-Unit]]</f>
        <v>4088.4799999999996</v>
      </c>
      <c r="M196">
        <f>Table4[[#This Row],[Date-Sales]]-Table4[[#This Row],[Date-Received]]</f>
        <v>18</v>
      </c>
      <c r="N196" s="6">
        <f>Table4[[#This Row],[Margin-Unit]]/Table4[[#This Row],[Unit-Price]]</f>
        <v>0.24344479191724799</v>
      </c>
    </row>
    <row r="197" spans="1:14" x14ac:dyDescent="0.3">
      <c r="A197" t="s">
        <v>240</v>
      </c>
      <c r="B197" t="s">
        <v>16</v>
      </c>
      <c r="C197" t="s">
        <v>17</v>
      </c>
      <c r="D197" t="s">
        <v>40</v>
      </c>
      <c r="E197" t="s">
        <v>41</v>
      </c>
      <c r="F197">
        <v>462</v>
      </c>
      <c r="G197" s="3">
        <v>426.91</v>
      </c>
      <c r="H197" s="1">
        <v>45811</v>
      </c>
      <c r="I197" s="1">
        <v>45831</v>
      </c>
      <c r="J197" s="3">
        <v>74.709999999999994</v>
      </c>
      <c r="K197" s="2">
        <f>Table4[[#This Row],[Stock-Quantity]]*Table4[[#This Row],[Unit-Price]]</f>
        <v>197232.42</v>
      </c>
      <c r="L197" s="2">
        <f>Table4[[#This Row],[Stock-Quantity]]*Table4[[#This Row],[Margin-Unit]]</f>
        <v>34516.019999999997</v>
      </c>
      <c r="M197">
        <f>Table4[[#This Row],[Date-Sales]]-Table4[[#This Row],[Date-Received]]</f>
        <v>20</v>
      </c>
      <c r="N197" s="6">
        <f>Table4[[#This Row],[Margin-Unit]]/Table4[[#This Row],[Unit-Price]]</f>
        <v>0.17500175681056895</v>
      </c>
    </row>
    <row r="198" spans="1:14" x14ac:dyDescent="0.3">
      <c r="A198" t="s">
        <v>241</v>
      </c>
      <c r="B198" t="s">
        <v>21</v>
      </c>
      <c r="C198" t="s">
        <v>22</v>
      </c>
      <c r="D198" t="s">
        <v>13</v>
      </c>
      <c r="E198" t="s">
        <v>14</v>
      </c>
      <c r="F198">
        <v>31</v>
      </c>
      <c r="G198" s="3">
        <v>288.41000000000003</v>
      </c>
      <c r="H198" s="1">
        <v>45833</v>
      </c>
      <c r="I198" s="1">
        <v>45852</v>
      </c>
      <c r="J198" s="3">
        <v>64.290000000000006</v>
      </c>
      <c r="K198" s="2">
        <f>Table4[[#This Row],[Stock-Quantity]]*Table4[[#This Row],[Unit-Price]]</f>
        <v>8940.7100000000009</v>
      </c>
      <c r="L198" s="2">
        <f>Table4[[#This Row],[Stock-Quantity]]*Table4[[#This Row],[Margin-Unit]]</f>
        <v>1992.9900000000002</v>
      </c>
      <c r="M198">
        <f>Table4[[#This Row],[Date-Sales]]-Table4[[#This Row],[Date-Received]]</f>
        <v>19</v>
      </c>
      <c r="N198" s="6">
        <f>Table4[[#This Row],[Margin-Unit]]/Table4[[#This Row],[Unit-Price]]</f>
        <v>0.22291182691307515</v>
      </c>
    </row>
    <row r="199" spans="1:14" x14ac:dyDescent="0.3">
      <c r="A199" t="s">
        <v>242</v>
      </c>
      <c r="B199" t="s">
        <v>16</v>
      </c>
      <c r="C199" t="s">
        <v>17</v>
      </c>
      <c r="D199" t="s">
        <v>13</v>
      </c>
      <c r="E199" t="s">
        <v>14</v>
      </c>
      <c r="F199">
        <v>476</v>
      </c>
      <c r="G199" s="3">
        <v>108.88</v>
      </c>
      <c r="H199" s="1">
        <v>45713</v>
      </c>
      <c r="I199" s="1">
        <v>45727</v>
      </c>
      <c r="J199" s="3">
        <v>20.74</v>
      </c>
      <c r="K199" s="2">
        <f>Table4[[#This Row],[Stock-Quantity]]*Table4[[#This Row],[Unit-Price]]</f>
        <v>51826.879999999997</v>
      </c>
      <c r="L199" s="2">
        <f>Table4[[#This Row],[Stock-Quantity]]*Table4[[#This Row],[Margin-Unit]]</f>
        <v>9872.24</v>
      </c>
      <c r="M199">
        <f>Table4[[#This Row],[Date-Sales]]-Table4[[#This Row],[Date-Received]]</f>
        <v>14</v>
      </c>
      <c r="N199" s="6">
        <f>Table4[[#This Row],[Margin-Unit]]/Table4[[#This Row],[Unit-Price]]</f>
        <v>0.19048493754592211</v>
      </c>
    </row>
    <row r="200" spans="1:14" x14ac:dyDescent="0.3">
      <c r="A200" t="s">
        <v>243</v>
      </c>
      <c r="B200" t="s">
        <v>74</v>
      </c>
      <c r="C200" t="s">
        <v>29</v>
      </c>
      <c r="D200" t="s">
        <v>40</v>
      </c>
      <c r="E200" t="s">
        <v>41</v>
      </c>
      <c r="F200">
        <v>421</v>
      </c>
      <c r="G200" s="3">
        <v>189.7</v>
      </c>
      <c r="H200" s="1">
        <v>45798</v>
      </c>
      <c r="I200" s="1">
        <v>45816</v>
      </c>
      <c r="J200" s="3">
        <v>37.32</v>
      </c>
      <c r="K200" s="2">
        <f>Table4[[#This Row],[Stock-Quantity]]*Table4[[#This Row],[Unit-Price]]</f>
        <v>79863.7</v>
      </c>
      <c r="L200" s="2">
        <f>Table4[[#This Row],[Stock-Quantity]]*Table4[[#This Row],[Margin-Unit]]</f>
        <v>15711.72</v>
      </c>
      <c r="M200">
        <f>Table4[[#This Row],[Date-Sales]]-Table4[[#This Row],[Date-Received]]</f>
        <v>18</v>
      </c>
      <c r="N200" s="6">
        <f>Table4[[#This Row],[Margin-Unit]]/Table4[[#This Row],[Unit-Price]]</f>
        <v>0.19673168160253032</v>
      </c>
    </row>
    <row r="201" spans="1:14" x14ac:dyDescent="0.3">
      <c r="A201" t="s">
        <v>244</v>
      </c>
      <c r="B201" t="s">
        <v>37</v>
      </c>
      <c r="C201" t="s">
        <v>22</v>
      </c>
      <c r="D201" t="s">
        <v>30</v>
      </c>
      <c r="E201" t="s">
        <v>31</v>
      </c>
      <c r="F201">
        <v>189</v>
      </c>
      <c r="G201" s="3">
        <v>134.63999999999999</v>
      </c>
      <c r="H201" s="1">
        <v>45807</v>
      </c>
      <c r="I201" s="1">
        <v>45824</v>
      </c>
      <c r="J201" s="3">
        <v>26.89</v>
      </c>
      <c r="K201" s="2">
        <f>Table4[[#This Row],[Stock-Quantity]]*Table4[[#This Row],[Unit-Price]]</f>
        <v>25446.959999999999</v>
      </c>
      <c r="L201" s="2">
        <f>Table4[[#This Row],[Stock-Quantity]]*Table4[[#This Row],[Margin-Unit]]</f>
        <v>5082.21</v>
      </c>
      <c r="M201">
        <f>Table4[[#This Row],[Date-Sales]]-Table4[[#This Row],[Date-Received]]</f>
        <v>17</v>
      </c>
      <c r="N201" s="6">
        <f>Table4[[#This Row],[Margin-Unit]]/Table4[[#This Row],[Unit-Price]]</f>
        <v>0.19971776589423651</v>
      </c>
    </row>
    <row r="202" spans="1:14" x14ac:dyDescent="0.3">
      <c r="A202" t="s">
        <v>245</v>
      </c>
      <c r="B202" t="s">
        <v>43</v>
      </c>
      <c r="C202" t="s">
        <v>35</v>
      </c>
      <c r="D202" t="s">
        <v>40</v>
      </c>
      <c r="E202" t="s">
        <v>41</v>
      </c>
      <c r="F202">
        <v>188</v>
      </c>
      <c r="G202" s="3">
        <v>167.05</v>
      </c>
      <c r="H202" s="1">
        <v>45713</v>
      </c>
      <c r="I202" s="1">
        <v>45737</v>
      </c>
      <c r="J202" s="3">
        <v>18.14</v>
      </c>
      <c r="K202" s="2">
        <f>Table4[[#This Row],[Stock-Quantity]]*Table4[[#This Row],[Unit-Price]]</f>
        <v>31405.4</v>
      </c>
      <c r="L202" s="2">
        <f>Table4[[#This Row],[Stock-Quantity]]*Table4[[#This Row],[Margin-Unit]]</f>
        <v>3410.32</v>
      </c>
      <c r="M202">
        <f>Table4[[#This Row],[Date-Sales]]-Table4[[#This Row],[Date-Received]]</f>
        <v>24</v>
      </c>
      <c r="N202" s="6">
        <f>Table4[[#This Row],[Margin-Unit]]/Table4[[#This Row],[Unit-Price]]</f>
        <v>0.10859024244238252</v>
      </c>
    </row>
    <row r="203" spans="1:14" x14ac:dyDescent="0.3">
      <c r="A203" t="s">
        <v>246</v>
      </c>
      <c r="B203" t="s">
        <v>52</v>
      </c>
      <c r="C203" t="s">
        <v>12</v>
      </c>
      <c r="D203" t="s">
        <v>40</v>
      </c>
      <c r="E203" t="s">
        <v>41</v>
      </c>
      <c r="F203">
        <v>358</v>
      </c>
      <c r="G203" s="3">
        <v>313.76</v>
      </c>
      <c r="H203" s="1">
        <v>45661</v>
      </c>
      <c r="I203" s="1">
        <v>45687</v>
      </c>
      <c r="J203" s="3">
        <v>38.840000000000003</v>
      </c>
      <c r="K203" s="2">
        <f>Table4[[#This Row],[Stock-Quantity]]*Table4[[#This Row],[Unit-Price]]</f>
        <v>112326.08</v>
      </c>
      <c r="L203" s="2">
        <f>Table4[[#This Row],[Stock-Quantity]]*Table4[[#This Row],[Margin-Unit]]</f>
        <v>13904.720000000001</v>
      </c>
      <c r="M203">
        <f>Table4[[#This Row],[Date-Sales]]-Table4[[#This Row],[Date-Received]]</f>
        <v>26</v>
      </c>
      <c r="N203" s="6">
        <f>Table4[[#This Row],[Margin-Unit]]/Table4[[#This Row],[Unit-Price]]</f>
        <v>0.12378888322284551</v>
      </c>
    </row>
    <row r="204" spans="1:14" x14ac:dyDescent="0.3">
      <c r="A204" t="s">
        <v>247</v>
      </c>
      <c r="B204" t="s">
        <v>21</v>
      </c>
      <c r="C204" t="s">
        <v>22</v>
      </c>
      <c r="D204" t="s">
        <v>25</v>
      </c>
      <c r="E204" t="s">
        <v>26</v>
      </c>
      <c r="F204">
        <v>174</v>
      </c>
      <c r="G204" s="3">
        <v>391.56</v>
      </c>
      <c r="H204" s="1">
        <v>45730</v>
      </c>
      <c r="I204" s="1">
        <v>45735</v>
      </c>
      <c r="J204" s="3">
        <v>104.25</v>
      </c>
      <c r="K204" s="2">
        <f>Table4[[#This Row],[Stock-Quantity]]*Table4[[#This Row],[Unit-Price]]</f>
        <v>68131.44</v>
      </c>
      <c r="L204" s="2">
        <f>Table4[[#This Row],[Stock-Quantity]]*Table4[[#This Row],[Margin-Unit]]</f>
        <v>18139.5</v>
      </c>
      <c r="M204">
        <f>Table4[[#This Row],[Date-Sales]]-Table4[[#This Row],[Date-Received]]</f>
        <v>5</v>
      </c>
      <c r="N204" s="6">
        <f>Table4[[#This Row],[Margin-Unit]]/Table4[[#This Row],[Unit-Price]]</f>
        <v>0.26624272142200428</v>
      </c>
    </row>
    <row r="205" spans="1:14" x14ac:dyDescent="0.3">
      <c r="A205" t="s">
        <v>248</v>
      </c>
      <c r="B205" t="s">
        <v>116</v>
      </c>
      <c r="C205" t="s">
        <v>12</v>
      </c>
      <c r="D205" t="s">
        <v>18</v>
      </c>
      <c r="E205" t="s">
        <v>19</v>
      </c>
      <c r="F205">
        <v>50</v>
      </c>
      <c r="G205" s="3">
        <v>322.32</v>
      </c>
      <c r="H205" s="1">
        <v>45738</v>
      </c>
      <c r="I205" s="1">
        <v>45740</v>
      </c>
      <c r="J205" s="3">
        <v>62.87</v>
      </c>
      <c r="K205" s="2">
        <f>Table4[[#This Row],[Stock-Quantity]]*Table4[[#This Row],[Unit-Price]]</f>
        <v>16116</v>
      </c>
      <c r="L205" s="2">
        <f>Table4[[#This Row],[Stock-Quantity]]*Table4[[#This Row],[Margin-Unit]]</f>
        <v>3143.5</v>
      </c>
      <c r="M205">
        <f>Table4[[#This Row],[Date-Sales]]-Table4[[#This Row],[Date-Received]]</f>
        <v>2</v>
      </c>
      <c r="N205" s="6">
        <f>Table4[[#This Row],[Margin-Unit]]/Table4[[#This Row],[Unit-Price]]</f>
        <v>0.19505460412012907</v>
      </c>
    </row>
    <row r="206" spans="1:14" x14ac:dyDescent="0.3">
      <c r="A206" t="s">
        <v>249</v>
      </c>
      <c r="B206" t="s">
        <v>39</v>
      </c>
      <c r="C206" t="s">
        <v>12</v>
      </c>
      <c r="D206" t="s">
        <v>40</v>
      </c>
      <c r="E206" t="s">
        <v>41</v>
      </c>
      <c r="F206">
        <v>451</v>
      </c>
      <c r="G206" s="3">
        <v>330.11</v>
      </c>
      <c r="H206" s="1">
        <v>45806</v>
      </c>
      <c r="I206" s="1">
        <v>45830</v>
      </c>
      <c r="J206" s="3">
        <v>56.5</v>
      </c>
      <c r="K206" s="2">
        <f>Table4[[#This Row],[Stock-Quantity]]*Table4[[#This Row],[Unit-Price]]</f>
        <v>148879.61000000002</v>
      </c>
      <c r="L206" s="2">
        <f>Table4[[#This Row],[Stock-Quantity]]*Table4[[#This Row],[Margin-Unit]]</f>
        <v>25481.5</v>
      </c>
      <c r="M206">
        <f>Table4[[#This Row],[Date-Sales]]-Table4[[#This Row],[Date-Received]]</f>
        <v>24</v>
      </c>
      <c r="N206" s="6">
        <f>Table4[[#This Row],[Margin-Unit]]/Table4[[#This Row],[Unit-Price]]</f>
        <v>0.17115506952228043</v>
      </c>
    </row>
    <row r="207" spans="1:14" x14ac:dyDescent="0.3">
      <c r="A207" t="s">
        <v>250</v>
      </c>
      <c r="B207" t="s">
        <v>52</v>
      </c>
      <c r="C207" t="s">
        <v>12</v>
      </c>
      <c r="D207" t="s">
        <v>18</v>
      </c>
      <c r="E207" t="s">
        <v>19</v>
      </c>
      <c r="F207">
        <v>270</v>
      </c>
      <c r="G207" s="3">
        <v>458.45</v>
      </c>
      <c r="H207" s="1">
        <v>45740</v>
      </c>
      <c r="I207" s="1">
        <v>45770</v>
      </c>
      <c r="J207" s="3">
        <v>84.08</v>
      </c>
      <c r="K207" s="2">
        <f>Table4[[#This Row],[Stock-Quantity]]*Table4[[#This Row],[Unit-Price]]</f>
        <v>123781.5</v>
      </c>
      <c r="L207" s="2">
        <f>Table4[[#This Row],[Stock-Quantity]]*Table4[[#This Row],[Margin-Unit]]</f>
        <v>22701.599999999999</v>
      </c>
      <c r="M207">
        <f>Table4[[#This Row],[Date-Sales]]-Table4[[#This Row],[Date-Received]]</f>
        <v>30</v>
      </c>
      <c r="N207" s="6">
        <f>Table4[[#This Row],[Margin-Unit]]/Table4[[#This Row],[Unit-Price]]</f>
        <v>0.18340058894099684</v>
      </c>
    </row>
    <row r="208" spans="1:14" x14ac:dyDescent="0.3">
      <c r="A208" t="s">
        <v>251</v>
      </c>
      <c r="B208" t="s">
        <v>65</v>
      </c>
      <c r="C208" t="s">
        <v>22</v>
      </c>
      <c r="D208" t="s">
        <v>18</v>
      </c>
      <c r="E208" t="s">
        <v>19</v>
      </c>
      <c r="F208">
        <v>412</v>
      </c>
      <c r="G208" s="3">
        <v>469.5</v>
      </c>
      <c r="H208" s="1">
        <v>45739</v>
      </c>
      <c r="I208" s="1">
        <v>45750</v>
      </c>
      <c r="J208" s="3">
        <v>87.58</v>
      </c>
      <c r="K208" s="2">
        <f>Table4[[#This Row],[Stock-Quantity]]*Table4[[#This Row],[Unit-Price]]</f>
        <v>193434</v>
      </c>
      <c r="L208" s="2">
        <f>Table4[[#This Row],[Stock-Quantity]]*Table4[[#This Row],[Margin-Unit]]</f>
        <v>36082.959999999999</v>
      </c>
      <c r="M208">
        <f>Table4[[#This Row],[Date-Sales]]-Table4[[#This Row],[Date-Received]]</f>
        <v>11</v>
      </c>
      <c r="N208" s="6">
        <f>Table4[[#This Row],[Margin-Unit]]/Table4[[#This Row],[Unit-Price]]</f>
        <v>0.18653887113951012</v>
      </c>
    </row>
    <row r="209" spans="1:14" x14ac:dyDescent="0.3">
      <c r="A209" t="s">
        <v>252</v>
      </c>
      <c r="B209" t="s">
        <v>21</v>
      </c>
      <c r="C209" t="s">
        <v>22</v>
      </c>
      <c r="D209" t="s">
        <v>18</v>
      </c>
      <c r="E209" t="s">
        <v>19</v>
      </c>
      <c r="F209">
        <v>155</v>
      </c>
      <c r="G209" s="3">
        <v>174.39</v>
      </c>
      <c r="H209" s="1">
        <v>45784</v>
      </c>
      <c r="I209" s="1">
        <v>45799</v>
      </c>
      <c r="J209" s="3">
        <v>22.53</v>
      </c>
      <c r="K209" s="2">
        <f>Table4[[#This Row],[Stock-Quantity]]*Table4[[#This Row],[Unit-Price]]</f>
        <v>27030.449999999997</v>
      </c>
      <c r="L209" s="2">
        <f>Table4[[#This Row],[Stock-Quantity]]*Table4[[#This Row],[Margin-Unit]]</f>
        <v>3492.15</v>
      </c>
      <c r="M209">
        <f>Table4[[#This Row],[Date-Sales]]-Table4[[#This Row],[Date-Received]]</f>
        <v>15</v>
      </c>
      <c r="N209" s="6">
        <f>Table4[[#This Row],[Margin-Unit]]/Table4[[#This Row],[Unit-Price]]</f>
        <v>0.12919318768277999</v>
      </c>
    </row>
    <row r="210" spans="1:14" x14ac:dyDescent="0.3">
      <c r="A210" t="s">
        <v>253</v>
      </c>
      <c r="B210" t="s">
        <v>70</v>
      </c>
      <c r="C210" t="s">
        <v>35</v>
      </c>
      <c r="D210" t="s">
        <v>13</v>
      </c>
      <c r="E210" t="s">
        <v>14</v>
      </c>
      <c r="F210">
        <v>174</v>
      </c>
      <c r="G210" s="3">
        <v>181.53</v>
      </c>
      <c r="H210" s="1">
        <v>45704</v>
      </c>
      <c r="I210" s="1">
        <v>45708</v>
      </c>
      <c r="J210" s="3">
        <v>44.58</v>
      </c>
      <c r="K210" s="2">
        <f>Table4[[#This Row],[Stock-Quantity]]*Table4[[#This Row],[Unit-Price]]</f>
        <v>31586.22</v>
      </c>
      <c r="L210" s="2">
        <f>Table4[[#This Row],[Stock-Quantity]]*Table4[[#This Row],[Margin-Unit]]</f>
        <v>7756.92</v>
      </c>
      <c r="M210">
        <f>Table4[[#This Row],[Date-Sales]]-Table4[[#This Row],[Date-Received]]</f>
        <v>4</v>
      </c>
      <c r="N210" s="6">
        <f>Table4[[#This Row],[Margin-Unit]]/Table4[[#This Row],[Unit-Price]]</f>
        <v>0.24557924310031398</v>
      </c>
    </row>
    <row r="211" spans="1:14" x14ac:dyDescent="0.3">
      <c r="A211" t="s">
        <v>254</v>
      </c>
      <c r="B211" t="s">
        <v>34</v>
      </c>
      <c r="C211" t="s">
        <v>35</v>
      </c>
      <c r="D211" t="s">
        <v>18</v>
      </c>
      <c r="E211" t="s">
        <v>19</v>
      </c>
      <c r="F211">
        <v>100</v>
      </c>
      <c r="G211" s="3">
        <v>224.04</v>
      </c>
      <c r="H211" s="1">
        <v>45692</v>
      </c>
      <c r="I211" s="1">
        <v>45705</v>
      </c>
      <c r="J211" s="3">
        <v>37.74</v>
      </c>
      <c r="K211" s="2">
        <f>Table4[[#This Row],[Stock-Quantity]]*Table4[[#This Row],[Unit-Price]]</f>
        <v>22404</v>
      </c>
      <c r="L211" s="2">
        <f>Table4[[#This Row],[Stock-Quantity]]*Table4[[#This Row],[Margin-Unit]]</f>
        <v>3774</v>
      </c>
      <c r="M211">
        <f>Table4[[#This Row],[Date-Sales]]-Table4[[#This Row],[Date-Received]]</f>
        <v>13</v>
      </c>
      <c r="N211" s="6">
        <f>Table4[[#This Row],[Margin-Unit]]/Table4[[#This Row],[Unit-Price]]</f>
        <v>0.1684520621317622</v>
      </c>
    </row>
    <row r="212" spans="1:14" x14ac:dyDescent="0.3">
      <c r="A212" t="s">
        <v>255</v>
      </c>
      <c r="B212" t="s">
        <v>74</v>
      </c>
      <c r="C212" t="s">
        <v>29</v>
      </c>
      <c r="D212" t="s">
        <v>13</v>
      </c>
      <c r="E212" t="s">
        <v>14</v>
      </c>
      <c r="F212">
        <v>355</v>
      </c>
      <c r="G212" s="3">
        <v>368.78</v>
      </c>
      <c r="H212" s="1">
        <v>45658</v>
      </c>
      <c r="I212" s="1">
        <v>45686</v>
      </c>
      <c r="J212" s="3">
        <v>59.68</v>
      </c>
      <c r="K212" s="2">
        <f>Table4[[#This Row],[Stock-Quantity]]*Table4[[#This Row],[Unit-Price]]</f>
        <v>130916.9</v>
      </c>
      <c r="L212" s="2">
        <f>Table4[[#This Row],[Stock-Quantity]]*Table4[[#This Row],[Margin-Unit]]</f>
        <v>21186.400000000001</v>
      </c>
      <c r="M212">
        <f>Table4[[#This Row],[Date-Sales]]-Table4[[#This Row],[Date-Received]]</f>
        <v>28</v>
      </c>
      <c r="N212" s="6">
        <f>Table4[[#This Row],[Margin-Unit]]/Table4[[#This Row],[Unit-Price]]</f>
        <v>0.16183090189272739</v>
      </c>
    </row>
    <row r="213" spans="1:14" x14ac:dyDescent="0.3">
      <c r="A213" t="s">
        <v>256</v>
      </c>
      <c r="B213" t="s">
        <v>94</v>
      </c>
      <c r="C213" t="s">
        <v>29</v>
      </c>
      <c r="D213" t="s">
        <v>40</v>
      </c>
      <c r="E213" t="s">
        <v>41</v>
      </c>
      <c r="F213">
        <v>137</v>
      </c>
      <c r="G213" s="3">
        <v>434.25</v>
      </c>
      <c r="H213" s="1">
        <v>45745</v>
      </c>
      <c r="I213" s="1">
        <v>45759</v>
      </c>
      <c r="J213" s="3">
        <v>121.19</v>
      </c>
      <c r="K213" s="2">
        <f>Table4[[#This Row],[Stock-Quantity]]*Table4[[#This Row],[Unit-Price]]</f>
        <v>59492.25</v>
      </c>
      <c r="L213" s="2">
        <f>Table4[[#This Row],[Stock-Quantity]]*Table4[[#This Row],[Margin-Unit]]</f>
        <v>16603.03</v>
      </c>
      <c r="M213">
        <f>Table4[[#This Row],[Date-Sales]]-Table4[[#This Row],[Date-Received]]</f>
        <v>14</v>
      </c>
      <c r="N213" s="6">
        <f>Table4[[#This Row],[Margin-Unit]]/Table4[[#This Row],[Unit-Price]]</f>
        <v>0.27907887161773171</v>
      </c>
    </row>
    <row r="214" spans="1:14" x14ac:dyDescent="0.3">
      <c r="A214" t="s">
        <v>257</v>
      </c>
      <c r="B214" t="s">
        <v>50</v>
      </c>
      <c r="C214" t="s">
        <v>17</v>
      </c>
      <c r="D214" t="s">
        <v>25</v>
      </c>
      <c r="E214" t="s">
        <v>26</v>
      </c>
      <c r="F214">
        <v>425</v>
      </c>
      <c r="G214" s="3">
        <v>362.27</v>
      </c>
      <c r="H214" s="1">
        <v>45727</v>
      </c>
      <c r="I214" s="1">
        <v>45743</v>
      </c>
      <c r="J214" s="3">
        <v>54.68</v>
      </c>
      <c r="K214" s="2">
        <f>Table4[[#This Row],[Stock-Quantity]]*Table4[[#This Row],[Unit-Price]]</f>
        <v>153964.75</v>
      </c>
      <c r="L214" s="2">
        <f>Table4[[#This Row],[Stock-Quantity]]*Table4[[#This Row],[Margin-Unit]]</f>
        <v>23239</v>
      </c>
      <c r="M214">
        <f>Table4[[#This Row],[Date-Sales]]-Table4[[#This Row],[Date-Received]]</f>
        <v>16</v>
      </c>
      <c r="N214" s="6">
        <f>Table4[[#This Row],[Margin-Unit]]/Table4[[#This Row],[Unit-Price]]</f>
        <v>0.15093714632732494</v>
      </c>
    </row>
    <row r="215" spans="1:14" x14ac:dyDescent="0.3">
      <c r="A215" t="s">
        <v>258</v>
      </c>
      <c r="B215" t="s">
        <v>28</v>
      </c>
      <c r="C215" t="s">
        <v>29</v>
      </c>
      <c r="D215" t="s">
        <v>30</v>
      </c>
      <c r="E215" t="s">
        <v>31</v>
      </c>
      <c r="F215">
        <v>193</v>
      </c>
      <c r="G215" s="3">
        <v>162.09</v>
      </c>
      <c r="H215" s="1">
        <v>45832</v>
      </c>
      <c r="I215" s="1">
        <v>45850</v>
      </c>
      <c r="J215" s="3">
        <v>21.63</v>
      </c>
      <c r="K215" s="2">
        <f>Table4[[#This Row],[Stock-Quantity]]*Table4[[#This Row],[Unit-Price]]</f>
        <v>31283.37</v>
      </c>
      <c r="L215" s="2">
        <f>Table4[[#This Row],[Stock-Quantity]]*Table4[[#This Row],[Margin-Unit]]</f>
        <v>4174.59</v>
      </c>
      <c r="M215">
        <f>Table4[[#This Row],[Date-Sales]]-Table4[[#This Row],[Date-Received]]</f>
        <v>18</v>
      </c>
      <c r="N215" s="6">
        <f>Table4[[#This Row],[Margin-Unit]]/Table4[[#This Row],[Unit-Price]]</f>
        <v>0.13344438275032389</v>
      </c>
    </row>
    <row r="216" spans="1:14" x14ac:dyDescent="0.3">
      <c r="A216" t="s">
        <v>259</v>
      </c>
      <c r="B216" t="s">
        <v>70</v>
      </c>
      <c r="C216" t="s">
        <v>35</v>
      </c>
      <c r="D216" t="s">
        <v>30</v>
      </c>
      <c r="E216" t="s">
        <v>31</v>
      </c>
      <c r="F216">
        <v>125</v>
      </c>
      <c r="G216" s="3">
        <v>476.97</v>
      </c>
      <c r="H216" s="1">
        <v>45768</v>
      </c>
      <c r="I216" s="1">
        <v>45793</v>
      </c>
      <c r="J216" s="3">
        <v>118.21</v>
      </c>
      <c r="K216" s="2">
        <f>Table4[[#This Row],[Stock-Quantity]]*Table4[[#This Row],[Unit-Price]]</f>
        <v>59621.25</v>
      </c>
      <c r="L216" s="2">
        <f>Table4[[#This Row],[Stock-Quantity]]*Table4[[#This Row],[Margin-Unit]]</f>
        <v>14776.25</v>
      </c>
      <c r="M216">
        <f>Table4[[#This Row],[Date-Sales]]-Table4[[#This Row],[Date-Received]]</f>
        <v>25</v>
      </c>
      <c r="N216" s="6">
        <f>Table4[[#This Row],[Margin-Unit]]/Table4[[#This Row],[Unit-Price]]</f>
        <v>0.24783529362433693</v>
      </c>
    </row>
    <row r="217" spans="1:14" x14ac:dyDescent="0.3">
      <c r="A217" t="s">
        <v>260</v>
      </c>
      <c r="B217" t="s">
        <v>37</v>
      </c>
      <c r="C217" t="s">
        <v>22</v>
      </c>
      <c r="D217" t="s">
        <v>25</v>
      </c>
      <c r="E217" t="s">
        <v>26</v>
      </c>
      <c r="F217">
        <v>110</v>
      </c>
      <c r="G217" s="3">
        <v>72.3</v>
      </c>
      <c r="H217" s="1">
        <v>45727</v>
      </c>
      <c r="I217" s="1">
        <v>45755</v>
      </c>
      <c r="J217" s="3">
        <v>14.22</v>
      </c>
      <c r="K217" s="2">
        <f>Table4[[#This Row],[Stock-Quantity]]*Table4[[#This Row],[Unit-Price]]</f>
        <v>7953</v>
      </c>
      <c r="L217" s="2">
        <f>Table4[[#This Row],[Stock-Quantity]]*Table4[[#This Row],[Margin-Unit]]</f>
        <v>1564.2</v>
      </c>
      <c r="M217">
        <f>Table4[[#This Row],[Date-Sales]]-Table4[[#This Row],[Date-Received]]</f>
        <v>28</v>
      </c>
      <c r="N217" s="6">
        <f>Table4[[#This Row],[Margin-Unit]]/Table4[[#This Row],[Unit-Price]]</f>
        <v>0.19668049792531123</v>
      </c>
    </row>
    <row r="218" spans="1:14" x14ac:dyDescent="0.3">
      <c r="A218" t="s">
        <v>261</v>
      </c>
      <c r="B218" t="s">
        <v>63</v>
      </c>
      <c r="C218" t="s">
        <v>35</v>
      </c>
      <c r="D218" t="s">
        <v>25</v>
      </c>
      <c r="E218" t="s">
        <v>26</v>
      </c>
      <c r="F218">
        <v>243</v>
      </c>
      <c r="G218" s="3">
        <v>61.94</v>
      </c>
      <c r="H218" s="1">
        <v>45670</v>
      </c>
      <c r="I218" s="1">
        <v>45693</v>
      </c>
      <c r="J218" s="3">
        <v>12.6</v>
      </c>
      <c r="K218" s="2">
        <f>Table4[[#This Row],[Stock-Quantity]]*Table4[[#This Row],[Unit-Price]]</f>
        <v>15051.42</v>
      </c>
      <c r="L218" s="2">
        <f>Table4[[#This Row],[Stock-Quantity]]*Table4[[#This Row],[Margin-Unit]]</f>
        <v>3061.7999999999997</v>
      </c>
      <c r="M218">
        <f>Table4[[#This Row],[Date-Sales]]-Table4[[#This Row],[Date-Received]]</f>
        <v>23</v>
      </c>
      <c r="N218" s="6">
        <f>Table4[[#This Row],[Margin-Unit]]/Table4[[#This Row],[Unit-Price]]</f>
        <v>0.20342266709719084</v>
      </c>
    </row>
    <row r="219" spans="1:14" x14ac:dyDescent="0.3">
      <c r="A219" t="s">
        <v>262</v>
      </c>
      <c r="B219" t="s">
        <v>39</v>
      </c>
      <c r="C219" t="s">
        <v>12</v>
      </c>
      <c r="D219" t="s">
        <v>30</v>
      </c>
      <c r="E219" t="s">
        <v>31</v>
      </c>
      <c r="F219">
        <v>462</v>
      </c>
      <c r="G219" s="3">
        <v>269.77</v>
      </c>
      <c r="H219" s="1">
        <v>45758</v>
      </c>
      <c r="I219" s="1">
        <v>45766</v>
      </c>
      <c r="J219" s="3">
        <v>39.68</v>
      </c>
      <c r="K219" s="2">
        <f>Table4[[#This Row],[Stock-Quantity]]*Table4[[#This Row],[Unit-Price]]</f>
        <v>124633.73999999999</v>
      </c>
      <c r="L219" s="2">
        <f>Table4[[#This Row],[Stock-Quantity]]*Table4[[#This Row],[Margin-Unit]]</f>
        <v>18332.16</v>
      </c>
      <c r="M219">
        <f>Table4[[#This Row],[Date-Sales]]-Table4[[#This Row],[Date-Received]]</f>
        <v>8</v>
      </c>
      <c r="N219" s="6">
        <f>Table4[[#This Row],[Margin-Unit]]/Table4[[#This Row],[Unit-Price]]</f>
        <v>0.14708826036994477</v>
      </c>
    </row>
    <row r="220" spans="1:14" x14ac:dyDescent="0.3">
      <c r="A220" t="s">
        <v>263</v>
      </c>
      <c r="B220" t="s">
        <v>65</v>
      </c>
      <c r="C220" t="s">
        <v>22</v>
      </c>
      <c r="D220" t="s">
        <v>25</v>
      </c>
      <c r="E220" t="s">
        <v>26</v>
      </c>
      <c r="F220">
        <v>111</v>
      </c>
      <c r="G220" s="3">
        <v>183.29</v>
      </c>
      <c r="H220" s="1">
        <v>45663</v>
      </c>
      <c r="I220" s="1">
        <v>45671</v>
      </c>
      <c r="J220" s="3">
        <v>25.79</v>
      </c>
      <c r="K220" s="2">
        <f>Table4[[#This Row],[Stock-Quantity]]*Table4[[#This Row],[Unit-Price]]</f>
        <v>20345.189999999999</v>
      </c>
      <c r="L220" s="2">
        <f>Table4[[#This Row],[Stock-Quantity]]*Table4[[#This Row],[Margin-Unit]]</f>
        <v>2862.69</v>
      </c>
      <c r="M220">
        <f>Table4[[#This Row],[Date-Sales]]-Table4[[#This Row],[Date-Received]]</f>
        <v>8</v>
      </c>
      <c r="N220" s="6">
        <f>Table4[[#This Row],[Margin-Unit]]/Table4[[#This Row],[Unit-Price]]</f>
        <v>0.14070598505101206</v>
      </c>
    </row>
    <row r="221" spans="1:14" x14ac:dyDescent="0.3">
      <c r="A221" t="s">
        <v>264</v>
      </c>
      <c r="B221" t="s">
        <v>11</v>
      </c>
      <c r="C221" t="s">
        <v>12</v>
      </c>
      <c r="D221" t="s">
        <v>18</v>
      </c>
      <c r="E221" t="s">
        <v>19</v>
      </c>
      <c r="F221">
        <v>304</v>
      </c>
      <c r="G221" s="3">
        <v>346.84</v>
      </c>
      <c r="H221" s="1">
        <v>45690</v>
      </c>
      <c r="I221" s="1">
        <v>45713</v>
      </c>
      <c r="J221" s="3">
        <v>94.6</v>
      </c>
      <c r="K221" s="2">
        <f>Table4[[#This Row],[Stock-Quantity]]*Table4[[#This Row],[Unit-Price]]</f>
        <v>105439.35999999999</v>
      </c>
      <c r="L221" s="2">
        <f>Table4[[#This Row],[Stock-Quantity]]*Table4[[#This Row],[Margin-Unit]]</f>
        <v>28758.399999999998</v>
      </c>
      <c r="M221">
        <f>Table4[[#This Row],[Date-Sales]]-Table4[[#This Row],[Date-Received]]</f>
        <v>23</v>
      </c>
      <c r="N221" s="6">
        <f>Table4[[#This Row],[Margin-Unit]]/Table4[[#This Row],[Unit-Price]]</f>
        <v>0.27274824126398339</v>
      </c>
    </row>
    <row r="222" spans="1:14" x14ac:dyDescent="0.3">
      <c r="A222" t="s">
        <v>265</v>
      </c>
      <c r="B222" t="s">
        <v>47</v>
      </c>
      <c r="C222" t="s">
        <v>17</v>
      </c>
      <c r="D222" t="s">
        <v>30</v>
      </c>
      <c r="E222" t="s">
        <v>31</v>
      </c>
      <c r="F222">
        <v>143</v>
      </c>
      <c r="G222" s="3">
        <v>286.63</v>
      </c>
      <c r="H222" s="1">
        <v>45690</v>
      </c>
      <c r="I222" s="1">
        <v>45705</v>
      </c>
      <c r="J222" s="3">
        <v>71.63</v>
      </c>
      <c r="K222" s="2">
        <f>Table4[[#This Row],[Stock-Quantity]]*Table4[[#This Row],[Unit-Price]]</f>
        <v>40988.089999999997</v>
      </c>
      <c r="L222" s="2">
        <f>Table4[[#This Row],[Stock-Quantity]]*Table4[[#This Row],[Margin-Unit]]</f>
        <v>10243.09</v>
      </c>
      <c r="M222">
        <f>Table4[[#This Row],[Date-Sales]]-Table4[[#This Row],[Date-Received]]</f>
        <v>15</v>
      </c>
      <c r="N222" s="6">
        <f>Table4[[#This Row],[Margin-Unit]]/Table4[[#This Row],[Unit-Price]]</f>
        <v>0.2499040574957262</v>
      </c>
    </row>
    <row r="223" spans="1:14" x14ac:dyDescent="0.3">
      <c r="A223" t="s">
        <v>266</v>
      </c>
      <c r="B223" t="s">
        <v>28</v>
      </c>
      <c r="C223" t="s">
        <v>29</v>
      </c>
      <c r="D223" t="s">
        <v>30</v>
      </c>
      <c r="E223" t="s">
        <v>31</v>
      </c>
      <c r="F223">
        <v>318</v>
      </c>
      <c r="G223" s="3">
        <v>15.15</v>
      </c>
      <c r="H223" s="1">
        <v>45667</v>
      </c>
      <c r="I223" s="1">
        <v>45689</v>
      </c>
      <c r="J223" s="3">
        <v>1.73</v>
      </c>
      <c r="K223" s="2">
        <f>Table4[[#This Row],[Stock-Quantity]]*Table4[[#This Row],[Unit-Price]]</f>
        <v>4817.7</v>
      </c>
      <c r="L223" s="2">
        <f>Table4[[#This Row],[Stock-Quantity]]*Table4[[#This Row],[Margin-Unit]]</f>
        <v>550.14</v>
      </c>
      <c r="M223">
        <f>Table4[[#This Row],[Date-Sales]]-Table4[[#This Row],[Date-Received]]</f>
        <v>22</v>
      </c>
      <c r="N223" s="6">
        <f>Table4[[#This Row],[Margin-Unit]]/Table4[[#This Row],[Unit-Price]]</f>
        <v>0.11419141914191419</v>
      </c>
    </row>
    <row r="224" spans="1:14" x14ac:dyDescent="0.3">
      <c r="A224" t="s">
        <v>267</v>
      </c>
      <c r="B224" t="s">
        <v>63</v>
      </c>
      <c r="C224" t="s">
        <v>35</v>
      </c>
      <c r="D224" t="s">
        <v>13</v>
      </c>
      <c r="E224" t="s">
        <v>14</v>
      </c>
      <c r="F224">
        <v>408</v>
      </c>
      <c r="G224" s="3">
        <v>165.42</v>
      </c>
      <c r="H224" s="1">
        <v>45726</v>
      </c>
      <c r="I224" s="1">
        <v>45746</v>
      </c>
      <c r="J224" s="3">
        <v>37.369999999999997</v>
      </c>
      <c r="K224" s="2">
        <f>Table4[[#This Row],[Stock-Quantity]]*Table4[[#This Row],[Unit-Price]]</f>
        <v>67491.360000000001</v>
      </c>
      <c r="L224" s="2">
        <f>Table4[[#This Row],[Stock-Quantity]]*Table4[[#This Row],[Margin-Unit]]</f>
        <v>15246.96</v>
      </c>
      <c r="M224">
        <f>Table4[[#This Row],[Date-Sales]]-Table4[[#This Row],[Date-Received]]</f>
        <v>20</v>
      </c>
      <c r="N224" s="6">
        <f>Table4[[#This Row],[Margin-Unit]]/Table4[[#This Row],[Unit-Price]]</f>
        <v>0.22590980534397292</v>
      </c>
    </row>
    <row r="225" spans="1:14" x14ac:dyDescent="0.3">
      <c r="A225" t="s">
        <v>268</v>
      </c>
      <c r="B225" t="s">
        <v>21</v>
      </c>
      <c r="C225" t="s">
        <v>22</v>
      </c>
      <c r="D225" t="s">
        <v>18</v>
      </c>
      <c r="E225" t="s">
        <v>19</v>
      </c>
      <c r="F225">
        <v>186</v>
      </c>
      <c r="G225" s="3">
        <v>183.55</v>
      </c>
      <c r="H225" s="1">
        <v>45798</v>
      </c>
      <c r="I225" s="1">
        <v>45810</v>
      </c>
      <c r="J225" s="3">
        <v>26.37</v>
      </c>
      <c r="K225" s="2">
        <f>Table4[[#This Row],[Stock-Quantity]]*Table4[[#This Row],[Unit-Price]]</f>
        <v>34140.300000000003</v>
      </c>
      <c r="L225" s="2">
        <f>Table4[[#This Row],[Stock-Quantity]]*Table4[[#This Row],[Margin-Unit]]</f>
        <v>4904.8200000000006</v>
      </c>
      <c r="M225">
        <f>Table4[[#This Row],[Date-Sales]]-Table4[[#This Row],[Date-Received]]</f>
        <v>12</v>
      </c>
      <c r="N225" s="6">
        <f>Table4[[#This Row],[Margin-Unit]]/Table4[[#This Row],[Unit-Price]]</f>
        <v>0.14366657586488696</v>
      </c>
    </row>
    <row r="226" spans="1:14" x14ac:dyDescent="0.3">
      <c r="A226" t="s">
        <v>269</v>
      </c>
      <c r="B226" t="s">
        <v>21</v>
      </c>
      <c r="C226" t="s">
        <v>22</v>
      </c>
      <c r="D226" t="s">
        <v>13</v>
      </c>
      <c r="E226" t="s">
        <v>14</v>
      </c>
      <c r="F226">
        <v>388</v>
      </c>
      <c r="G226" s="3">
        <v>474.29</v>
      </c>
      <c r="H226" s="1">
        <v>45746</v>
      </c>
      <c r="I226" s="1">
        <v>45773</v>
      </c>
      <c r="J226" s="3">
        <v>115.15</v>
      </c>
      <c r="K226" s="2">
        <f>Table4[[#This Row],[Stock-Quantity]]*Table4[[#This Row],[Unit-Price]]</f>
        <v>184024.52000000002</v>
      </c>
      <c r="L226" s="2">
        <f>Table4[[#This Row],[Stock-Quantity]]*Table4[[#This Row],[Margin-Unit]]</f>
        <v>44678.200000000004</v>
      </c>
      <c r="M226">
        <f>Table4[[#This Row],[Date-Sales]]-Table4[[#This Row],[Date-Received]]</f>
        <v>27</v>
      </c>
      <c r="N226" s="6">
        <f>Table4[[#This Row],[Margin-Unit]]/Table4[[#This Row],[Unit-Price]]</f>
        <v>0.242783950747433</v>
      </c>
    </row>
    <row r="227" spans="1:14" x14ac:dyDescent="0.3">
      <c r="A227" t="s">
        <v>270</v>
      </c>
      <c r="B227" t="s">
        <v>65</v>
      </c>
      <c r="C227" t="s">
        <v>22</v>
      </c>
      <c r="D227" t="s">
        <v>40</v>
      </c>
      <c r="E227" t="s">
        <v>41</v>
      </c>
      <c r="F227">
        <v>243</v>
      </c>
      <c r="G227" s="3">
        <v>392.59</v>
      </c>
      <c r="H227" s="1">
        <v>45680</v>
      </c>
      <c r="I227" s="1">
        <v>45693</v>
      </c>
      <c r="J227" s="3">
        <v>104.82</v>
      </c>
      <c r="K227" s="2">
        <f>Table4[[#This Row],[Stock-Quantity]]*Table4[[#This Row],[Unit-Price]]</f>
        <v>95399.37</v>
      </c>
      <c r="L227" s="2">
        <f>Table4[[#This Row],[Stock-Quantity]]*Table4[[#This Row],[Margin-Unit]]</f>
        <v>25471.26</v>
      </c>
      <c r="M227">
        <f>Table4[[#This Row],[Date-Sales]]-Table4[[#This Row],[Date-Received]]</f>
        <v>13</v>
      </c>
      <c r="N227" s="6">
        <f>Table4[[#This Row],[Margin-Unit]]/Table4[[#This Row],[Unit-Price]]</f>
        <v>0.26699610280445246</v>
      </c>
    </row>
    <row r="228" spans="1:14" x14ac:dyDescent="0.3">
      <c r="A228" t="s">
        <v>271</v>
      </c>
      <c r="B228" t="s">
        <v>28</v>
      </c>
      <c r="C228" t="s">
        <v>29</v>
      </c>
      <c r="D228" t="s">
        <v>25</v>
      </c>
      <c r="E228" t="s">
        <v>26</v>
      </c>
      <c r="F228">
        <v>117</v>
      </c>
      <c r="G228" s="3">
        <v>465.43</v>
      </c>
      <c r="H228" s="1">
        <v>45703</v>
      </c>
      <c r="I228" s="1">
        <v>45709</v>
      </c>
      <c r="J228" s="3">
        <v>117.79</v>
      </c>
      <c r="K228" s="2">
        <f>Table4[[#This Row],[Stock-Quantity]]*Table4[[#This Row],[Unit-Price]]</f>
        <v>54455.31</v>
      </c>
      <c r="L228" s="2">
        <f>Table4[[#This Row],[Stock-Quantity]]*Table4[[#This Row],[Margin-Unit]]</f>
        <v>13781.43</v>
      </c>
      <c r="M228">
        <f>Table4[[#This Row],[Date-Sales]]-Table4[[#This Row],[Date-Received]]</f>
        <v>6</v>
      </c>
      <c r="N228" s="6">
        <f>Table4[[#This Row],[Margin-Unit]]/Table4[[#This Row],[Unit-Price]]</f>
        <v>0.25307779902455796</v>
      </c>
    </row>
    <row r="229" spans="1:14" x14ac:dyDescent="0.3">
      <c r="A229" t="s">
        <v>272</v>
      </c>
      <c r="B229" t="s">
        <v>43</v>
      </c>
      <c r="C229" t="s">
        <v>35</v>
      </c>
      <c r="D229" t="s">
        <v>18</v>
      </c>
      <c r="E229" t="s">
        <v>19</v>
      </c>
      <c r="F229">
        <v>237</v>
      </c>
      <c r="G229" s="3">
        <v>23.29</v>
      </c>
      <c r="H229" s="1">
        <v>45766</v>
      </c>
      <c r="I229" s="1">
        <v>45775</v>
      </c>
      <c r="J229" s="3">
        <v>6.74</v>
      </c>
      <c r="K229" s="2">
        <f>Table4[[#This Row],[Stock-Quantity]]*Table4[[#This Row],[Unit-Price]]</f>
        <v>5519.73</v>
      </c>
      <c r="L229" s="2">
        <f>Table4[[#This Row],[Stock-Quantity]]*Table4[[#This Row],[Margin-Unit]]</f>
        <v>1597.38</v>
      </c>
      <c r="M229">
        <f>Table4[[#This Row],[Date-Sales]]-Table4[[#This Row],[Date-Received]]</f>
        <v>9</v>
      </c>
      <c r="N229" s="6">
        <f>Table4[[#This Row],[Margin-Unit]]/Table4[[#This Row],[Unit-Price]]</f>
        <v>0.28939458995276945</v>
      </c>
    </row>
    <row r="230" spans="1:14" x14ac:dyDescent="0.3">
      <c r="A230" t="s">
        <v>273</v>
      </c>
      <c r="B230" t="s">
        <v>50</v>
      </c>
      <c r="C230" t="s">
        <v>17</v>
      </c>
      <c r="D230" t="s">
        <v>40</v>
      </c>
      <c r="E230" t="s">
        <v>41</v>
      </c>
      <c r="F230">
        <v>227</v>
      </c>
      <c r="G230" s="3">
        <v>221.67</v>
      </c>
      <c r="H230" s="1">
        <v>45823</v>
      </c>
      <c r="I230" s="1">
        <v>45838</v>
      </c>
      <c r="J230" s="3">
        <v>53.33</v>
      </c>
      <c r="K230" s="2">
        <f>Table4[[#This Row],[Stock-Quantity]]*Table4[[#This Row],[Unit-Price]]</f>
        <v>50319.09</v>
      </c>
      <c r="L230" s="2">
        <f>Table4[[#This Row],[Stock-Quantity]]*Table4[[#This Row],[Margin-Unit]]</f>
        <v>12105.91</v>
      </c>
      <c r="M230">
        <f>Table4[[#This Row],[Date-Sales]]-Table4[[#This Row],[Date-Received]]</f>
        <v>15</v>
      </c>
      <c r="N230" s="6">
        <f>Table4[[#This Row],[Margin-Unit]]/Table4[[#This Row],[Unit-Price]]</f>
        <v>0.24058284837821989</v>
      </c>
    </row>
    <row r="231" spans="1:14" x14ac:dyDescent="0.3">
      <c r="A231" t="s">
        <v>274</v>
      </c>
      <c r="B231" t="s">
        <v>16</v>
      </c>
      <c r="C231" t="s">
        <v>17</v>
      </c>
      <c r="D231" t="s">
        <v>25</v>
      </c>
      <c r="E231" t="s">
        <v>26</v>
      </c>
      <c r="F231">
        <v>139</v>
      </c>
      <c r="G231" s="3">
        <v>410.32</v>
      </c>
      <c r="H231" s="1">
        <v>45676</v>
      </c>
      <c r="I231" s="1">
        <v>45700</v>
      </c>
      <c r="J231" s="3">
        <v>110.81</v>
      </c>
      <c r="K231" s="2">
        <f>Table4[[#This Row],[Stock-Quantity]]*Table4[[#This Row],[Unit-Price]]</f>
        <v>57034.479999999996</v>
      </c>
      <c r="L231" s="2">
        <f>Table4[[#This Row],[Stock-Quantity]]*Table4[[#This Row],[Margin-Unit]]</f>
        <v>15402.59</v>
      </c>
      <c r="M231">
        <f>Table4[[#This Row],[Date-Sales]]-Table4[[#This Row],[Date-Received]]</f>
        <v>24</v>
      </c>
      <c r="N231" s="6">
        <f>Table4[[#This Row],[Margin-Unit]]/Table4[[#This Row],[Unit-Price]]</f>
        <v>0.27005751608500683</v>
      </c>
    </row>
    <row r="232" spans="1:14" x14ac:dyDescent="0.3">
      <c r="A232" t="s">
        <v>275</v>
      </c>
      <c r="B232" t="s">
        <v>74</v>
      </c>
      <c r="C232" t="s">
        <v>29</v>
      </c>
      <c r="D232" t="s">
        <v>25</v>
      </c>
      <c r="E232" t="s">
        <v>26</v>
      </c>
      <c r="F232">
        <v>322</v>
      </c>
      <c r="G232" s="3">
        <v>88.58</v>
      </c>
      <c r="H232" s="1">
        <v>45723</v>
      </c>
      <c r="I232" s="1">
        <v>45747</v>
      </c>
      <c r="J232" s="3">
        <v>26.14</v>
      </c>
      <c r="K232" s="2">
        <f>Table4[[#This Row],[Stock-Quantity]]*Table4[[#This Row],[Unit-Price]]</f>
        <v>28522.76</v>
      </c>
      <c r="L232" s="2">
        <f>Table4[[#This Row],[Stock-Quantity]]*Table4[[#This Row],[Margin-Unit]]</f>
        <v>8417.08</v>
      </c>
      <c r="M232">
        <f>Table4[[#This Row],[Date-Sales]]-Table4[[#This Row],[Date-Received]]</f>
        <v>24</v>
      </c>
      <c r="N232" s="6">
        <f>Table4[[#This Row],[Margin-Unit]]/Table4[[#This Row],[Unit-Price]]</f>
        <v>0.29510047414766316</v>
      </c>
    </row>
    <row r="233" spans="1:14" x14ac:dyDescent="0.3">
      <c r="A233" t="s">
        <v>276</v>
      </c>
      <c r="B233" t="s">
        <v>74</v>
      </c>
      <c r="C233" t="s">
        <v>29</v>
      </c>
      <c r="D233" t="s">
        <v>30</v>
      </c>
      <c r="E233" t="s">
        <v>31</v>
      </c>
      <c r="F233">
        <v>193</v>
      </c>
      <c r="G233" s="3">
        <v>166.87</v>
      </c>
      <c r="H233" s="1">
        <v>45677</v>
      </c>
      <c r="I233" s="1">
        <v>45706</v>
      </c>
      <c r="J233" s="3">
        <v>45.5</v>
      </c>
      <c r="K233" s="2">
        <f>Table4[[#This Row],[Stock-Quantity]]*Table4[[#This Row],[Unit-Price]]</f>
        <v>32205.91</v>
      </c>
      <c r="L233" s="2">
        <f>Table4[[#This Row],[Stock-Quantity]]*Table4[[#This Row],[Margin-Unit]]</f>
        <v>8781.5</v>
      </c>
      <c r="M233">
        <f>Table4[[#This Row],[Date-Sales]]-Table4[[#This Row],[Date-Received]]</f>
        <v>29</v>
      </c>
      <c r="N233" s="6">
        <f>Table4[[#This Row],[Margin-Unit]]/Table4[[#This Row],[Unit-Price]]</f>
        <v>0.27266734583807756</v>
      </c>
    </row>
    <row r="234" spans="1:14" x14ac:dyDescent="0.3">
      <c r="A234" t="s">
        <v>277</v>
      </c>
      <c r="B234" t="s">
        <v>106</v>
      </c>
      <c r="C234" t="s">
        <v>17</v>
      </c>
      <c r="D234" t="s">
        <v>18</v>
      </c>
      <c r="E234" t="s">
        <v>19</v>
      </c>
      <c r="F234">
        <v>190</v>
      </c>
      <c r="G234" s="3">
        <v>384.63</v>
      </c>
      <c r="H234" s="1">
        <v>45681</v>
      </c>
      <c r="I234" s="1">
        <v>45710</v>
      </c>
      <c r="J234" s="3">
        <v>43.8</v>
      </c>
      <c r="K234" s="2">
        <f>Table4[[#This Row],[Stock-Quantity]]*Table4[[#This Row],[Unit-Price]]</f>
        <v>73079.7</v>
      </c>
      <c r="L234" s="2">
        <f>Table4[[#This Row],[Stock-Quantity]]*Table4[[#This Row],[Margin-Unit]]</f>
        <v>8322</v>
      </c>
      <c r="M234">
        <f>Table4[[#This Row],[Date-Sales]]-Table4[[#This Row],[Date-Received]]</f>
        <v>29</v>
      </c>
      <c r="N234" s="6">
        <f>Table4[[#This Row],[Margin-Unit]]/Table4[[#This Row],[Unit-Price]]</f>
        <v>0.11387567272443647</v>
      </c>
    </row>
    <row r="235" spans="1:14" x14ac:dyDescent="0.3">
      <c r="A235" t="s">
        <v>278</v>
      </c>
      <c r="B235" t="s">
        <v>63</v>
      </c>
      <c r="C235" t="s">
        <v>35</v>
      </c>
      <c r="D235" t="s">
        <v>40</v>
      </c>
      <c r="E235" t="s">
        <v>41</v>
      </c>
      <c r="F235">
        <v>124</v>
      </c>
      <c r="G235" s="3">
        <v>294.62</v>
      </c>
      <c r="H235" s="1">
        <v>45837</v>
      </c>
      <c r="I235" s="1">
        <v>45849</v>
      </c>
      <c r="J235" s="3">
        <v>82.34</v>
      </c>
      <c r="K235" s="2">
        <f>Table4[[#This Row],[Stock-Quantity]]*Table4[[#This Row],[Unit-Price]]</f>
        <v>36532.879999999997</v>
      </c>
      <c r="L235" s="2">
        <f>Table4[[#This Row],[Stock-Quantity]]*Table4[[#This Row],[Margin-Unit]]</f>
        <v>10210.16</v>
      </c>
      <c r="M235">
        <f>Table4[[#This Row],[Date-Sales]]-Table4[[#This Row],[Date-Received]]</f>
        <v>12</v>
      </c>
      <c r="N235" s="6">
        <f>Table4[[#This Row],[Margin-Unit]]/Table4[[#This Row],[Unit-Price]]</f>
        <v>0.27947865046500575</v>
      </c>
    </row>
    <row r="236" spans="1:14" x14ac:dyDescent="0.3">
      <c r="A236" t="s">
        <v>279</v>
      </c>
      <c r="B236" t="s">
        <v>70</v>
      </c>
      <c r="C236" t="s">
        <v>35</v>
      </c>
      <c r="D236" t="s">
        <v>40</v>
      </c>
      <c r="E236" t="s">
        <v>41</v>
      </c>
      <c r="F236">
        <v>225</v>
      </c>
      <c r="G236" s="3">
        <v>463.74</v>
      </c>
      <c r="H236" s="1">
        <v>45662</v>
      </c>
      <c r="I236" s="1">
        <v>45664</v>
      </c>
      <c r="J236" s="3">
        <v>113.36</v>
      </c>
      <c r="K236" s="2">
        <f>Table4[[#This Row],[Stock-Quantity]]*Table4[[#This Row],[Unit-Price]]</f>
        <v>104341.5</v>
      </c>
      <c r="L236" s="2">
        <f>Table4[[#This Row],[Stock-Quantity]]*Table4[[#This Row],[Margin-Unit]]</f>
        <v>25506</v>
      </c>
      <c r="M236">
        <f>Table4[[#This Row],[Date-Sales]]-Table4[[#This Row],[Date-Received]]</f>
        <v>2</v>
      </c>
      <c r="N236" s="6">
        <f>Table4[[#This Row],[Margin-Unit]]/Table4[[#This Row],[Unit-Price]]</f>
        <v>0.24444731961875188</v>
      </c>
    </row>
    <row r="237" spans="1:14" x14ac:dyDescent="0.3">
      <c r="A237" t="s">
        <v>280</v>
      </c>
      <c r="B237" t="s">
        <v>94</v>
      </c>
      <c r="C237" t="s">
        <v>29</v>
      </c>
      <c r="D237" t="s">
        <v>30</v>
      </c>
      <c r="E237" t="s">
        <v>31</v>
      </c>
      <c r="F237">
        <v>370</v>
      </c>
      <c r="G237" s="3">
        <v>239.92</v>
      </c>
      <c r="H237" s="1">
        <v>45748</v>
      </c>
      <c r="I237" s="1">
        <v>45778</v>
      </c>
      <c r="J237" s="3">
        <v>53.05</v>
      </c>
      <c r="K237" s="2">
        <f>Table4[[#This Row],[Stock-Quantity]]*Table4[[#This Row],[Unit-Price]]</f>
        <v>88770.4</v>
      </c>
      <c r="L237" s="2">
        <f>Table4[[#This Row],[Stock-Quantity]]*Table4[[#This Row],[Margin-Unit]]</f>
        <v>19628.5</v>
      </c>
      <c r="M237">
        <f>Table4[[#This Row],[Date-Sales]]-Table4[[#This Row],[Date-Received]]</f>
        <v>30</v>
      </c>
      <c r="N237" s="6">
        <f>Table4[[#This Row],[Margin-Unit]]/Table4[[#This Row],[Unit-Price]]</f>
        <v>0.22111537179059687</v>
      </c>
    </row>
    <row r="238" spans="1:14" x14ac:dyDescent="0.3">
      <c r="A238" t="s">
        <v>281</v>
      </c>
      <c r="B238" t="s">
        <v>52</v>
      </c>
      <c r="C238" t="s">
        <v>12</v>
      </c>
      <c r="D238" t="s">
        <v>30</v>
      </c>
      <c r="E238" t="s">
        <v>31</v>
      </c>
      <c r="F238">
        <v>289</v>
      </c>
      <c r="G238" s="3">
        <v>309.04000000000002</v>
      </c>
      <c r="H238" s="1">
        <v>45740</v>
      </c>
      <c r="I238" s="1">
        <v>45749</v>
      </c>
      <c r="J238" s="3">
        <v>91.12</v>
      </c>
      <c r="K238" s="2">
        <f>Table4[[#This Row],[Stock-Quantity]]*Table4[[#This Row],[Unit-Price]]</f>
        <v>89312.560000000012</v>
      </c>
      <c r="L238" s="2">
        <f>Table4[[#This Row],[Stock-Quantity]]*Table4[[#This Row],[Margin-Unit]]</f>
        <v>26333.68</v>
      </c>
      <c r="M238">
        <f>Table4[[#This Row],[Date-Sales]]-Table4[[#This Row],[Date-Received]]</f>
        <v>9</v>
      </c>
      <c r="N238" s="6">
        <f>Table4[[#This Row],[Margin-Unit]]/Table4[[#This Row],[Unit-Price]]</f>
        <v>0.29484856329277764</v>
      </c>
    </row>
    <row r="239" spans="1:14" x14ac:dyDescent="0.3">
      <c r="A239" t="s">
        <v>282</v>
      </c>
      <c r="B239" t="s">
        <v>47</v>
      </c>
      <c r="C239" t="s">
        <v>17</v>
      </c>
      <c r="D239" t="s">
        <v>13</v>
      </c>
      <c r="E239" t="s">
        <v>14</v>
      </c>
      <c r="F239">
        <v>214</v>
      </c>
      <c r="G239" s="3">
        <v>118.63</v>
      </c>
      <c r="H239" s="1">
        <v>45827</v>
      </c>
      <c r="I239" s="1">
        <v>45845</v>
      </c>
      <c r="J239" s="3">
        <v>16</v>
      </c>
      <c r="K239" s="2">
        <f>Table4[[#This Row],[Stock-Quantity]]*Table4[[#This Row],[Unit-Price]]</f>
        <v>25386.82</v>
      </c>
      <c r="L239" s="2">
        <f>Table4[[#This Row],[Stock-Quantity]]*Table4[[#This Row],[Margin-Unit]]</f>
        <v>3424</v>
      </c>
      <c r="M239">
        <f>Table4[[#This Row],[Date-Sales]]-Table4[[#This Row],[Date-Received]]</f>
        <v>18</v>
      </c>
      <c r="N239" s="6">
        <f>Table4[[#This Row],[Margin-Unit]]/Table4[[#This Row],[Unit-Price]]</f>
        <v>0.13487313495743067</v>
      </c>
    </row>
    <row r="240" spans="1:14" x14ac:dyDescent="0.3">
      <c r="A240" t="s">
        <v>283</v>
      </c>
      <c r="B240" t="s">
        <v>80</v>
      </c>
      <c r="C240" t="s">
        <v>29</v>
      </c>
      <c r="D240" t="s">
        <v>13</v>
      </c>
      <c r="E240" t="s">
        <v>14</v>
      </c>
      <c r="F240">
        <v>500</v>
      </c>
      <c r="G240" s="3">
        <v>381.1</v>
      </c>
      <c r="H240" s="1">
        <v>45810</v>
      </c>
      <c r="I240" s="1">
        <v>45832</v>
      </c>
      <c r="J240" s="3">
        <v>74.13</v>
      </c>
      <c r="K240" s="2">
        <f>Table4[[#This Row],[Stock-Quantity]]*Table4[[#This Row],[Unit-Price]]</f>
        <v>190550</v>
      </c>
      <c r="L240" s="2">
        <f>Table4[[#This Row],[Stock-Quantity]]*Table4[[#This Row],[Margin-Unit]]</f>
        <v>37065</v>
      </c>
      <c r="M240">
        <f>Table4[[#This Row],[Date-Sales]]-Table4[[#This Row],[Date-Received]]</f>
        <v>22</v>
      </c>
      <c r="N240" s="6">
        <f>Table4[[#This Row],[Margin-Unit]]/Table4[[#This Row],[Unit-Price]]</f>
        <v>0.19451587509839935</v>
      </c>
    </row>
    <row r="241" spans="1:14" x14ac:dyDescent="0.3">
      <c r="A241" t="s">
        <v>284</v>
      </c>
      <c r="B241" t="s">
        <v>37</v>
      </c>
      <c r="C241" t="s">
        <v>22</v>
      </c>
      <c r="D241" t="s">
        <v>18</v>
      </c>
      <c r="E241" t="s">
        <v>19</v>
      </c>
      <c r="F241">
        <v>299</v>
      </c>
      <c r="G241" s="3">
        <v>220.3</v>
      </c>
      <c r="H241" s="1">
        <v>45671</v>
      </c>
      <c r="I241" s="1">
        <v>45682</v>
      </c>
      <c r="J241" s="3">
        <v>38.9</v>
      </c>
      <c r="K241" s="2">
        <f>Table4[[#This Row],[Stock-Quantity]]*Table4[[#This Row],[Unit-Price]]</f>
        <v>65869.7</v>
      </c>
      <c r="L241" s="2">
        <f>Table4[[#This Row],[Stock-Quantity]]*Table4[[#This Row],[Margin-Unit]]</f>
        <v>11631.1</v>
      </c>
      <c r="M241">
        <f>Table4[[#This Row],[Date-Sales]]-Table4[[#This Row],[Date-Received]]</f>
        <v>11</v>
      </c>
      <c r="N241" s="6">
        <f>Table4[[#This Row],[Margin-Unit]]/Table4[[#This Row],[Unit-Price]]</f>
        <v>0.17657739446209714</v>
      </c>
    </row>
    <row r="242" spans="1:14" x14ac:dyDescent="0.3">
      <c r="A242" t="s">
        <v>285</v>
      </c>
      <c r="B242" t="s">
        <v>74</v>
      </c>
      <c r="C242" t="s">
        <v>29</v>
      </c>
      <c r="D242" t="s">
        <v>18</v>
      </c>
      <c r="E242" t="s">
        <v>19</v>
      </c>
      <c r="F242">
        <v>281</v>
      </c>
      <c r="G242" s="3">
        <v>136.65</v>
      </c>
      <c r="H242" s="1">
        <v>45784</v>
      </c>
      <c r="I242" s="1">
        <v>45804</v>
      </c>
      <c r="J242" s="3">
        <v>39.17</v>
      </c>
      <c r="K242" s="2">
        <f>Table4[[#This Row],[Stock-Quantity]]*Table4[[#This Row],[Unit-Price]]</f>
        <v>38398.65</v>
      </c>
      <c r="L242" s="2">
        <f>Table4[[#This Row],[Stock-Quantity]]*Table4[[#This Row],[Margin-Unit]]</f>
        <v>11006.77</v>
      </c>
      <c r="M242">
        <f>Table4[[#This Row],[Date-Sales]]-Table4[[#This Row],[Date-Received]]</f>
        <v>20</v>
      </c>
      <c r="N242" s="6">
        <f>Table4[[#This Row],[Margin-Unit]]/Table4[[#This Row],[Unit-Price]]</f>
        <v>0.28664471276984999</v>
      </c>
    </row>
    <row r="243" spans="1:14" x14ac:dyDescent="0.3">
      <c r="A243" t="s">
        <v>286</v>
      </c>
      <c r="B243" t="s">
        <v>43</v>
      </c>
      <c r="C243" t="s">
        <v>35</v>
      </c>
      <c r="D243" t="s">
        <v>40</v>
      </c>
      <c r="E243" t="s">
        <v>41</v>
      </c>
      <c r="F243">
        <v>141</v>
      </c>
      <c r="G243" s="3">
        <v>170.28</v>
      </c>
      <c r="H243" s="1">
        <v>45822</v>
      </c>
      <c r="I243" s="1">
        <v>45849</v>
      </c>
      <c r="J243" s="3">
        <v>33.39</v>
      </c>
      <c r="K243" s="2">
        <f>Table4[[#This Row],[Stock-Quantity]]*Table4[[#This Row],[Unit-Price]]</f>
        <v>24009.48</v>
      </c>
      <c r="L243" s="2">
        <f>Table4[[#This Row],[Stock-Quantity]]*Table4[[#This Row],[Margin-Unit]]</f>
        <v>4707.99</v>
      </c>
      <c r="M243">
        <f>Table4[[#This Row],[Date-Sales]]-Table4[[#This Row],[Date-Received]]</f>
        <v>27</v>
      </c>
      <c r="N243" s="6">
        <f>Table4[[#This Row],[Margin-Unit]]/Table4[[#This Row],[Unit-Price]]</f>
        <v>0.19608879492600423</v>
      </c>
    </row>
    <row r="244" spans="1:14" x14ac:dyDescent="0.3">
      <c r="A244" t="s">
        <v>287</v>
      </c>
      <c r="B244" t="s">
        <v>80</v>
      </c>
      <c r="C244" t="s">
        <v>29</v>
      </c>
      <c r="D244" t="s">
        <v>30</v>
      </c>
      <c r="E244" t="s">
        <v>31</v>
      </c>
      <c r="F244">
        <v>344</v>
      </c>
      <c r="G244" s="3">
        <v>403.19</v>
      </c>
      <c r="H244" s="1">
        <v>45724</v>
      </c>
      <c r="I244" s="1">
        <v>45726</v>
      </c>
      <c r="J244" s="3">
        <v>101.22</v>
      </c>
      <c r="K244" s="2">
        <f>Table4[[#This Row],[Stock-Quantity]]*Table4[[#This Row],[Unit-Price]]</f>
        <v>138697.35999999999</v>
      </c>
      <c r="L244" s="2">
        <f>Table4[[#This Row],[Stock-Quantity]]*Table4[[#This Row],[Margin-Unit]]</f>
        <v>34819.68</v>
      </c>
      <c r="M244">
        <f>Table4[[#This Row],[Date-Sales]]-Table4[[#This Row],[Date-Received]]</f>
        <v>2</v>
      </c>
      <c r="N244" s="6">
        <f>Table4[[#This Row],[Margin-Unit]]/Table4[[#This Row],[Unit-Price]]</f>
        <v>0.25104789305290309</v>
      </c>
    </row>
    <row r="245" spans="1:14" x14ac:dyDescent="0.3">
      <c r="A245" t="s">
        <v>288</v>
      </c>
      <c r="B245" t="s">
        <v>47</v>
      </c>
      <c r="C245" t="s">
        <v>17</v>
      </c>
      <c r="D245" t="s">
        <v>40</v>
      </c>
      <c r="E245" t="s">
        <v>41</v>
      </c>
      <c r="F245">
        <v>271</v>
      </c>
      <c r="G245" s="3">
        <v>15.46</v>
      </c>
      <c r="H245" s="1">
        <v>45771</v>
      </c>
      <c r="I245" s="1">
        <v>45794</v>
      </c>
      <c r="J245" s="3">
        <v>3.35</v>
      </c>
      <c r="K245" s="2">
        <f>Table4[[#This Row],[Stock-Quantity]]*Table4[[#This Row],[Unit-Price]]</f>
        <v>4189.66</v>
      </c>
      <c r="L245" s="2">
        <f>Table4[[#This Row],[Stock-Quantity]]*Table4[[#This Row],[Margin-Unit]]</f>
        <v>907.85</v>
      </c>
      <c r="M245">
        <f>Table4[[#This Row],[Date-Sales]]-Table4[[#This Row],[Date-Received]]</f>
        <v>23</v>
      </c>
      <c r="N245" s="6">
        <f>Table4[[#This Row],[Margin-Unit]]/Table4[[#This Row],[Unit-Price]]</f>
        <v>0.2166882276843467</v>
      </c>
    </row>
    <row r="246" spans="1:14" x14ac:dyDescent="0.3">
      <c r="A246" t="s">
        <v>289</v>
      </c>
      <c r="B246" t="s">
        <v>24</v>
      </c>
      <c r="C246" t="s">
        <v>22</v>
      </c>
      <c r="D246" t="s">
        <v>40</v>
      </c>
      <c r="E246" t="s">
        <v>41</v>
      </c>
      <c r="F246">
        <v>256</v>
      </c>
      <c r="G246" s="3">
        <v>491.2</v>
      </c>
      <c r="H246" s="1">
        <v>45819</v>
      </c>
      <c r="I246" s="1">
        <v>45821</v>
      </c>
      <c r="J246" s="3">
        <v>129.27000000000001</v>
      </c>
      <c r="K246" s="2">
        <f>Table4[[#This Row],[Stock-Quantity]]*Table4[[#This Row],[Unit-Price]]</f>
        <v>125747.2</v>
      </c>
      <c r="L246" s="2">
        <f>Table4[[#This Row],[Stock-Quantity]]*Table4[[#This Row],[Margin-Unit]]</f>
        <v>33093.120000000003</v>
      </c>
      <c r="M246">
        <f>Table4[[#This Row],[Date-Sales]]-Table4[[#This Row],[Date-Received]]</f>
        <v>2</v>
      </c>
      <c r="N246" s="6">
        <f>Table4[[#This Row],[Margin-Unit]]/Table4[[#This Row],[Unit-Price]]</f>
        <v>0.26317182410423456</v>
      </c>
    </row>
    <row r="247" spans="1:14" x14ac:dyDescent="0.3">
      <c r="A247" t="s">
        <v>290</v>
      </c>
      <c r="B247" t="s">
        <v>65</v>
      </c>
      <c r="C247" t="s">
        <v>22</v>
      </c>
      <c r="D247" t="s">
        <v>18</v>
      </c>
      <c r="E247" t="s">
        <v>19</v>
      </c>
      <c r="F247">
        <v>126</v>
      </c>
      <c r="G247" s="3">
        <v>18.3</v>
      </c>
      <c r="H247" s="1">
        <v>45676</v>
      </c>
      <c r="I247" s="1">
        <v>45702</v>
      </c>
      <c r="J247" s="3">
        <v>3.03</v>
      </c>
      <c r="K247" s="2">
        <f>Table4[[#This Row],[Stock-Quantity]]*Table4[[#This Row],[Unit-Price]]</f>
        <v>2305.8000000000002</v>
      </c>
      <c r="L247" s="2">
        <f>Table4[[#This Row],[Stock-Quantity]]*Table4[[#This Row],[Margin-Unit]]</f>
        <v>381.78</v>
      </c>
      <c r="M247">
        <f>Table4[[#This Row],[Date-Sales]]-Table4[[#This Row],[Date-Received]]</f>
        <v>26</v>
      </c>
      <c r="N247" s="6">
        <f>Table4[[#This Row],[Margin-Unit]]/Table4[[#This Row],[Unit-Price]]</f>
        <v>0.16557377049180327</v>
      </c>
    </row>
    <row r="248" spans="1:14" x14ac:dyDescent="0.3">
      <c r="A248" t="s">
        <v>291</v>
      </c>
      <c r="B248" t="s">
        <v>43</v>
      </c>
      <c r="C248" t="s">
        <v>35</v>
      </c>
      <c r="D248" t="s">
        <v>13</v>
      </c>
      <c r="E248" t="s">
        <v>14</v>
      </c>
      <c r="F248">
        <v>104</v>
      </c>
      <c r="G248" s="3">
        <v>342.11</v>
      </c>
      <c r="H248" s="1">
        <v>45739</v>
      </c>
      <c r="I248" s="1">
        <v>45763</v>
      </c>
      <c r="J248" s="3">
        <v>58.94</v>
      </c>
      <c r="K248" s="2">
        <f>Table4[[#This Row],[Stock-Quantity]]*Table4[[#This Row],[Unit-Price]]</f>
        <v>35579.440000000002</v>
      </c>
      <c r="L248" s="2">
        <f>Table4[[#This Row],[Stock-Quantity]]*Table4[[#This Row],[Margin-Unit]]</f>
        <v>6129.76</v>
      </c>
      <c r="M248">
        <f>Table4[[#This Row],[Date-Sales]]-Table4[[#This Row],[Date-Received]]</f>
        <v>24</v>
      </c>
      <c r="N248" s="6">
        <f>Table4[[#This Row],[Margin-Unit]]/Table4[[#This Row],[Unit-Price]]</f>
        <v>0.17228376837859166</v>
      </c>
    </row>
    <row r="249" spans="1:14" x14ac:dyDescent="0.3">
      <c r="A249" t="s">
        <v>292</v>
      </c>
      <c r="B249" t="s">
        <v>16</v>
      </c>
      <c r="C249" t="s">
        <v>17</v>
      </c>
      <c r="D249" t="s">
        <v>40</v>
      </c>
      <c r="E249" t="s">
        <v>41</v>
      </c>
      <c r="F249">
        <v>402</v>
      </c>
      <c r="G249" s="3">
        <v>230.72</v>
      </c>
      <c r="H249" s="1">
        <v>45699</v>
      </c>
      <c r="I249" s="1">
        <v>45714</v>
      </c>
      <c r="J249" s="3">
        <v>34.33</v>
      </c>
      <c r="K249" s="2">
        <f>Table4[[#This Row],[Stock-Quantity]]*Table4[[#This Row],[Unit-Price]]</f>
        <v>92749.440000000002</v>
      </c>
      <c r="L249" s="2">
        <f>Table4[[#This Row],[Stock-Quantity]]*Table4[[#This Row],[Margin-Unit]]</f>
        <v>13800.66</v>
      </c>
      <c r="M249">
        <f>Table4[[#This Row],[Date-Sales]]-Table4[[#This Row],[Date-Received]]</f>
        <v>15</v>
      </c>
      <c r="N249" s="6">
        <f>Table4[[#This Row],[Margin-Unit]]/Table4[[#This Row],[Unit-Price]]</f>
        <v>0.14879507628294036</v>
      </c>
    </row>
    <row r="250" spans="1:14" x14ac:dyDescent="0.3">
      <c r="A250" t="s">
        <v>293</v>
      </c>
      <c r="B250" t="s">
        <v>16</v>
      </c>
      <c r="C250" t="s">
        <v>17</v>
      </c>
      <c r="D250" t="s">
        <v>13</v>
      </c>
      <c r="E250" t="s">
        <v>14</v>
      </c>
      <c r="F250">
        <v>71</v>
      </c>
      <c r="G250" s="3">
        <v>491.86</v>
      </c>
      <c r="H250" s="1">
        <v>45733</v>
      </c>
      <c r="I250" s="1">
        <v>45747</v>
      </c>
      <c r="J250" s="3">
        <v>65.11</v>
      </c>
      <c r="K250" s="2">
        <f>Table4[[#This Row],[Stock-Quantity]]*Table4[[#This Row],[Unit-Price]]</f>
        <v>34922.06</v>
      </c>
      <c r="L250" s="2">
        <f>Table4[[#This Row],[Stock-Quantity]]*Table4[[#This Row],[Margin-Unit]]</f>
        <v>4622.8100000000004</v>
      </c>
      <c r="M250">
        <f>Table4[[#This Row],[Date-Sales]]-Table4[[#This Row],[Date-Received]]</f>
        <v>14</v>
      </c>
      <c r="N250" s="6">
        <f>Table4[[#This Row],[Margin-Unit]]/Table4[[#This Row],[Unit-Price]]</f>
        <v>0.13237506607571259</v>
      </c>
    </row>
    <row r="251" spans="1:14" x14ac:dyDescent="0.3">
      <c r="A251" t="s">
        <v>294</v>
      </c>
      <c r="B251" t="s">
        <v>43</v>
      </c>
      <c r="C251" t="s">
        <v>35</v>
      </c>
      <c r="D251" t="s">
        <v>30</v>
      </c>
      <c r="E251" t="s">
        <v>31</v>
      </c>
      <c r="F251">
        <v>63</v>
      </c>
      <c r="G251" s="3">
        <v>338.59</v>
      </c>
      <c r="H251" s="1">
        <v>45708</v>
      </c>
      <c r="I251" s="1">
        <v>45719</v>
      </c>
      <c r="J251" s="3">
        <v>77.599999999999994</v>
      </c>
      <c r="K251" s="2">
        <f>Table4[[#This Row],[Stock-Quantity]]*Table4[[#This Row],[Unit-Price]]</f>
        <v>21331.17</v>
      </c>
      <c r="L251" s="2">
        <f>Table4[[#This Row],[Stock-Quantity]]*Table4[[#This Row],[Margin-Unit]]</f>
        <v>4888.7999999999993</v>
      </c>
      <c r="M251">
        <f>Table4[[#This Row],[Date-Sales]]-Table4[[#This Row],[Date-Received]]</f>
        <v>11</v>
      </c>
      <c r="N251" s="6">
        <f>Table4[[#This Row],[Margin-Unit]]/Table4[[#This Row],[Unit-Price]]</f>
        <v>0.22918574086653476</v>
      </c>
    </row>
    <row r="252" spans="1:14" x14ac:dyDescent="0.3">
      <c r="A252" t="s">
        <v>295</v>
      </c>
      <c r="B252" t="s">
        <v>116</v>
      </c>
      <c r="C252" t="s">
        <v>12</v>
      </c>
      <c r="D252" t="s">
        <v>30</v>
      </c>
      <c r="E252" t="s">
        <v>31</v>
      </c>
      <c r="F252">
        <v>238</v>
      </c>
      <c r="G252" s="3">
        <v>481.91</v>
      </c>
      <c r="H252" s="1">
        <v>45837</v>
      </c>
      <c r="I252" s="1">
        <v>45842</v>
      </c>
      <c r="J252" s="3">
        <v>102.58</v>
      </c>
      <c r="K252" s="2">
        <f>Table4[[#This Row],[Stock-Quantity]]*Table4[[#This Row],[Unit-Price]]</f>
        <v>114694.58</v>
      </c>
      <c r="L252" s="2">
        <f>Table4[[#This Row],[Stock-Quantity]]*Table4[[#This Row],[Margin-Unit]]</f>
        <v>24414.04</v>
      </c>
      <c r="M252">
        <f>Table4[[#This Row],[Date-Sales]]-Table4[[#This Row],[Date-Received]]</f>
        <v>5</v>
      </c>
      <c r="N252" s="6">
        <f>Table4[[#This Row],[Margin-Unit]]/Table4[[#This Row],[Unit-Price]]</f>
        <v>0.21286132265360749</v>
      </c>
    </row>
    <row r="253" spans="1:14" x14ac:dyDescent="0.3">
      <c r="A253" t="s">
        <v>296</v>
      </c>
      <c r="B253" t="s">
        <v>24</v>
      </c>
      <c r="C253" t="s">
        <v>22</v>
      </c>
      <c r="D253" t="s">
        <v>40</v>
      </c>
      <c r="E253" t="s">
        <v>41</v>
      </c>
      <c r="F253">
        <v>50</v>
      </c>
      <c r="G253" s="3">
        <v>155.52000000000001</v>
      </c>
      <c r="H253" s="1">
        <v>45704</v>
      </c>
      <c r="I253" s="1">
        <v>45726</v>
      </c>
      <c r="J253" s="3">
        <v>20</v>
      </c>
      <c r="K253" s="2">
        <f>Table4[[#This Row],[Stock-Quantity]]*Table4[[#This Row],[Unit-Price]]</f>
        <v>7776.0000000000009</v>
      </c>
      <c r="L253" s="2">
        <f>Table4[[#This Row],[Stock-Quantity]]*Table4[[#This Row],[Margin-Unit]]</f>
        <v>1000</v>
      </c>
      <c r="M253">
        <f>Table4[[#This Row],[Date-Sales]]-Table4[[#This Row],[Date-Received]]</f>
        <v>22</v>
      </c>
      <c r="N253" s="6">
        <f>Table4[[#This Row],[Margin-Unit]]/Table4[[#This Row],[Unit-Price]]</f>
        <v>0.12860082304526749</v>
      </c>
    </row>
    <row r="254" spans="1:14" x14ac:dyDescent="0.3">
      <c r="A254" t="s">
        <v>297</v>
      </c>
      <c r="B254" t="s">
        <v>16</v>
      </c>
      <c r="C254" t="s">
        <v>17</v>
      </c>
      <c r="D254" t="s">
        <v>13</v>
      </c>
      <c r="E254" t="s">
        <v>14</v>
      </c>
      <c r="F254">
        <v>236</v>
      </c>
      <c r="G254" s="3">
        <v>455.34</v>
      </c>
      <c r="H254" s="1">
        <v>45715</v>
      </c>
      <c r="I254" s="1">
        <v>45744</v>
      </c>
      <c r="J254" s="3">
        <v>78.2</v>
      </c>
      <c r="K254" s="2">
        <f>Table4[[#This Row],[Stock-Quantity]]*Table4[[#This Row],[Unit-Price]]</f>
        <v>107460.23999999999</v>
      </c>
      <c r="L254" s="2">
        <f>Table4[[#This Row],[Stock-Quantity]]*Table4[[#This Row],[Margin-Unit]]</f>
        <v>18455.2</v>
      </c>
      <c r="M254">
        <f>Table4[[#This Row],[Date-Sales]]-Table4[[#This Row],[Date-Received]]</f>
        <v>29</v>
      </c>
      <c r="N254" s="6">
        <f>Table4[[#This Row],[Margin-Unit]]/Table4[[#This Row],[Unit-Price]]</f>
        <v>0.17173979883164231</v>
      </c>
    </row>
    <row r="255" spans="1:14" x14ac:dyDescent="0.3">
      <c r="A255" t="s">
        <v>298</v>
      </c>
      <c r="B255" t="s">
        <v>28</v>
      </c>
      <c r="C255" t="s">
        <v>29</v>
      </c>
      <c r="D255" t="s">
        <v>18</v>
      </c>
      <c r="E255" t="s">
        <v>19</v>
      </c>
      <c r="F255">
        <v>422</v>
      </c>
      <c r="G255" s="3">
        <v>373.24</v>
      </c>
      <c r="H255" s="1">
        <v>45758</v>
      </c>
      <c r="I255" s="1">
        <v>45788</v>
      </c>
      <c r="J255" s="3">
        <v>55.9</v>
      </c>
      <c r="K255" s="2">
        <f>Table4[[#This Row],[Stock-Quantity]]*Table4[[#This Row],[Unit-Price]]</f>
        <v>157507.28</v>
      </c>
      <c r="L255" s="2">
        <f>Table4[[#This Row],[Stock-Quantity]]*Table4[[#This Row],[Margin-Unit]]</f>
        <v>23589.8</v>
      </c>
      <c r="M255">
        <f>Table4[[#This Row],[Date-Sales]]-Table4[[#This Row],[Date-Received]]</f>
        <v>30</v>
      </c>
      <c r="N255" s="6">
        <f>Table4[[#This Row],[Margin-Unit]]/Table4[[#This Row],[Unit-Price]]</f>
        <v>0.14976958525345621</v>
      </c>
    </row>
    <row r="256" spans="1:14" x14ac:dyDescent="0.3">
      <c r="A256" t="s">
        <v>299</v>
      </c>
      <c r="B256" t="s">
        <v>74</v>
      </c>
      <c r="C256" t="s">
        <v>29</v>
      </c>
      <c r="D256" t="s">
        <v>30</v>
      </c>
      <c r="E256" t="s">
        <v>31</v>
      </c>
      <c r="F256">
        <v>202</v>
      </c>
      <c r="G256" s="3">
        <v>316.18</v>
      </c>
      <c r="H256" s="1">
        <v>45804</v>
      </c>
      <c r="I256" s="1">
        <v>45816</v>
      </c>
      <c r="J256" s="3">
        <v>78.91</v>
      </c>
      <c r="K256" s="2">
        <f>Table4[[#This Row],[Stock-Quantity]]*Table4[[#This Row],[Unit-Price]]</f>
        <v>63868.36</v>
      </c>
      <c r="L256" s="2">
        <f>Table4[[#This Row],[Stock-Quantity]]*Table4[[#This Row],[Margin-Unit]]</f>
        <v>15939.82</v>
      </c>
      <c r="M256">
        <f>Table4[[#This Row],[Date-Sales]]-Table4[[#This Row],[Date-Received]]</f>
        <v>12</v>
      </c>
      <c r="N256" s="6">
        <f>Table4[[#This Row],[Margin-Unit]]/Table4[[#This Row],[Unit-Price]]</f>
        <v>0.24957302802201276</v>
      </c>
    </row>
    <row r="257" spans="1:14" x14ac:dyDescent="0.3">
      <c r="A257" t="s">
        <v>300</v>
      </c>
      <c r="B257" t="s">
        <v>47</v>
      </c>
      <c r="C257" t="s">
        <v>17</v>
      </c>
      <c r="D257" t="s">
        <v>30</v>
      </c>
      <c r="E257" t="s">
        <v>31</v>
      </c>
      <c r="F257">
        <v>199</v>
      </c>
      <c r="G257" s="3">
        <v>75.75</v>
      </c>
      <c r="H257" s="1">
        <v>45820</v>
      </c>
      <c r="I257" s="1">
        <v>45824</v>
      </c>
      <c r="J257" s="3">
        <v>10.47</v>
      </c>
      <c r="K257" s="2">
        <f>Table4[[#This Row],[Stock-Quantity]]*Table4[[#This Row],[Unit-Price]]</f>
        <v>15074.25</v>
      </c>
      <c r="L257" s="2">
        <f>Table4[[#This Row],[Stock-Quantity]]*Table4[[#This Row],[Margin-Unit]]</f>
        <v>2083.5300000000002</v>
      </c>
      <c r="M257">
        <f>Table4[[#This Row],[Date-Sales]]-Table4[[#This Row],[Date-Received]]</f>
        <v>4</v>
      </c>
      <c r="N257" s="6">
        <f>Table4[[#This Row],[Margin-Unit]]/Table4[[#This Row],[Unit-Price]]</f>
        <v>0.13821782178217823</v>
      </c>
    </row>
    <row r="258" spans="1:14" x14ac:dyDescent="0.3">
      <c r="A258" t="s">
        <v>301</v>
      </c>
      <c r="B258" t="s">
        <v>80</v>
      </c>
      <c r="C258" t="s">
        <v>29</v>
      </c>
      <c r="D258" t="s">
        <v>13</v>
      </c>
      <c r="E258" t="s">
        <v>14</v>
      </c>
      <c r="F258">
        <v>27</v>
      </c>
      <c r="G258" s="3">
        <v>7.04</v>
      </c>
      <c r="H258" s="1">
        <v>45836</v>
      </c>
      <c r="I258" s="1">
        <v>45852</v>
      </c>
      <c r="J258" s="3">
        <v>0.78</v>
      </c>
      <c r="K258" s="2">
        <f>Table4[[#This Row],[Stock-Quantity]]*Table4[[#This Row],[Unit-Price]]</f>
        <v>190.08</v>
      </c>
      <c r="L258" s="2">
        <f>Table4[[#This Row],[Stock-Quantity]]*Table4[[#This Row],[Margin-Unit]]</f>
        <v>21.060000000000002</v>
      </c>
      <c r="M258">
        <f>Table4[[#This Row],[Date-Sales]]-Table4[[#This Row],[Date-Received]]</f>
        <v>16</v>
      </c>
      <c r="N258" s="6">
        <f>Table4[[#This Row],[Margin-Unit]]/Table4[[#This Row],[Unit-Price]]</f>
        <v>0.11079545454545454</v>
      </c>
    </row>
    <row r="259" spans="1:14" x14ac:dyDescent="0.3">
      <c r="A259" t="s">
        <v>302</v>
      </c>
      <c r="B259" t="s">
        <v>106</v>
      </c>
      <c r="C259" t="s">
        <v>17</v>
      </c>
      <c r="D259" t="s">
        <v>30</v>
      </c>
      <c r="E259" t="s">
        <v>31</v>
      </c>
      <c r="F259">
        <v>500</v>
      </c>
      <c r="G259" s="3">
        <v>335.06</v>
      </c>
      <c r="H259" s="1">
        <v>45794</v>
      </c>
      <c r="I259" s="1">
        <v>45820</v>
      </c>
      <c r="J259" s="3">
        <v>53.5</v>
      </c>
      <c r="K259" s="2">
        <f>Table4[[#This Row],[Stock-Quantity]]*Table4[[#This Row],[Unit-Price]]</f>
        <v>167530</v>
      </c>
      <c r="L259" s="2">
        <f>Table4[[#This Row],[Stock-Quantity]]*Table4[[#This Row],[Margin-Unit]]</f>
        <v>26750</v>
      </c>
      <c r="M259">
        <f>Table4[[#This Row],[Date-Sales]]-Table4[[#This Row],[Date-Received]]</f>
        <v>26</v>
      </c>
      <c r="N259" s="6">
        <f>Table4[[#This Row],[Margin-Unit]]/Table4[[#This Row],[Unit-Price]]</f>
        <v>0.15967289440697188</v>
      </c>
    </row>
    <row r="260" spans="1:14" x14ac:dyDescent="0.3">
      <c r="A260" t="s">
        <v>303</v>
      </c>
      <c r="B260" t="s">
        <v>116</v>
      </c>
      <c r="C260" t="s">
        <v>12</v>
      </c>
      <c r="D260" t="s">
        <v>40</v>
      </c>
      <c r="E260" t="s">
        <v>41</v>
      </c>
      <c r="F260">
        <v>218</v>
      </c>
      <c r="G260" s="3">
        <v>336.11</v>
      </c>
      <c r="H260" s="1">
        <v>45822</v>
      </c>
      <c r="I260" s="1">
        <v>45836</v>
      </c>
      <c r="J260" s="3">
        <v>79.28</v>
      </c>
      <c r="K260" s="2">
        <f>Table4[[#This Row],[Stock-Quantity]]*Table4[[#This Row],[Unit-Price]]</f>
        <v>73271.98</v>
      </c>
      <c r="L260" s="2">
        <f>Table4[[#This Row],[Stock-Quantity]]*Table4[[#This Row],[Margin-Unit]]</f>
        <v>17283.04</v>
      </c>
      <c r="M260">
        <f>Table4[[#This Row],[Date-Sales]]-Table4[[#This Row],[Date-Received]]</f>
        <v>14</v>
      </c>
      <c r="N260" s="6">
        <f>Table4[[#This Row],[Margin-Unit]]/Table4[[#This Row],[Unit-Price]]</f>
        <v>0.23587515991788402</v>
      </c>
    </row>
    <row r="261" spans="1:14" x14ac:dyDescent="0.3">
      <c r="A261" t="s">
        <v>304</v>
      </c>
      <c r="B261" t="s">
        <v>106</v>
      </c>
      <c r="C261" t="s">
        <v>17</v>
      </c>
      <c r="D261" t="s">
        <v>13</v>
      </c>
      <c r="E261" t="s">
        <v>14</v>
      </c>
      <c r="F261">
        <v>16</v>
      </c>
      <c r="G261" s="3">
        <v>469.47</v>
      </c>
      <c r="H261" s="1">
        <v>45807</v>
      </c>
      <c r="I261" s="1">
        <v>45810</v>
      </c>
      <c r="J261" s="3">
        <v>62.97</v>
      </c>
      <c r="K261" s="2">
        <f>Table4[[#This Row],[Stock-Quantity]]*Table4[[#This Row],[Unit-Price]]</f>
        <v>7511.52</v>
      </c>
      <c r="L261" s="2">
        <f>Table4[[#This Row],[Stock-Quantity]]*Table4[[#This Row],[Margin-Unit]]</f>
        <v>1007.52</v>
      </c>
      <c r="M261">
        <f>Table4[[#This Row],[Date-Sales]]-Table4[[#This Row],[Date-Received]]</f>
        <v>3</v>
      </c>
      <c r="N261" s="6">
        <f>Table4[[#This Row],[Margin-Unit]]/Table4[[#This Row],[Unit-Price]]</f>
        <v>0.13412997635631668</v>
      </c>
    </row>
    <row r="262" spans="1:14" x14ac:dyDescent="0.3">
      <c r="A262" t="s">
        <v>305</v>
      </c>
      <c r="B262" t="s">
        <v>43</v>
      </c>
      <c r="C262" t="s">
        <v>35</v>
      </c>
      <c r="D262" t="s">
        <v>30</v>
      </c>
      <c r="E262" t="s">
        <v>31</v>
      </c>
      <c r="F262">
        <v>384</v>
      </c>
      <c r="G262" s="3">
        <v>397.49</v>
      </c>
      <c r="H262" s="1">
        <v>45713</v>
      </c>
      <c r="I262" s="1">
        <v>45721</v>
      </c>
      <c r="J262" s="3">
        <v>91.23</v>
      </c>
      <c r="K262" s="2">
        <f>Table4[[#This Row],[Stock-Quantity]]*Table4[[#This Row],[Unit-Price]]</f>
        <v>152636.16</v>
      </c>
      <c r="L262" s="2">
        <f>Table4[[#This Row],[Stock-Quantity]]*Table4[[#This Row],[Margin-Unit]]</f>
        <v>35032.32</v>
      </c>
      <c r="M262">
        <f>Table4[[#This Row],[Date-Sales]]-Table4[[#This Row],[Date-Received]]</f>
        <v>8</v>
      </c>
      <c r="N262" s="6">
        <f>Table4[[#This Row],[Margin-Unit]]/Table4[[#This Row],[Unit-Price]]</f>
        <v>0.22951520792975924</v>
      </c>
    </row>
    <row r="263" spans="1:14" x14ac:dyDescent="0.3">
      <c r="A263" t="s">
        <v>306</v>
      </c>
      <c r="B263" t="s">
        <v>70</v>
      </c>
      <c r="C263" t="s">
        <v>35</v>
      </c>
      <c r="D263" t="s">
        <v>18</v>
      </c>
      <c r="E263" t="s">
        <v>19</v>
      </c>
      <c r="F263">
        <v>160</v>
      </c>
      <c r="G263" s="3">
        <v>314.85000000000002</v>
      </c>
      <c r="H263" s="1">
        <v>45825</v>
      </c>
      <c r="I263" s="1">
        <v>45834</v>
      </c>
      <c r="J263" s="3">
        <v>36.25</v>
      </c>
      <c r="K263" s="2">
        <f>Table4[[#This Row],[Stock-Quantity]]*Table4[[#This Row],[Unit-Price]]</f>
        <v>50376</v>
      </c>
      <c r="L263" s="2">
        <f>Table4[[#This Row],[Stock-Quantity]]*Table4[[#This Row],[Margin-Unit]]</f>
        <v>5800</v>
      </c>
      <c r="M263">
        <f>Table4[[#This Row],[Date-Sales]]-Table4[[#This Row],[Date-Received]]</f>
        <v>9</v>
      </c>
      <c r="N263" s="6">
        <f>Table4[[#This Row],[Margin-Unit]]/Table4[[#This Row],[Unit-Price]]</f>
        <v>0.1151341908845482</v>
      </c>
    </row>
    <row r="264" spans="1:14" x14ac:dyDescent="0.3">
      <c r="A264" t="s">
        <v>307</v>
      </c>
      <c r="B264" t="s">
        <v>37</v>
      </c>
      <c r="C264" t="s">
        <v>22</v>
      </c>
      <c r="D264" t="s">
        <v>18</v>
      </c>
      <c r="E264" t="s">
        <v>19</v>
      </c>
      <c r="F264">
        <v>386</v>
      </c>
      <c r="G264" s="3">
        <v>300.27</v>
      </c>
      <c r="H264" s="1">
        <v>45714</v>
      </c>
      <c r="I264" s="1">
        <v>45716</v>
      </c>
      <c r="J264" s="3">
        <v>39.31</v>
      </c>
      <c r="K264" s="2">
        <f>Table4[[#This Row],[Stock-Quantity]]*Table4[[#This Row],[Unit-Price]]</f>
        <v>115904.21999999999</v>
      </c>
      <c r="L264" s="2">
        <f>Table4[[#This Row],[Stock-Quantity]]*Table4[[#This Row],[Margin-Unit]]</f>
        <v>15173.660000000002</v>
      </c>
      <c r="M264">
        <f>Table4[[#This Row],[Date-Sales]]-Table4[[#This Row],[Date-Received]]</f>
        <v>2</v>
      </c>
      <c r="N264" s="6">
        <f>Table4[[#This Row],[Margin-Unit]]/Table4[[#This Row],[Unit-Price]]</f>
        <v>0.13091550937489593</v>
      </c>
    </row>
    <row r="265" spans="1:14" x14ac:dyDescent="0.3">
      <c r="A265" t="s">
        <v>308</v>
      </c>
      <c r="B265" t="s">
        <v>106</v>
      </c>
      <c r="C265" t="s">
        <v>17</v>
      </c>
      <c r="D265" t="s">
        <v>30</v>
      </c>
      <c r="E265" t="s">
        <v>31</v>
      </c>
      <c r="F265">
        <v>315</v>
      </c>
      <c r="G265" s="3">
        <v>120.42</v>
      </c>
      <c r="H265" s="1">
        <v>45701</v>
      </c>
      <c r="I265" s="1">
        <v>45724</v>
      </c>
      <c r="J265" s="3">
        <v>20.61</v>
      </c>
      <c r="K265" s="2">
        <f>Table4[[#This Row],[Stock-Quantity]]*Table4[[#This Row],[Unit-Price]]</f>
        <v>37932.300000000003</v>
      </c>
      <c r="L265" s="2">
        <f>Table4[[#This Row],[Stock-Quantity]]*Table4[[#This Row],[Margin-Unit]]</f>
        <v>6492.15</v>
      </c>
      <c r="M265">
        <f>Table4[[#This Row],[Date-Sales]]-Table4[[#This Row],[Date-Received]]</f>
        <v>23</v>
      </c>
      <c r="N265" s="6">
        <f>Table4[[#This Row],[Margin-Unit]]/Table4[[#This Row],[Unit-Price]]</f>
        <v>0.1711509715994021</v>
      </c>
    </row>
    <row r="266" spans="1:14" x14ac:dyDescent="0.3">
      <c r="A266" t="s">
        <v>309</v>
      </c>
      <c r="B266" t="s">
        <v>43</v>
      </c>
      <c r="C266" t="s">
        <v>35</v>
      </c>
      <c r="D266" t="s">
        <v>25</v>
      </c>
      <c r="E266" t="s">
        <v>26</v>
      </c>
      <c r="F266">
        <v>169</v>
      </c>
      <c r="G266" s="3">
        <v>274.95999999999998</v>
      </c>
      <c r="H266" s="1">
        <v>45696</v>
      </c>
      <c r="I266" s="1">
        <v>45712</v>
      </c>
      <c r="J266" s="3">
        <v>43.91</v>
      </c>
      <c r="K266" s="2">
        <f>Table4[[#This Row],[Stock-Quantity]]*Table4[[#This Row],[Unit-Price]]</f>
        <v>46468.24</v>
      </c>
      <c r="L266" s="2">
        <f>Table4[[#This Row],[Stock-Quantity]]*Table4[[#This Row],[Margin-Unit]]</f>
        <v>7420.7899999999991</v>
      </c>
      <c r="M266">
        <f>Table4[[#This Row],[Date-Sales]]-Table4[[#This Row],[Date-Received]]</f>
        <v>16</v>
      </c>
      <c r="N266" s="6">
        <f>Table4[[#This Row],[Margin-Unit]]/Table4[[#This Row],[Unit-Price]]</f>
        <v>0.15969595577538551</v>
      </c>
    </row>
    <row r="267" spans="1:14" x14ac:dyDescent="0.3">
      <c r="A267" t="s">
        <v>310</v>
      </c>
      <c r="B267" t="s">
        <v>65</v>
      </c>
      <c r="C267" t="s">
        <v>22</v>
      </c>
      <c r="D267" t="s">
        <v>40</v>
      </c>
      <c r="E267" t="s">
        <v>41</v>
      </c>
      <c r="F267">
        <v>25</v>
      </c>
      <c r="G267" s="3">
        <v>386.92</v>
      </c>
      <c r="H267" s="1">
        <v>45815</v>
      </c>
      <c r="I267" s="1">
        <v>45821</v>
      </c>
      <c r="J267" s="3">
        <v>106.94</v>
      </c>
      <c r="K267" s="2">
        <f>Table4[[#This Row],[Stock-Quantity]]*Table4[[#This Row],[Unit-Price]]</f>
        <v>9673</v>
      </c>
      <c r="L267" s="2">
        <f>Table4[[#This Row],[Stock-Quantity]]*Table4[[#This Row],[Margin-Unit]]</f>
        <v>2673.5</v>
      </c>
      <c r="M267">
        <f>Table4[[#This Row],[Date-Sales]]-Table4[[#This Row],[Date-Received]]</f>
        <v>6</v>
      </c>
      <c r="N267" s="6">
        <f>Table4[[#This Row],[Margin-Unit]]/Table4[[#This Row],[Unit-Price]]</f>
        <v>0.2763878838002688</v>
      </c>
    </row>
    <row r="268" spans="1:14" x14ac:dyDescent="0.3">
      <c r="A268" t="s">
        <v>311</v>
      </c>
      <c r="B268" t="s">
        <v>94</v>
      </c>
      <c r="C268" t="s">
        <v>29</v>
      </c>
      <c r="D268" t="s">
        <v>30</v>
      </c>
      <c r="E268" t="s">
        <v>31</v>
      </c>
      <c r="F268">
        <v>452</v>
      </c>
      <c r="G268" s="3">
        <v>404.63</v>
      </c>
      <c r="H268" s="1">
        <v>45804</v>
      </c>
      <c r="I268" s="1">
        <v>45805</v>
      </c>
      <c r="J268" s="3">
        <v>75.959999999999994</v>
      </c>
      <c r="K268" s="2">
        <f>Table4[[#This Row],[Stock-Quantity]]*Table4[[#This Row],[Unit-Price]]</f>
        <v>182892.76</v>
      </c>
      <c r="L268" s="2">
        <f>Table4[[#This Row],[Stock-Quantity]]*Table4[[#This Row],[Margin-Unit]]</f>
        <v>34333.919999999998</v>
      </c>
      <c r="M268">
        <f>Table4[[#This Row],[Date-Sales]]-Table4[[#This Row],[Date-Received]]</f>
        <v>1</v>
      </c>
      <c r="N268" s="6">
        <f>Table4[[#This Row],[Margin-Unit]]/Table4[[#This Row],[Unit-Price]]</f>
        <v>0.1877270592887329</v>
      </c>
    </row>
    <row r="269" spans="1:14" x14ac:dyDescent="0.3">
      <c r="A269" t="s">
        <v>312</v>
      </c>
      <c r="B269" t="s">
        <v>52</v>
      </c>
      <c r="C269" t="s">
        <v>12</v>
      </c>
      <c r="D269" t="s">
        <v>30</v>
      </c>
      <c r="E269" t="s">
        <v>31</v>
      </c>
      <c r="F269">
        <v>56</v>
      </c>
      <c r="G269" s="3">
        <v>442.26</v>
      </c>
      <c r="H269" s="1">
        <v>45759</v>
      </c>
      <c r="I269" s="1">
        <v>45788</v>
      </c>
      <c r="J269" s="3">
        <v>95.29</v>
      </c>
      <c r="K269" s="2">
        <f>Table4[[#This Row],[Stock-Quantity]]*Table4[[#This Row],[Unit-Price]]</f>
        <v>24766.559999999998</v>
      </c>
      <c r="L269" s="2">
        <f>Table4[[#This Row],[Stock-Quantity]]*Table4[[#This Row],[Margin-Unit]]</f>
        <v>5336.2400000000007</v>
      </c>
      <c r="M269">
        <f>Table4[[#This Row],[Date-Sales]]-Table4[[#This Row],[Date-Received]]</f>
        <v>29</v>
      </c>
      <c r="N269" s="6">
        <f>Table4[[#This Row],[Margin-Unit]]/Table4[[#This Row],[Unit-Price]]</f>
        <v>0.21546149323927102</v>
      </c>
    </row>
    <row r="270" spans="1:14" x14ac:dyDescent="0.3">
      <c r="A270" t="s">
        <v>313</v>
      </c>
      <c r="B270" t="s">
        <v>65</v>
      </c>
      <c r="C270" t="s">
        <v>22</v>
      </c>
      <c r="D270" t="s">
        <v>25</v>
      </c>
      <c r="E270" t="s">
        <v>26</v>
      </c>
      <c r="F270">
        <v>22</v>
      </c>
      <c r="G270" s="3">
        <v>420.2</v>
      </c>
      <c r="H270" s="1">
        <v>45697</v>
      </c>
      <c r="I270" s="1">
        <v>45704</v>
      </c>
      <c r="J270" s="3">
        <v>53.6</v>
      </c>
      <c r="K270" s="2">
        <f>Table4[[#This Row],[Stock-Quantity]]*Table4[[#This Row],[Unit-Price]]</f>
        <v>9244.4</v>
      </c>
      <c r="L270" s="2">
        <f>Table4[[#This Row],[Stock-Quantity]]*Table4[[#This Row],[Margin-Unit]]</f>
        <v>1179.2</v>
      </c>
      <c r="M270">
        <f>Table4[[#This Row],[Date-Sales]]-Table4[[#This Row],[Date-Received]]</f>
        <v>7</v>
      </c>
      <c r="N270" s="6">
        <f>Table4[[#This Row],[Margin-Unit]]/Table4[[#This Row],[Unit-Price]]</f>
        <v>0.12755830556877679</v>
      </c>
    </row>
    <row r="271" spans="1:14" x14ac:dyDescent="0.3">
      <c r="A271" t="s">
        <v>314</v>
      </c>
      <c r="B271" t="s">
        <v>80</v>
      </c>
      <c r="C271" t="s">
        <v>29</v>
      </c>
      <c r="D271" t="s">
        <v>40</v>
      </c>
      <c r="E271" t="s">
        <v>41</v>
      </c>
      <c r="F271">
        <v>92</v>
      </c>
      <c r="G271" s="3">
        <v>321.37</v>
      </c>
      <c r="H271" s="1">
        <v>45688</v>
      </c>
      <c r="I271" s="1">
        <v>45705</v>
      </c>
      <c r="J271" s="3">
        <v>79.87</v>
      </c>
      <c r="K271" s="2">
        <f>Table4[[#This Row],[Stock-Quantity]]*Table4[[#This Row],[Unit-Price]]</f>
        <v>29566.04</v>
      </c>
      <c r="L271" s="2">
        <f>Table4[[#This Row],[Stock-Quantity]]*Table4[[#This Row],[Margin-Unit]]</f>
        <v>7348.0400000000009</v>
      </c>
      <c r="M271">
        <f>Table4[[#This Row],[Date-Sales]]-Table4[[#This Row],[Date-Received]]</f>
        <v>17</v>
      </c>
      <c r="N271" s="6">
        <f>Table4[[#This Row],[Margin-Unit]]/Table4[[#This Row],[Unit-Price]]</f>
        <v>0.24852973208451318</v>
      </c>
    </row>
    <row r="272" spans="1:14" x14ac:dyDescent="0.3">
      <c r="A272" t="s">
        <v>315</v>
      </c>
      <c r="B272" t="s">
        <v>116</v>
      </c>
      <c r="C272" t="s">
        <v>12</v>
      </c>
      <c r="D272" t="s">
        <v>13</v>
      </c>
      <c r="E272" t="s">
        <v>14</v>
      </c>
      <c r="F272">
        <v>324</v>
      </c>
      <c r="G272" s="3">
        <v>442.37</v>
      </c>
      <c r="H272" s="1">
        <v>45692</v>
      </c>
      <c r="I272" s="1">
        <v>45707</v>
      </c>
      <c r="J272" s="3">
        <v>45.96</v>
      </c>
      <c r="K272" s="2">
        <f>Table4[[#This Row],[Stock-Quantity]]*Table4[[#This Row],[Unit-Price]]</f>
        <v>143327.88</v>
      </c>
      <c r="L272" s="2">
        <f>Table4[[#This Row],[Stock-Quantity]]*Table4[[#This Row],[Margin-Unit]]</f>
        <v>14891.04</v>
      </c>
      <c r="M272">
        <f>Table4[[#This Row],[Date-Sales]]-Table4[[#This Row],[Date-Received]]</f>
        <v>15</v>
      </c>
      <c r="N272" s="6">
        <f>Table4[[#This Row],[Margin-Unit]]/Table4[[#This Row],[Unit-Price]]</f>
        <v>0.10389492958383253</v>
      </c>
    </row>
    <row r="273" spans="1:14" x14ac:dyDescent="0.3">
      <c r="A273" t="s">
        <v>316</v>
      </c>
      <c r="B273" t="s">
        <v>16</v>
      </c>
      <c r="C273" t="s">
        <v>17</v>
      </c>
      <c r="D273" t="s">
        <v>40</v>
      </c>
      <c r="E273" t="s">
        <v>41</v>
      </c>
      <c r="F273">
        <v>341</v>
      </c>
      <c r="G273" s="3">
        <v>232.08</v>
      </c>
      <c r="H273" s="1">
        <v>45713</v>
      </c>
      <c r="I273" s="1">
        <v>45722</v>
      </c>
      <c r="J273" s="3">
        <v>59.44</v>
      </c>
      <c r="K273" s="2">
        <f>Table4[[#This Row],[Stock-Quantity]]*Table4[[#This Row],[Unit-Price]]</f>
        <v>79139.28</v>
      </c>
      <c r="L273" s="2">
        <f>Table4[[#This Row],[Stock-Quantity]]*Table4[[#This Row],[Margin-Unit]]</f>
        <v>20269.04</v>
      </c>
      <c r="M273">
        <f>Table4[[#This Row],[Date-Sales]]-Table4[[#This Row],[Date-Received]]</f>
        <v>9</v>
      </c>
      <c r="N273" s="6">
        <f>Table4[[#This Row],[Margin-Unit]]/Table4[[#This Row],[Unit-Price]]</f>
        <v>0.25611857980006891</v>
      </c>
    </row>
    <row r="274" spans="1:14" x14ac:dyDescent="0.3">
      <c r="A274" t="s">
        <v>317</v>
      </c>
      <c r="B274" t="s">
        <v>28</v>
      </c>
      <c r="C274" t="s">
        <v>29</v>
      </c>
      <c r="D274" t="s">
        <v>18</v>
      </c>
      <c r="E274" t="s">
        <v>19</v>
      </c>
      <c r="F274">
        <v>286</v>
      </c>
      <c r="G274" s="3">
        <v>323.75</v>
      </c>
      <c r="H274" s="1">
        <v>45751</v>
      </c>
      <c r="I274" s="1">
        <v>45752</v>
      </c>
      <c r="J274" s="3">
        <v>84.77</v>
      </c>
      <c r="K274" s="2">
        <f>Table4[[#This Row],[Stock-Quantity]]*Table4[[#This Row],[Unit-Price]]</f>
        <v>92592.5</v>
      </c>
      <c r="L274" s="2">
        <f>Table4[[#This Row],[Stock-Quantity]]*Table4[[#This Row],[Margin-Unit]]</f>
        <v>24244.219999999998</v>
      </c>
      <c r="M274">
        <f>Table4[[#This Row],[Date-Sales]]-Table4[[#This Row],[Date-Received]]</f>
        <v>1</v>
      </c>
      <c r="N274" s="6">
        <f>Table4[[#This Row],[Margin-Unit]]/Table4[[#This Row],[Unit-Price]]</f>
        <v>0.26183783783783782</v>
      </c>
    </row>
    <row r="275" spans="1:14" x14ac:dyDescent="0.3">
      <c r="A275" t="s">
        <v>318</v>
      </c>
      <c r="B275" t="s">
        <v>65</v>
      </c>
      <c r="C275" t="s">
        <v>22</v>
      </c>
      <c r="D275" t="s">
        <v>30</v>
      </c>
      <c r="E275" t="s">
        <v>31</v>
      </c>
      <c r="F275">
        <v>209</v>
      </c>
      <c r="G275" s="3">
        <v>89.89</v>
      </c>
      <c r="H275" s="1">
        <v>45711</v>
      </c>
      <c r="I275" s="1">
        <v>45733</v>
      </c>
      <c r="J275" s="3">
        <v>13.78</v>
      </c>
      <c r="K275" s="2">
        <f>Table4[[#This Row],[Stock-Quantity]]*Table4[[#This Row],[Unit-Price]]</f>
        <v>18787.009999999998</v>
      </c>
      <c r="L275" s="2">
        <f>Table4[[#This Row],[Stock-Quantity]]*Table4[[#This Row],[Margin-Unit]]</f>
        <v>2880.02</v>
      </c>
      <c r="M275">
        <f>Table4[[#This Row],[Date-Sales]]-Table4[[#This Row],[Date-Received]]</f>
        <v>22</v>
      </c>
      <c r="N275" s="6">
        <f>Table4[[#This Row],[Margin-Unit]]/Table4[[#This Row],[Unit-Price]]</f>
        <v>0.15329847591500723</v>
      </c>
    </row>
    <row r="276" spans="1:14" x14ac:dyDescent="0.3">
      <c r="A276" t="s">
        <v>319</v>
      </c>
      <c r="B276" t="s">
        <v>94</v>
      </c>
      <c r="C276" t="s">
        <v>29</v>
      </c>
      <c r="D276" t="s">
        <v>13</v>
      </c>
      <c r="E276" t="s">
        <v>14</v>
      </c>
      <c r="F276">
        <v>104</v>
      </c>
      <c r="G276" s="3">
        <v>224.82</v>
      </c>
      <c r="H276" s="1">
        <v>45783</v>
      </c>
      <c r="I276" s="1">
        <v>45795</v>
      </c>
      <c r="J276" s="3">
        <v>53.34</v>
      </c>
      <c r="K276" s="2">
        <f>Table4[[#This Row],[Stock-Quantity]]*Table4[[#This Row],[Unit-Price]]</f>
        <v>23381.279999999999</v>
      </c>
      <c r="L276" s="2">
        <f>Table4[[#This Row],[Stock-Quantity]]*Table4[[#This Row],[Margin-Unit]]</f>
        <v>5547.3600000000006</v>
      </c>
      <c r="M276">
        <f>Table4[[#This Row],[Date-Sales]]-Table4[[#This Row],[Date-Received]]</f>
        <v>12</v>
      </c>
      <c r="N276" s="6">
        <f>Table4[[#This Row],[Margin-Unit]]/Table4[[#This Row],[Unit-Price]]</f>
        <v>0.237256471844142</v>
      </c>
    </row>
    <row r="277" spans="1:14" x14ac:dyDescent="0.3">
      <c r="A277" t="s">
        <v>320</v>
      </c>
      <c r="B277" t="s">
        <v>11</v>
      </c>
      <c r="C277" t="s">
        <v>12</v>
      </c>
      <c r="D277" t="s">
        <v>40</v>
      </c>
      <c r="E277" t="s">
        <v>41</v>
      </c>
      <c r="F277">
        <v>48</v>
      </c>
      <c r="G277" s="3">
        <v>218.37</v>
      </c>
      <c r="H277" s="1">
        <v>45769</v>
      </c>
      <c r="I277" s="1">
        <v>45781</v>
      </c>
      <c r="J277" s="3">
        <v>45.54</v>
      </c>
      <c r="K277" s="2">
        <f>Table4[[#This Row],[Stock-Quantity]]*Table4[[#This Row],[Unit-Price]]</f>
        <v>10481.76</v>
      </c>
      <c r="L277" s="2">
        <f>Table4[[#This Row],[Stock-Quantity]]*Table4[[#This Row],[Margin-Unit]]</f>
        <v>2185.92</v>
      </c>
      <c r="M277">
        <f>Table4[[#This Row],[Date-Sales]]-Table4[[#This Row],[Date-Received]]</f>
        <v>12</v>
      </c>
      <c r="N277" s="6">
        <f>Table4[[#This Row],[Margin-Unit]]/Table4[[#This Row],[Unit-Price]]</f>
        <v>0.20854512982552548</v>
      </c>
    </row>
    <row r="278" spans="1:14" x14ac:dyDescent="0.3">
      <c r="A278" t="s">
        <v>321</v>
      </c>
      <c r="B278" t="s">
        <v>80</v>
      </c>
      <c r="C278" t="s">
        <v>29</v>
      </c>
      <c r="D278" t="s">
        <v>13</v>
      </c>
      <c r="E278" t="s">
        <v>14</v>
      </c>
      <c r="F278">
        <v>310</v>
      </c>
      <c r="G278" s="3">
        <v>371.75</v>
      </c>
      <c r="H278" s="1">
        <v>45825</v>
      </c>
      <c r="I278" s="1">
        <v>45829</v>
      </c>
      <c r="J278" s="3">
        <v>86.31</v>
      </c>
      <c r="K278" s="2">
        <f>Table4[[#This Row],[Stock-Quantity]]*Table4[[#This Row],[Unit-Price]]</f>
        <v>115242.5</v>
      </c>
      <c r="L278" s="2">
        <f>Table4[[#This Row],[Stock-Quantity]]*Table4[[#This Row],[Margin-Unit]]</f>
        <v>26756.100000000002</v>
      </c>
      <c r="M278">
        <f>Table4[[#This Row],[Date-Sales]]-Table4[[#This Row],[Date-Received]]</f>
        <v>4</v>
      </c>
      <c r="N278" s="6">
        <f>Table4[[#This Row],[Margin-Unit]]/Table4[[#This Row],[Unit-Price]]</f>
        <v>0.23217215870880969</v>
      </c>
    </row>
    <row r="279" spans="1:14" x14ac:dyDescent="0.3">
      <c r="A279" t="s">
        <v>322</v>
      </c>
      <c r="B279" t="s">
        <v>74</v>
      </c>
      <c r="C279" t="s">
        <v>29</v>
      </c>
      <c r="D279" t="s">
        <v>25</v>
      </c>
      <c r="E279" t="s">
        <v>26</v>
      </c>
      <c r="F279">
        <v>423</v>
      </c>
      <c r="G279" s="3">
        <v>84.84</v>
      </c>
      <c r="H279" s="1">
        <v>45680</v>
      </c>
      <c r="I279" s="1">
        <v>45703</v>
      </c>
      <c r="J279" s="3">
        <v>14.23</v>
      </c>
      <c r="K279" s="2">
        <f>Table4[[#This Row],[Stock-Quantity]]*Table4[[#This Row],[Unit-Price]]</f>
        <v>35887.32</v>
      </c>
      <c r="L279" s="2">
        <f>Table4[[#This Row],[Stock-Quantity]]*Table4[[#This Row],[Margin-Unit]]</f>
        <v>6019.29</v>
      </c>
      <c r="M279">
        <f>Table4[[#This Row],[Date-Sales]]-Table4[[#This Row],[Date-Received]]</f>
        <v>23</v>
      </c>
      <c r="N279" s="6">
        <f>Table4[[#This Row],[Margin-Unit]]/Table4[[#This Row],[Unit-Price]]</f>
        <v>0.16772748703441773</v>
      </c>
    </row>
    <row r="280" spans="1:14" x14ac:dyDescent="0.3">
      <c r="A280" t="s">
        <v>323</v>
      </c>
      <c r="B280" t="s">
        <v>70</v>
      </c>
      <c r="C280" t="s">
        <v>35</v>
      </c>
      <c r="D280" t="s">
        <v>40</v>
      </c>
      <c r="E280" t="s">
        <v>41</v>
      </c>
      <c r="F280">
        <v>91</v>
      </c>
      <c r="G280" s="3">
        <v>472.31</v>
      </c>
      <c r="H280" s="1">
        <v>45831</v>
      </c>
      <c r="I280" s="1">
        <v>45846</v>
      </c>
      <c r="J280" s="3">
        <v>136.77000000000001</v>
      </c>
      <c r="K280" s="2">
        <f>Table4[[#This Row],[Stock-Quantity]]*Table4[[#This Row],[Unit-Price]]</f>
        <v>42980.21</v>
      </c>
      <c r="L280" s="2">
        <f>Table4[[#This Row],[Stock-Quantity]]*Table4[[#This Row],[Margin-Unit]]</f>
        <v>12446.070000000002</v>
      </c>
      <c r="M280">
        <f>Table4[[#This Row],[Date-Sales]]-Table4[[#This Row],[Date-Received]]</f>
        <v>15</v>
      </c>
      <c r="N280" s="6">
        <f>Table4[[#This Row],[Margin-Unit]]/Table4[[#This Row],[Unit-Price]]</f>
        <v>0.2895767610255976</v>
      </c>
    </row>
    <row r="281" spans="1:14" x14ac:dyDescent="0.3">
      <c r="A281" t="s">
        <v>324</v>
      </c>
      <c r="B281" t="s">
        <v>106</v>
      </c>
      <c r="C281" t="s">
        <v>17</v>
      </c>
      <c r="D281" t="s">
        <v>18</v>
      </c>
      <c r="E281" t="s">
        <v>19</v>
      </c>
      <c r="F281">
        <v>487</v>
      </c>
      <c r="G281" s="3">
        <v>404.4</v>
      </c>
      <c r="H281" s="1">
        <v>45723</v>
      </c>
      <c r="I281" s="1">
        <v>45750</v>
      </c>
      <c r="J281" s="3">
        <v>89.18</v>
      </c>
      <c r="K281" s="2">
        <f>Table4[[#This Row],[Stock-Quantity]]*Table4[[#This Row],[Unit-Price]]</f>
        <v>196942.8</v>
      </c>
      <c r="L281" s="2">
        <f>Table4[[#This Row],[Stock-Quantity]]*Table4[[#This Row],[Margin-Unit]]</f>
        <v>43430.66</v>
      </c>
      <c r="M281">
        <f>Table4[[#This Row],[Date-Sales]]-Table4[[#This Row],[Date-Received]]</f>
        <v>27</v>
      </c>
      <c r="N281" s="6">
        <f>Table4[[#This Row],[Margin-Unit]]/Table4[[#This Row],[Unit-Price]]</f>
        <v>0.22052423343224534</v>
      </c>
    </row>
    <row r="282" spans="1:14" x14ac:dyDescent="0.3">
      <c r="A282" t="s">
        <v>325</v>
      </c>
      <c r="B282" t="s">
        <v>80</v>
      </c>
      <c r="C282" t="s">
        <v>29</v>
      </c>
      <c r="D282" t="s">
        <v>18</v>
      </c>
      <c r="E282" t="s">
        <v>19</v>
      </c>
      <c r="F282">
        <v>286</v>
      </c>
      <c r="G282" s="3">
        <v>139.04</v>
      </c>
      <c r="H282" s="1">
        <v>45718</v>
      </c>
      <c r="I282" s="1">
        <v>45745</v>
      </c>
      <c r="J282" s="3">
        <v>14.52</v>
      </c>
      <c r="K282" s="2">
        <f>Table4[[#This Row],[Stock-Quantity]]*Table4[[#This Row],[Unit-Price]]</f>
        <v>39765.439999999995</v>
      </c>
      <c r="L282" s="2">
        <f>Table4[[#This Row],[Stock-Quantity]]*Table4[[#This Row],[Margin-Unit]]</f>
        <v>4152.72</v>
      </c>
      <c r="M282">
        <f>Table4[[#This Row],[Date-Sales]]-Table4[[#This Row],[Date-Received]]</f>
        <v>27</v>
      </c>
      <c r="N282" s="6">
        <f>Table4[[#This Row],[Margin-Unit]]/Table4[[#This Row],[Unit-Price]]</f>
        <v>0.10443037974683544</v>
      </c>
    </row>
    <row r="283" spans="1:14" x14ac:dyDescent="0.3">
      <c r="A283" t="s">
        <v>326</v>
      </c>
      <c r="B283" t="s">
        <v>43</v>
      </c>
      <c r="C283" t="s">
        <v>35</v>
      </c>
      <c r="D283" t="s">
        <v>18</v>
      </c>
      <c r="E283" t="s">
        <v>19</v>
      </c>
      <c r="F283">
        <v>471</v>
      </c>
      <c r="G283" s="3">
        <v>224.17</v>
      </c>
      <c r="H283" s="1">
        <v>45744</v>
      </c>
      <c r="I283" s="1">
        <v>45754</v>
      </c>
      <c r="J283" s="3">
        <v>66.27</v>
      </c>
      <c r="K283" s="2">
        <f>Table4[[#This Row],[Stock-Quantity]]*Table4[[#This Row],[Unit-Price]]</f>
        <v>105584.06999999999</v>
      </c>
      <c r="L283" s="2">
        <f>Table4[[#This Row],[Stock-Quantity]]*Table4[[#This Row],[Margin-Unit]]</f>
        <v>31213.17</v>
      </c>
      <c r="M283">
        <f>Table4[[#This Row],[Date-Sales]]-Table4[[#This Row],[Date-Received]]</f>
        <v>10</v>
      </c>
      <c r="N283" s="6">
        <f>Table4[[#This Row],[Margin-Unit]]/Table4[[#This Row],[Unit-Price]]</f>
        <v>0.29562385689432125</v>
      </c>
    </row>
    <row r="284" spans="1:14" x14ac:dyDescent="0.3">
      <c r="A284" t="s">
        <v>327</v>
      </c>
      <c r="B284" t="s">
        <v>11</v>
      </c>
      <c r="C284" t="s">
        <v>12</v>
      </c>
      <c r="D284" t="s">
        <v>40</v>
      </c>
      <c r="E284" t="s">
        <v>41</v>
      </c>
      <c r="F284">
        <v>174</v>
      </c>
      <c r="G284" s="3">
        <v>103.76</v>
      </c>
      <c r="H284" s="1">
        <v>45658</v>
      </c>
      <c r="I284" s="1">
        <v>45668</v>
      </c>
      <c r="J284" s="3">
        <v>12.42</v>
      </c>
      <c r="K284" s="2">
        <f>Table4[[#This Row],[Stock-Quantity]]*Table4[[#This Row],[Unit-Price]]</f>
        <v>18054.240000000002</v>
      </c>
      <c r="L284" s="2">
        <f>Table4[[#This Row],[Stock-Quantity]]*Table4[[#This Row],[Margin-Unit]]</f>
        <v>2161.08</v>
      </c>
      <c r="M284">
        <f>Table4[[#This Row],[Date-Sales]]-Table4[[#This Row],[Date-Received]]</f>
        <v>10</v>
      </c>
      <c r="N284" s="6">
        <f>Table4[[#This Row],[Margin-Unit]]/Table4[[#This Row],[Unit-Price]]</f>
        <v>0.11969930609097917</v>
      </c>
    </row>
    <row r="285" spans="1:14" x14ac:dyDescent="0.3">
      <c r="A285" t="s">
        <v>328</v>
      </c>
      <c r="B285" t="s">
        <v>70</v>
      </c>
      <c r="C285" t="s">
        <v>35</v>
      </c>
      <c r="D285" t="s">
        <v>40</v>
      </c>
      <c r="E285" t="s">
        <v>41</v>
      </c>
      <c r="F285">
        <v>480</v>
      </c>
      <c r="G285" s="3">
        <v>399.74</v>
      </c>
      <c r="H285" s="1">
        <v>45805</v>
      </c>
      <c r="I285" s="1">
        <v>45820</v>
      </c>
      <c r="J285" s="3">
        <v>70.95</v>
      </c>
      <c r="K285" s="2">
        <f>Table4[[#This Row],[Stock-Quantity]]*Table4[[#This Row],[Unit-Price]]</f>
        <v>191875.20000000001</v>
      </c>
      <c r="L285" s="2">
        <f>Table4[[#This Row],[Stock-Quantity]]*Table4[[#This Row],[Margin-Unit]]</f>
        <v>34056</v>
      </c>
      <c r="M285">
        <f>Table4[[#This Row],[Date-Sales]]-Table4[[#This Row],[Date-Received]]</f>
        <v>15</v>
      </c>
      <c r="N285" s="6">
        <f>Table4[[#This Row],[Margin-Unit]]/Table4[[#This Row],[Unit-Price]]</f>
        <v>0.1774903687396808</v>
      </c>
    </row>
    <row r="286" spans="1:14" x14ac:dyDescent="0.3">
      <c r="A286" t="s">
        <v>329</v>
      </c>
      <c r="B286" t="s">
        <v>37</v>
      </c>
      <c r="C286" t="s">
        <v>22</v>
      </c>
      <c r="D286" t="s">
        <v>13</v>
      </c>
      <c r="E286" t="s">
        <v>14</v>
      </c>
      <c r="F286">
        <v>253</v>
      </c>
      <c r="G286" s="3">
        <v>441.02</v>
      </c>
      <c r="H286" s="1">
        <v>45704</v>
      </c>
      <c r="I286" s="1">
        <v>45726</v>
      </c>
      <c r="J286" s="3">
        <v>123.45</v>
      </c>
      <c r="K286" s="2">
        <f>Table4[[#This Row],[Stock-Quantity]]*Table4[[#This Row],[Unit-Price]]</f>
        <v>111578.06</v>
      </c>
      <c r="L286" s="2">
        <f>Table4[[#This Row],[Stock-Quantity]]*Table4[[#This Row],[Margin-Unit]]</f>
        <v>31232.850000000002</v>
      </c>
      <c r="M286">
        <f>Table4[[#This Row],[Date-Sales]]-Table4[[#This Row],[Date-Received]]</f>
        <v>22</v>
      </c>
      <c r="N286" s="6">
        <f>Table4[[#This Row],[Margin-Unit]]/Table4[[#This Row],[Unit-Price]]</f>
        <v>0.27991927803727723</v>
      </c>
    </row>
    <row r="287" spans="1:14" x14ac:dyDescent="0.3">
      <c r="A287" t="s">
        <v>330</v>
      </c>
      <c r="B287" t="s">
        <v>52</v>
      </c>
      <c r="C287" t="s">
        <v>12</v>
      </c>
      <c r="D287" t="s">
        <v>25</v>
      </c>
      <c r="E287" t="s">
        <v>26</v>
      </c>
      <c r="F287">
        <v>229</v>
      </c>
      <c r="G287" s="3">
        <v>130.71</v>
      </c>
      <c r="H287" s="1">
        <v>45696</v>
      </c>
      <c r="I287" s="1">
        <v>45698</v>
      </c>
      <c r="J287" s="3">
        <v>36.57</v>
      </c>
      <c r="K287" s="2">
        <f>Table4[[#This Row],[Stock-Quantity]]*Table4[[#This Row],[Unit-Price]]</f>
        <v>29932.59</v>
      </c>
      <c r="L287" s="2">
        <f>Table4[[#This Row],[Stock-Quantity]]*Table4[[#This Row],[Margin-Unit]]</f>
        <v>8374.5300000000007</v>
      </c>
      <c r="M287">
        <f>Table4[[#This Row],[Date-Sales]]-Table4[[#This Row],[Date-Received]]</f>
        <v>2</v>
      </c>
      <c r="N287" s="6">
        <f>Table4[[#This Row],[Margin-Unit]]/Table4[[#This Row],[Unit-Price]]</f>
        <v>0.27977966490704614</v>
      </c>
    </row>
    <row r="288" spans="1:14" x14ac:dyDescent="0.3">
      <c r="A288" t="s">
        <v>331</v>
      </c>
      <c r="B288" t="s">
        <v>11</v>
      </c>
      <c r="C288" t="s">
        <v>12</v>
      </c>
      <c r="D288" t="s">
        <v>40</v>
      </c>
      <c r="E288" t="s">
        <v>41</v>
      </c>
      <c r="F288">
        <v>213</v>
      </c>
      <c r="G288" s="3">
        <v>365.74</v>
      </c>
      <c r="H288" s="1">
        <v>45670</v>
      </c>
      <c r="I288" s="1">
        <v>45700</v>
      </c>
      <c r="J288" s="3">
        <v>59.84</v>
      </c>
      <c r="K288" s="2">
        <f>Table4[[#This Row],[Stock-Quantity]]*Table4[[#This Row],[Unit-Price]]</f>
        <v>77902.62</v>
      </c>
      <c r="L288" s="2">
        <f>Table4[[#This Row],[Stock-Quantity]]*Table4[[#This Row],[Margin-Unit]]</f>
        <v>12745.92</v>
      </c>
      <c r="M288">
        <f>Table4[[#This Row],[Date-Sales]]-Table4[[#This Row],[Date-Received]]</f>
        <v>30</v>
      </c>
      <c r="N288" s="6">
        <f>Table4[[#This Row],[Margin-Unit]]/Table4[[#This Row],[Unit-Price]]</f>
        <v>0.16361349592606769</v>
      </c>
    </row>
    <row r="289" spans="1:14" x14ac:dyDescent="0.3">
      <c r="A289" t="s">
        <v>332</v>
      </c>
      <c r="B289" t="s">
        <v>74</v>
      </c>
      <c r="C289" t="s">
        <v>29</v>
      </c>
      <c r="D289" t="s">
        <v>40</v>
      </c>
      <c r="E289" t="s">
        <v>41</v>
      </c>
      <c r="F289">
        <v>274</v>
      </c>
      <c r="G289" s="3">
        <v>73.48</v>
      </c>
      <c r="H289" s="1">
        <v>45824</v>
      </c>
      <c r="I289" s="1">
        <v>45843</v>
      </c>
      <c r="J289" s="3">
        <v>10.11</v>
      </c>
      <c r="K289" s="2">
        <f>Table4[[#This Row],[Stock-Quantity]]*Table4[[#This Row],[Unit-Price]]</f>
        <v>20133.52</v>
      </c>
      <c r="L289" s="2">
        <f>Table4[[#This Row],[Stock-Quantity]]*Table4[[#This Row],[Margin-Unit]]</f>
        <v>2770.14</v>
      </c>
      <c r="M289">
        <f>Table4[[#This Row],[Date-Sales]]-Table4[[#This Row],[Date-Received]]</f>
        <v>19</v>
      </c>
      <c r="N289" s="6">
        <f>Table4[[#This Row],[Margin-Unit]]/Table4[[#This Row],[Unit-Price]]</f>
        <v>0.13758845944474685</v>
      </c>
    </row>
    <row r="290" spans="1:14" x14ac:dyDescent="0.3">
      <c r="A290" t="s">
        <v>333</v>
      </c>
      <c r="B290" t="s">
        <v>70</v>
      </c>
      <c r="C290" t="s">
        <v>35</v>
      </c>
      <c r="D290" t="s">
        <v>30</v>
      </c>
      <c r="E290" t="s">
        <v>31</v>
      </c>
      <c r="F290">
        <v>307</v>
      </c>
      <c r="G290" s="3">
        <v>89.3</v>
      </c>
      <c r="H290" s="1">
        <v>45803</v>
      </c>
      <c r="I290" s="1">
        <v>45831</v>
      </c>
      <c r="J290" s="3">
        <v>18.41</v>
      </c>
      <c r="K290" s="2">
        <f>Table4[[#This Row],[Stock-Quantity]]*Table4[[#This Row],[Unit-Price]]</f>
        <v>27415.1</v>
      </c>
      <c r="L290" s="2">
        <f>Table4[[#This Row],[Stock-Quantity]]*Table4[[#This Row],[Margin-Unit]]</f>
        <v>5651.87</v>
      </c>
      <c r="M290">
        <f>Table4[[#This Row],[Date-Sales]]-Table4[[#This Row],[Date-Received]]</f>
        <v>28</v>
      </c>
      <c r="N290" s="6">
        <f>Table4[[#This Row],[Margin-Unit]]/Table4[[#This Row],[Unit-Price]]</f>
        <v>0.20615901455767077</v>
      </c>
    </row>
    <row r="291" spans="1:14" x14ac:dyDescent="0.3">
      <c r="A291" t="s">
        <v>334</v>
      </c>
      <c r="B291" t="s">
        <v>106</v>
      </c>
      <c r="C291" t="s">
        <v>17</v>
      </c>
      <c r="D291" t="s">
        <v>40</v>
      </c>
      <c r="E291" t="s">
        <v>41</v>
      </c>
      <c r="F291">
        <v>148</v>
      </c>
      <c r="G291" s="3">
        <v>456.68</v>
      </c>
      <c r="H291" s="1">
        <v>45662</v>
      </c>
      <c r="I291" s="1">
        <v>45684</v>
      </c>
      <c r="J291" s="3">
        <v>62.16</v>
      </c>
      <c r="K291" s="2">
        <f>Table4[[#This Row],[Stock-Quantity]]*Table4[[#This Row],[Unit-Price]]</f>
        <v>67588.639999999999</v>
      </c>
      <c r="L291" s="2">
        <f>Table4[[#This Row],[Stock-Quantity]]*Table4[[#This Row],[Margin-Unit]]</f>
        <v>9199.68</v>
      </c>
      <c r="M291">
        <f>Table4[[#This Row],[Date-Sales]]-Table4[[#This Row],[Date-Received]]</f>
        <v>22</v>
      </c>
      <c r="N291" s="6">
        <f>Table4[[#This Row],[Margin-Unit]]/Table4[[#This Row],[Unit-Price]]</f>
        <v>0.13611281422440219</v>
      </c>
    </row>
    <row r="292" spans="1:14" x14ac:dyDescent="0.3">
      <c r="A292" t="s">
        <v>335</v>
      </c>
      <c r="B292" t="s">
        <v>74</v>
      </c>
      <c r="C292" t="s">
        <v>29</v>
      </c>
      <c r="D292" t="s">
        <v>18</v>
      </c>
      <c r="E292" t="s">
        <v>19</v>
      </c>
      <c r="F292">
        <v>87</v>
      </c>
      <c r="G292" s="3">
        <v>267.04000000000002</v>
      </c>
      <c r="H292" s="1">
        <v>45775</v>
      </c>
      <c r="I292" s="1">
        <v>45790</v>
      </c>
      <c r="J292" s="3">
        <v>60.87</v>
      </c>
      <c r="K292" s="2">
        <f>Table4[[#This Row],[Stock-Quantity]]*Table4[[#This Row],[Unit-Price]]</f>
        <v>23232.480000000003</v>
      </c>
      <c r="L292" s="2">
        <f>Table4[[#This Row],[Stock-Quantity]]*Table4[[#This Row],[Margin-Unit]]</f>
        <v>5295.69</v>
      </c>
      <c r="M292">
        <f>Table4[[#This Row],[Date-Sales]]-Table4[[#This Row],[Date-Received]]</f>
        <v>15</v>
      </c>
      <c r="N292" s="6">
        <f>Table4[[#This Row],[Margin-Unit]]/Table4[[#This Row],[Unit-Price]]</f>
        <v>0.22794337926902333</v>
      </c>
    </row>
    <row r="293" spans="1:14" x14ac:dyDescent="0.3">
      <c r="A293" t="s">
        <v>336</v>
      </c>
      <c r="B293" t="s">
        <v>47</v>
      </c>
      <c r="C293" t="s">
        <v>17</v>
      </c>
      <c r="D293" t="s">
        <v>13</v>
      </c>
      <c r="E293" t="s">
        <v>14</v>
      </c>
      <c r="F293">
        <v>18</v>
      </c>
      <c r="G293" s="3">
        <v>227.71</v>
      </c>
      <c r="H293" s="1">
        <v>45758</v>
      </c>
      <c r="I293" s="1">
        <v>45763</v>
      </c>
      <c r="J293" s="3">
        <v>24.39</v>
      </c>
      <c r="K293" s="2">
        <f>Table4[[#This Row],[Stock-Quantity]]*Table4[[#This Row],[Unit-Price]]</f>
        <v>4098.78</v>
      </c>
      <c r="L293" s="2">
        <f>Table4[[#This Row],[Stock-Quantity]]*Table4[[#This Row],[Margin-Unit]]</f>
        <v>439.02</v>
      </c>
      <c r="M293">
        <f>Table4[[#This Row],[Date-Sales]]-Table4[[#This Row],[Date-Received]]</f>
        <v>5</v>
      </c>
      <c r="N293" s="6">
        <f>Table4[[#This Row],[Margin-Unit]]/Table4[[#This Row],[Unit-Price]]</f>
        <v>0.10710992051293311</v>
      </c>
    </row>
    <row r="294" spans="1:14" x14ac:dyDescent="0.3">
      <c r="A294" t="s">
        <v>337</v>
      </c>
      <c r="B294" t="s">
        <v>16</v>
      </c>
      <c r="C294" t="s">
        <v>17</v>
      </c>
      <c r="D294" t="s">
        <v>25</v>
      </c>
      <c r="E294" t="s">
        <v>26</v>
      </c>
      <c r="F294">
        <v>223</v>
      </c>
      <c r="G294" s="3">
        <v>5.6</v>
      </c>
      <c r="H294" s="1">
        <v>45658</v>
      </c>
      <c r="I294" s="1">
        <v>45682</v>
      </c>
      <c r="J294" s="3">
        <v>1.59</v>
      </c>
      <c r="K294" s="2">
        <f>Table4[[#This Row],[Stock-Quantity]]*Table4[[#This Row],[Unit-Price]]</f>
        <v>1248.8</v>
      </c>
      <c r="L294" s="2">
        <f>Table4[[#This Row],[Stock-Quantity]]*Table4[[#This Row],[Margin-Unit]]</f>
        <v>354.57</v>
      </c>
      <c r="M294">
        <f>Table4[[#This Row],[Date-Sales]]-Table4[[#This Row],[Date-Received]]</f>
        <v>24</v>
      </c>
      <c r="N294" s="6">
        <f>Table4[[#This Row],[Margin-Unit]]/Table4[[#This Row],[Unit-Price]]</f>
        <v>0.28392857142857147</v>
      </c>
    </row>
    <row r="295" spans="1:14" x14ac:dyDescent="0.3">
      <c r="A295" t="s">
        <v>338</v>
      </c>
      <c r="B295" t="s">
        <v>34</v>
      </c>
      <c r="C295" t="s">
        <v>35</v>
      </c>
      <c r="D295" t="s">
        <v>30</v>
      </c>
      <c r="E295" t="s">
        <v>31</v>
      </c>
      <c r="F295">
        <v>391</v>
      </c>
      <c r="G295" s="3">
        <v>493.85</v>
      </c>
      <c r="H295" s="1">
        <v>45734</v>
      </c>
      <c r="I295" s="1">
        <v>45742</v>
      </c>
      <c r="J295" s="3">
        <v>83.54</v>
      </c>
      <c r="K295" s="2">
        <f>Table4[[#This Row],[Stock-Quantity]]*Table4[[#This Row],[Unit-Price]]</f>
        <v>193095.35</v>
      </c>
      <c r="L295" s="2">
        <f>Table4[[#This Row],[Stock-Quantity]]*Table4[[#This Row],[Margin-Unit]]</f>
        <v>32664.140000000003</v>
      </c>
      <c r="M295">
        <f>Table4[[#This Row],[Date-Sales]]-Table4[[#This Row],[Date-Received]]</f>
        <v>8</v>
      </c>
      <c r="N295" s="6">
        <f>Table4[[#This Row],[Margin-Unit]]/Table4[[#This Row],[Unit-Price]]</f>
        <v>0.16916067631872025</v>
      </c>
    </row>
    <row r="296" spans="1:14" x14ac:dyDescent="0.3">
      <c r="A296" t="s">
        <v>339</v>
      </c>
      <c r="B296" t="s">
        <v>106</v>
      </c>
      <c r="C296" t="s">
        <v>17</v>
      </c>
      <c r="D296" t="s">
        <v>18</v>
      </c>
      <c r="E296" t="s">
        <v>19</v>
      </c>
      <c r="F296">
        <v>365</v>
      </c>
      <c r="G296" s="3">
        <v>57.38</v>
      </c>
      <c r="H296" s="1">
        <v>45799</v>
      </c>
      <c r="I296" s="1">
        <v>45809</v>
      </c>
      <c r="J296" s="3">
        <v>12.62</v>
      </c>
      <c r="K296" s="2">
        <f>Table4[[#This Row],[Stock-Quantity]]*Table4[[#This Row],[Unit-Price]]</f>
        <v>20943.7</v>
      </c>
      <c r="L296" s="2">
        <f>Table4[[#This Row],[Stock-Quantity]]*Table4[[#This Row],[Margin-Unit]]</f>
        <v>4606.2999999999993</v>
      </c>
      <c r="M296">
        <f>Table4[[#This Row],[Date-Sales]]-Table4[[#This Row],[Date-Received]]</f>
        <v>10</v>
      </c>
      <c r="N296" s="6">
        <f>Table4[[#This Row],[Margin-Unit]]/Table4[[#This Row],[Unit-Price]]</f>
        <v>0.2199372603694667</v>
      </c>
    </row>
    <row r="297" spans="1:14" x14ac:dyDescent="0.3">
      <c r="A297" t="s">
        <v>340</v>
      </c>
      <c r="B297" t="s">
        <v>50</v>
      </c>
      <c r="C297" t="s">
        <v>17</v>
      </c>
      <c r="D297" t="s">
        <v>13</v>
      </c>
      <c r="E297" t="s">
        <v>14</v>
      </c>
      <c r="F297">
        <v>303</v>
      </c>
      <c r="G297" s="3">
        <v>310.73</v>
      </c>
      <c r="H297" s="1">
        <v>45768</v>
      </c>
      <c r="I297" s="1">
        <v>45770</v>
      </c>
      <c r="J297" s="3">
        <v>72.44</v>
      </c>
      <c r="K297" s="2">
        <f>Table4[[#This Row],[Stock-Quantity]]*Table4[[#This Row],[Unit-Price]]</f>
        <v>94151.19</v>
      </c>
      <c r="L297" s="2">
        <f>Table4[[#This Row],[Stock-Quantity]]*Table4[[#This Row],[Margin-Unit]]</f>
        <v>21949.32</v>
      </c>
      <c r="M297">
        <f>Table4[[#This Row],[Date-Sales]]-Table4[[#This Row],[Date-Received]]</f>
        <v>2</v>
      </c>
      <c r="N297" s="6">
        <f>Table4[[#This Row],[Margin-Unit]]/Table4[[#This Row],[Unit-Price]]</f>
        <v>0.23312843948122161</v>
      </c>
    </row>
    <row r="298" spans="1:14" x14ac:dyDescent="0.3">
      <c r="A298" t="s">
        <v>341</v>
      </c>
      <c r="B298" t="s">
        <v>11</v>
      </c>
      <c r="C298" t="s">
        <v>12</v>
      </c>
      <c r="D298" t="s">
        <v>40</v>
      </c>
      <c r="E298" t="s">
        <v>41</v>
      </c>
      <c r="F298">
        <v>127</v>
      </c>
      <c r="G298" s="3">
        <v>172.89</v>
      </c>
      <c r="H298" s="1">
        <v>45810</v>
      </c>
      <c r="I298" s="1">
        <v>45837</v>
      </c>
      <c r="J298" s="3">
        <v>17.8</v>
      </c>
      <c r="K298" s="2">
        <f>Table4[[#This Row],[Stock-Quantity]]*Table4[[#This Row],[Unit-Price]]</f>
        <v>21957.03</v>
      </c>
      <c r="L298" s="2">
        <f>Table4[[#This Row],[Stock-Quantity]]*Table4[[#This Row],[Margin-Unit]]</f>
        <v>2260.6</v>
      </c>
      <c r="M298">
        <f>Table4[[#This Row],[Date-Sales]]-Table4[[#This Row],[Date-Received]]</f>
        <v>27</v>
      </c>
      <c r="N298" s="6">
        <f>Table4[[#This Row],[Margin-Unit]]/Table4[[#This Row],[Unit-Price]]</f>
        <v>0.1029556365318989</v>
      </c>
    </row>
    <row r="299" spans="1:14" x14ac:dyDescent="0.3">
      <c r="A299" t="s">
        <v>342</v>
      </c>
      <c r="B299" t="s">
        <v>80</v>
      </c>
      <c r="C299" t="s">
        <v>29</v>
      </c>
      <c r="D299" t="s">
        <v>30</v>
      </c>
      <c r="E299" t="s">
        <v>31</v>
      </c>
      <c r="F299">
        <v>309</v>
      </c>
      <c r="G299" s="3">
        <v>369.67</v>
      </c>
      <c r="H299" s="1">
        <v>45825</v>
      </c>
      <c r="I299" s="1">
        <v>45834</v>
      </c>
      <c r="J299" s="3">
        <v>108.89</v>
      </c>
      <c r="K299" s="2">
        <f>Table4[[#This Row],[Stock-Quantity]]*Table4[[#This Row],[Unit-Price]]</f>
        <v>114228.03</v>
      </c>
      <c r="L299" s="2">
        <f>Table4[[#This Row],[Stock-Quantity]]*Table4[[#This Row],[Margin-Unit]]</f>
        <v>33647.01</v>
      </c>
      <c r="M299">
        <f>Table4[[#This Row],[Date-Sales]]-Table4[[#This Row],[Date-Received]]</f>
        <v>9</v>
      </c>
      <c r="N299" s="6">
        <f>Table4[[#This Row],[Margin-Unit]]/Table4[[#This Row],[Unit-Price]]</f>
        <v>0.29456001298455375</v>
      </c>
    </row>
    <row r="300" spans="1:14" x14ac:dyDescent="0.3">
      <c r="A300" t="s">
        <v>343</v>
      </c>
      <c r="B300" t="s">
        <v>39</v>
      </c>
      <c r="C300" t="s">
        <v>12</v>
      </c>
      <c r="D300" t="s">
        <v>40</v>
      </c>
      <c r="E300" t="s">
        <v>41</v>
      </c>
      <c r="F300">
        <v>463</v>
      </c>
      <c r="G300" s="3">
        <v>199.05</v>
      </c>
      <c r="H300" s="1">
        <v>45777</v>
      </c>
      <c r="I300" s="1">
        <v>45792</v>
      </c>
      <c r="J300" s="3">
        <v>31.86</v>
      </c>
      <c r="K300" s="2">
        <f>Table4[[#This Row],[Stock-Quantity]]*Table4[[#This Row],[Unit-Price]]</f>
        <v>92160.150000000009</v>
      </c>
      <c r="L300" s="2">
        <f>Table4[[#This Row],[Stock-Quantity]]*Table4[[#This Row],[Margin-Unit]]</f>
        <v>14751.18</v>
      </c>
      <c r="M300">
        <f>Table4[[#This Row],[Date-Sales]]-Table4[[#This Row],[Date-Received]]</f>
        <v>15</v>
      </c>
      <c r="N300" s="6">
        <f>Table4[[#This Row],[Margin-Unit]]/Table4[[#This Row],[Unit-Price]]</f>
        <v>0.160060286360211</v>
      </c>
    </row>
    <row r="301" spans="1:14" x14ac:dyDescent="0.3">
      <c r="A301" t="s">
        <v>344</v>
      </c>
      <c r="B301" t="s">
        <v>47</v>
      </c>
      <c r="C301" t="s">
        <v>17</v>
      </c>
      <c r="D301" t="s">
        <v>25</v>
      </c>
      <c r="E301" t="s">
        <v>26</v>
      </c>
      <c r="F301">
        <v>429</v>
      </c>
      <c r="G301" s="3">
        <v>320.5</v>
      </c>
      <c r="H301" s="1">
        <v>45728</v>
      </c>
      <c r="I301" s="1">
        <v>45749</v>
      </c>
      <c r="J301" s="3">
        <v>84.4</v>
      </c>
      <c r="K301" s="2">
        <f>Table4[[#This Row],[Stock-Quantity]]*Table4[[#This Row],[Unit-Price]]</f>
        <v>137494.5</v>
      </c>
      <c r="L301" s="2">
        <f>Table4[[#This Row],[Stock-Quantity]]*Table4[[#This Row],[Margin-Unit]]</f>
        <v>36207.600000000006</v>
      </c>
      <c r="M301">
        <f>Table4[[#This Row],[Date-Sales]]-Table4[[#This Row],[Date-Received]]</f>
        <v>21</v>
      </c>
      <c r="N301" s="6">
        <f>Table4[[#This Row],[Margin-Unit]]/Table4[[#This Row],[Unit-Price]]</f>
        <v>0.26333853354134168</v>
      </c>
    </row>
    <row r="302" spans="1:14" x14ac:dyDescent="0.3">
      <c r="A302" t="s">
        <v>345</v>
      </c>
      <c r="B302" t="s">
        <v>63</v>
      </c>
      <c r="C302" t="s">
        <v>35</v>
      </c>
      <c r="D302" t="s">
        <v>13</v>
      </c>
      <c r="E302" t="s">
        <v>14</v>
      </c>
      <c r="F302">
        <v>473</v>
      </c>
      <c r="G302" s="3">
        <v>452.18</v>
      </c>
      <c r="H302" s="1">
        <v>45760</v>
      </c>
      <c r="I302" s="1">
        <v>45762</v>
      </c>
      <c r="J302" s="3">
        <v>111.15</v>
      </c>
      <c r="K302" s="2">
        <f>Table4[[#This Row],[Stock-Quantity]]*Table4[[#This Row],[Unit-Price]]</f>
        <v>213881.14</v>
      </c>
      <c r="L302" s="2">
        <f>Table4[[#This Row],[Stock-Quantity]]*Table4[[#This Row],[Margin-Unit]]</f>
        <v>52573.950000000004</v>
      </c>
      <c r="M302">
        <f>Table4[[#This Row],[Date-Sales]]-Table4[[#This Row],[Date-Received]]</f>
        <v>2</v>
      </c>
      <c r="N302" s="6">
        <f>Table4[[#This Row],[Margin-Unit]]/Table4[[#This Row],[Unit-Price]]</f>
        <v>0.24580919103012075</v>
      </c>
    </row>
    <row r="303" spans="1:14" x14ac:dyDescent="0.3">
      <c r="A303" t="s">
        <v>346</v>
      </c>
      <c r="B303" t="s">
        <v>11</v>
      </c>
      <c r="C303" t="s">
        <v>12</v>
      </c>
      <c r="D303" t="s">
        <v>40</v>
      </c>
      <c r="E303" t="s">
        <v>41</v>
      </c>
      <c r="F303">
        <v>467</v>
      </c>
      <c r="G303" s="3">
        <v>272.27999999999997</v>
      </c>
      <c r="H303" s="1">
        <v>45798</v>
      </c>
      <c r="I303" s="1">
        <v>45811</v>
      </c>
      <c r="J303" s="3">
        <v>77.22</v>
      </c>
      <c r="K303" s="2">
        <f>Table4[[#This Row],[Stock-Quantity]]*Table4[[#This Row],[Unit-Price]]</f>
        <v>127154.75999999998</v>
      </c>
      <c r="L303" s="2">
        <f>Table4[[#This Row],[Stock-Quantity]]*Table4[[#This Row],[Margin-Unit]]</f>
        <v>36061.74</v>
      </c>
      <c r="M303">
        <f>Table4[[#This Row],[Date-Sales]]-Table4[[#This Row],[Date-Received]]</f>
        <v>13</v>
      </c>
      <c r="N303" s="6">
        <f>Table4[[#This Row],[Margin-Unit]]/Table4[[#This Row],[Unit-Price]]</f>
        <v>0.2836051123843103</v>
      </c>
    </row>
    <row r="304" spans="1:14" x14ac:dyDescent="0.3">
      <c r="A304" t="s">
        <v>347</v>
      </c>
      <c r="B304" t="s">
        <v>80</v>
      </c>
      <c r="C304" t="s">
        <v>29</v>
      </c>
      <c r="D304" t="s">
        <v>30</v>
      </c>
      <c r="E304" t="s">
        <v>31</v>
      </c>
      <c r="F304">
        <v>415</v>
      </c>
      <c r="G304" s="3">
        <v>327.67</v>
      </c>
      <c r="H304" s="1">
        <v>45717</v>
      </c>
      <c r="I304" s="1">
        <v>45747</v>
      </c>
      <c r="J304" s="3">
        <v>74.91</v>
      </c>
      <c r="K304" s="2">
        <f>Table4[[#This Row],[Stock-Quantity]]*Table4[[#This Row],[Unit-Price]]</f>
        <v>135983.05000000002</v>
      </c>
      <c r="L304" s="2">
        <f>Table4[[#This Row],[Stock-Quantity]]*Table4[[#This Row],[Margin-Unit]]</f>
        <v>31087.649999999998</v>
      </c>
      <c r="M304">
        <f>Table4[[#This Row],[Date-Sales]]-Table4[[#This Row],[Date-Received]]</f>
        <v>30</v>
      </c>
      <c r="N304" s="6">
        <f>Table4[[#This Row],[Margin-Unit]]/Table4[[#This Row],[Unit-Price]]</f>
        <v>0.22861415448469494</v>
      </c>
    </row>
    <row r="305" spans="1:14" x14ac:dyDescent="0.3">
      <c r="A305" t="s">
        <v>348</v>
      </c>
      <c r="B305" t="s">
        <v>39</v>
      </c>
      <c r="C305" t="s">
        <v>12</v>
      </c>
      <c r="D305" t="s">
        <v>40</v>
      </c>
      <c r="E305" t="s">
        <v>41</v>
      </c>
      <c r="F305">
        <v>434</v>
      </c>
      <c r="G305" s="3">
        <v>284.08999999999997</v>
      </c>
      <c r="H305" s="1">
        <v>45713</v>
      </c>
      <c r="I305" s="1">
        <v>45725</v>
      </c>
      <c r="J305" s="3">
        <v>55.52</v>
      </c>
      <c r="K305" s="2">
        <f>Table4[[#This Row],[Stock-Quantity]]*Table4[[#This Row],[Unit-Price]]</f>
        <v>123295.05999999998</v>
      </c>
      <c r="L305" s="2">
        <f>Table4[[#This Row],[Stock-Quantity]]*Table4[[#This Row],[Margin-Unit]]</f>
        <v>24095.68</v>
      </c>
      <c r="M305">
        <f>Table4[[#This Row],[Date-Sales]]-Table4[[#This Row],[Date-Received]]</f>
        <v>12</v>
      </c>
      <c r="N305" s="6">
        <f>Table4[[#This Row],[Margin-Unit]]/Table4[[#This Row],[Unit-Price]]</f>
        <v>0.19543102537928125</v>
      </c>
    </row>
    <row r="306" spans="1:14" x14ac:dyDescent="0.3">
      <c r="A306" t="s">
        <v>349</v>
      </c>
      <c r="B306" t="s">
        <v>43</v>
      </c>
      <c r="C306" t="s">
        <v>35</v>
      </c>
      <c r="D306" t="s">
        <v>25</v>
      </c>
      <c r="E306" t="s">
        <v>26</v>
      </c>
      <c r="F306">
        <v>369</v>
      </c>
      <c r="G306" s="3">
        <v>225.06</v>
      </c>
      <c r="H306" s="1">
        <v>45704</v>
      </c>
      <c r="I306" s="1">
        <v>45710</v>
      </c>
      <c r="J306" s="3">
        <v>55.2</v>
      </c>
      <c r="K306" s="2">
        <f>Table4[[#This Row],[Stock-Quantity]]*Table4[[#This Row],[Unit-Price]]</f>
        <v>83047.14</v>
      </c>
      <c r="L306" s="2">
        <f>Table4[[#This Row],[Stock-Quantity]]*Table4[[#This Row],[Margin-Unit]]</f>
        <v>20368.8</v>
      </c>
      <c r="M306">
        <f>Table4[[#This Row],[Date-Sales]]-Table4[[#This Row],[Date-Received]]</f>
        <v>6</v>
      </c>
      <c r="N306" s="6">
        <f>Table4[[#This Row],[Margin-Unit]]/Table4[[#This Row],[Unit-Price]]</f>
        <v>0.24526792855238605</v>
      </c>
    </row>
    <row r="307" spans="1:14" x14ac:dyDescent="0.3">
      <c r="A307" t="s">
        <v>350</v>
      </c>
      <c r="B307" t="s">
        <v>116</v>
      </c>
      <c r="C307" t="s">
        <v>12</v>
      </c>
      <c r="D307" t="s">
        <v>25</v>
      </c>
      <c r="E307" t="s">
        <v>26</v>
      </c>
      <c r="F307">
        <v>470</v>
      </c>
      <c r="G307" s="3">
        <v>71.53</v>
      </c>
      <c r="H307" s="1">
        <v>45817</v>
      </c>
      <c r="I307" s="1">
        <v>45843</v>
      </c>
      <c r="J307" s="3">
        <v>20.52</v>
      </c>
      <c r="K307" s="2">
        <f>Table4[[#This Row],[Stock-Quantity]]*Table4[[#This Row],[Unit-Price]]</f>
        <v>33619.1</v>
      </c>
      <c r="L307" s="2">
        <f>Table4[[#This Row],[Stock-Quantity]]*Table4[[#This Row],[Margin-Unit]]</f>
        <v>9644.4</v>
      </c>
      <c r="M307">
        <f>Table4[[#This Row],[Date-Sales]]-Table4[[#This Row],[Date-Received]]</f>
        <v>26</v>
      </c>
      <c r="N307" s="6">
        <f>Table4[[#This Row],[Margin-Unit]]/Table4[[#This Row],[Unit-Price]]</f>
        <v>0.28687264084999298</v>
      </c>
    </row>
    <row r="308" spans="1:14" x14ac:dyDescent="0.3">
      <c r="A308" t="s">
        <v>351</v>
      </c>
      <c r="B308" t="s">
        <v>74</v>
      </c>
      <c r="C308" t="s">
        <v>29</v>
      </c>
      <c r="D308" t="s">
        <v>13</v>
      </c>
      <c r="E308" t="s">
        <v>14</v>
      </c>
      <c r="F308">
        <v>12</v>
      </c>
      <c r="G308" s="3">
        <v>110.98</v>
      </c>
      <c r="H308" s="1">
        <v>45701</v>
      </c>
      <c r="I308" s="1">
        <v>45727</v>
      </c>
      <c r="J308" s="3">
        <v>26.03</v>
      </c>
      <c r="K308" s="2">
        <f>Table4[[#This Row],[Stock-Quantity]]*Table4[[#This Row],[Unit-Price]]</f>
        <v>1331.76</v>
      </c>
      <c r="L308" s="2">
        <f>Table4[[#This Row],[Stock-Quantity]]*Table4[[#This Row],[Margin-Unit]]</f>
        <v>312.36</v>
      </c>
      <c r="M308">
        <f>Table4[[#This Row],[Date-Sales]]-Table4[[#This Row],[Date-Received]]</f>
        <v>26</v>
      </c>
      <c r="N308" s="6">
        <f>Table4[[#This Row],[Margin-Unit]]/Table4[[#This Row],[Unit-Price]]</f>
        <v>0.23454676518291584</v>
      </c>
    </row>
    <row r="309" spans="1:14" x14ac:dyDescent="0.3">
      <c r="A309" t="s">
        <v>352</v>
      </c>
      <c r="B309" t="s">
        <v>80</v>
      </c>
      <c r="C309" t="s">
        <v>29</v>
      </c>
      <c r="D309" t="s">
        <v>13</v>
      </c>
      <c r="E309" t="s">
        <v>14</v>
      </c>
      <c r="F309">
        <v>299</v>
      </c>
      <c r="G309" s="3">
        <v>372.47</v>
      </c>
      <c r="H309" s="1">
        <v>45682</v>
      </c>
      <c r="I309" s="1">
        <v>45697</v>
      </c>
      <c r="J309" s="3">
        <v>65.86</v>
      </c>
      <c r="K309" s="2">
        <f>Table4[[#This Row],[Stock-Quantity]]*Table4[[#This Row],[Unit-Price]]</f>
        <v>111368.53000000001</v>
      </c>
      <c r="L309" s="2">
        <f>Table4[[#This Row],[Stock-Quantity]]*Table4[[#This Row],[Margin-Unit]]</f>
        <v>19692.14</v>
      </c>
      <c r="M309">
        <f>Table4[[#This Row],[Date-Sales]]-Table4[[#This Row],[Date-Received]]</f>
        <v>15</v>
      </c>
      <c r="N309" s="6">
        <f>Table4[[#This Row],[Margin-Unit]]/Table4[[#This Row],[Unit-Price]]</f>
        <v>0.17681960963299057</v>
      </c>
    </row>
    <row r="310" spans="1:14" x14ac:dyDescent="0.3">
      <c r="A310" t="s">
        <v>353</v>
      </c>
      <c r="B310" t="s">
        <v>37</v>
      </c>
      <c r="C310" t="s">
        <v>22</v>
      </c>
      <c r="D310" t="s">
        <v>18</v>
      </c>
      <c r="E310" t="s">
        <v>19</v>
      </c>
      <c r="F310">
        <v>75</v>
      </c>
      <c r="G310" s="3">
        <v>57.93</v>
      </c>
      <c r="H310" s="1">
        <v>45785</v>
      </c>
      <c r="I310" s="1">
        <v>45800</v>
      </c>
      <c r="J310" s="3">
        <v>8.11</v>
      </c>
      <c r="K310" s="2">
        <f>Table4[[#This Row],[Stock-Quantity]]*Table4[[#This Row],[Unit-Price]]</f>
        <v>4344.75</v>
      </c>
      <c r="L310" s="2">
        <f>Table4[[#This Row],[Stock-Quantity]]*Table4[[#This Row],[Margin-Unit]]</f>
        <v>608.25</v>
      </c>
      <c r="M310">
        <f>Table4[[#This Row],[Date-Sales]]-Table4[[#This Row],[Date-Received]]</f>
        <v>15</v>
      </c>
      <c r="N310" s="6">
        <f>Table4[[#This Row],[Margin-Unit]]/Table4[[#This Row],[Unit-Price]]</f>
        <v>0.13999654755739685</v>
      </c>
    </row>
    <row r="311" spans="1:14" x14ac:dyDescent="0.3">
      <c r="A311" t="s">
        <v>354</v>
      </c>
      <c r="B311" t="s">
        <v>70</v>
      </c>
      <c r="C311" t="s">
        <v>35</v>
      </c>
      <c r="D311" t="s">
        <v>25</v>
      </c>
      <c r="E311" t="s">
        <v>26</v>
      </c>
      <c r="F311">
        <v>199</v>
      </c>
      <c r="G311" s="3">
        <v>57.4</v>
      </c>
      <c r="H311" s="1">
        <v>45791</v>
      </c>
      <c r="I311" s="1">
        <v>45814</v>
      </c>
      <c r="J311" s="3">
        <v>13.18</v>
      </c>
      <c r="K311" s="2">
        <f>Table4[[#This Row],[Stock-Quantity]]*Table4[[#This Row],[Unit-Price]]</f>
        <v>11422.6</v>
      </c>
      <c r="L311" s="2">
        <f>Table4[[#This Row],[Stock-Quantity]]*Table4[[#This Row],[Margin-Unit]]</f>
        <v>2622.82</v>
      </c>
      <c r="M311">
        <f>Table4[[#This Row],[Date-Sales]]-Table4[[#This Row],[Date-Received]]</f>
        <v>23</v>
      </c>
      <c r="N311" s="6">
        <f>Table4[[#This Row],[Margin-Unit]]/Table4[[#This Row],[Unit-Price]]</f>
        <v>0.22961672473867595</v>
      </c>
    </row>
    <row r="312" spans="1:14" x14ac:dyDescent="0.3">
      <c r="A312" t="s">
        <v>355</v>
      </c>
      <c r="B312" t="s">
        <v>21</v>
      </c>
      <c r="C312" t="s">
        <v>22</v>
      </c>
      <c r="D312" t="s">
        <v>40</v>
      </c>
      <c r="E312" t="s">
        <v>41</v>
      </c>
      <c r="F312">
        <v>107</v>
      </c>
      <c r="G312" s="3">
        <v>98.81</v>
      </c>
      <c r="H312" s="1">
        <v>45810</v>
      </c>
      <c r="I312" s="1">
        <v>45834</v>
      </c>
      <c r="J312" s="3">
        <v>12.26</v>
      </c>
      <c r="K312" s="2">
        <f>Table4[[#This Row],[Stock-Quantity]]*Table4[[#This Row],[Unit-Price]]</f>
        <v>10572.67</v>
      </c>
      <c r="L312" s="2">
        <f>Table4[[#This Row],[Stock-Quantity]]*Table4[[#This Row],[Margin-Unit]]</f>
        <v>1311.82</v>
      </c>
      <c r="M312">
        <f>Table4[[#This Row],[Date-Sales]]-Table4[[#This Row],[Date-Received]]</f>
        <v>24</v>
      </c>
      <c r="N312" s="6">
        <f>Table4[[#This Row],[Margin-Unit]]/Table4[[#This Row],[Unit-Price]]</f>
        <v>0.12407651047464831</v>
      </c>
    </row>
    <row r="313" spans="1:14" x14ac:dyDescent="0.3">
      <c r="A313" t="s">
        <v>356</v>
      </c>
      <c r="B313" t="s">
        <v>43</v>
      </c>
      <c r="C313" t="s">
        <v>35</v>
      </c>
      <c r="D313" t="s">
        <v>18</v>
      </c>
      <c r="E313" t="s">
        <v>19</v>
      </c>
      <c r="F313">
        <v>182</v>
      </c>
      <c r="G313" s="3">
        <v>208.52</v>
      </c>
      <c r="H313" s="1">
        <v>45760</v>
      </c>
      <c r="I313" s="1">
        <v>45771</v>
      </c>
      <c r="J313" s="3">
        <v>53.67</v>
      </c>
      <c r="K313" s="2">
        <f>Table4[[#This Row],[Stock-Quantity]]*Table4[[#This Row],[Unit-Price]]</f>
        <v>37950.639999999999</v>
      </c>
      <c r="L313" s="2">
        <f>Table4[[#This Row],[Stock-Quantity]]*Table4[[#This Row],[Margin-Unit]]</f>
        <v>9767.94</v>
      </c>
      <c r="M313">
        <f>Table4[[#This Row],[Date-Sales]]-Table4[[#This Row],[Date-Received]]</f>
        <v>11</v>
      </c>
      <c r="N313" s="6">
        <f>Table4[[#This Row],[Margin-Unit]]/Table4[[#This Row],[Unit-Price]]</f>
        <v>0.25738538269710337</v>
      </c>
    </row>
    <row r="314" spans="1:14" x14ac:dyDescent="0.3">
      <c r="A314" t="s">
        <v>357</v>
      </c>
      <c r="B314" t="s">
        <v>94</v>
      </c>
      <c r="C314" t="s">
        <v>29</v>
      </c>
      <c r="D314" t="s">
        <v>40</v>
      </c>
      <c r="E314" t="s">
        <v>41</v>
      </c>
      <c r="F314">
        <v>382</v>
      </c>
      <c r="G314" s="3">
        <v>307.14999999999998</v>
      </c>
      <c r="H314" s="1">
        <v>45816</v>
      </c>
      <c r="I314" s="1">
        <v>45820</v>
      </c>
      <c r="J314" s="3">
        <v>39.130000000000003</v>
      </c>
      <c r="K314" s="2">
        <f>Table4[[#This Row],[Stock-Quantity]]*Table4[[#This Row],[Unit-Price]]</f>
        <v>117331.29999999999</v>
      </c>
      <c r="L314" s="2">
        <f>Table4[[#This Row],[Stock-Quantity]]*Table4[[#This Row],[Margin-Unit]]</f>
        <v>14947.660000000002</v>
      </c>
      <c r="M314">
        <f>Table4[[#This Row],[Date-Sales]]-Table4[[#This Row],[Date-Received]]</f>
        <v>4</v>
      </c>
      <c r="N314" s="6">
        <f>Table4[[#This Row],[Margin-Unit]]/Table4[[#This Row],[Unit-Price]]</f>
        <v>0.12739703727820284</v>
      </c>
    </row>
    <row r="315" spans="1:14" x14ac:dyDescent="0.3">
      <c r="A315" t="s">
        <v>358</v>
      </c>
      <c r="B315" t="s">
        <v>28</v>
      </c>
      <c r="C315" t="s">
        <v>29</v>
      </c>
      <c r="D315" t="s">
        <v>40</v>
      </c>
      <c r="E315" t="s">
        <v>41</v>
      </c>
      <c r="F315">
        <v>275</v>
      </c>
      <c r="G315" s="3">
        <v>402.51</v>
      </c>
      <c r="H315" s="1">
        <v>45772</v>
      </c>
      <c r="I315" s="1">
        <v>45788</v>
      </c>
      <c r="J315" s="3">
        <v>86.18</v>
      </c>
      <c r="K315" s="2">
        <f>Table4[[#This Row],[Stock-Quantity]]*Table4[[#This Row],[Unit-Price]]</f>
        <v>110690.25</v>
      </c>
      <c r="L315" s="2">
        <f>Table4[[#This Row],[Stock-Quantity]]*Table4[[#This Row],[Margin-Unit]]</f>
        <v>23699.500000000004</v>
      </c>
      <c r="M315">
        <f>Table4[[#This Row],[Date-Sales]]-Table4[[#This Row],[Date-Received]]</f>
        <v>16</v>
      </c>
      <c r="N315" s="6">
        <f>Table4[[#This Row],[Margin-Unit]]/Table4[[#This Row],[Unit-Price]]</f>
        <v>0.21410648182653849</v>
      </c>
    </row>
    <row r="316" spans="1:14" x14ac:dyDescent="0.3">
      <c r="A316" t="s">
        <v>359</v>
      </c>
      <c r="B316" t="s">
        <v>52</v>
      </c>
      <c r="C316" t="s">
        <v>12</v>
      </c>
      <c r="D316" t="s">
        <v>30</v>
      </c>
      <c r="E316" t="s">
        <v>31</v>
      </c>
      <c r="F316">
        <v>183</v>
      </c>
      <c r="G316" s="3">
        <v>31.1</v>
      </c>
      <c r="H316" s="1">
        <v>45686</v>
      </c>
      <c r="I316" s="1">
        <v>45693</v>
      </c>
      <c r="J316" s="3">
        <v>5.16</v>
      </c>
      <c r="K316" s="2">
        <f>Table4[[#This Row],[Stock-Quantity]]*Table4[[#This Row],[Unit-Price]]</f>
        <v>5691.3</v>
      </c>
      <c r="L316" s="2">
        <f>Table4[[#This Row],[Stock-Quantity]]*Table4[[#This Row],[Margin-Unit]]</f>
        <v>944.28</v>
      </c>
      <c r="M316">
        <f>Table4[[#This Row],[Date-Sales]]-Table4[[#This Row],[Date-Received]]</f>
        <v>7</v>
      </c>
      <c r="N316" s="6">
        <f>Table4[[#This Row],[Margin-Unit]]/Table4[[#This Row],[Unit-Price]]</f>
        <v>0.16591639871382635</v>
      </c>
    </row>
    <row r="317" spans="1:14" x14ac:dyDescent="0.3">
      <c r="A317" t="s">
        <v>360</v>
      </c>
      <c r="B317" t="s">
        <v>63</v>
      </c>
      <c r="C317" t="s">
        <v>35</v>
      </c>
      <c r="D317" t="s">
        <v>30</v>
      </c>
      <c r="E317" t="s">
        <v>31</v>
      </c>
      <c r="F317">
        <v>108</v>
      </c>
      <c r="G317" s="3">
        <v>387.03</v>
      </c>
      <c r="H317" s="1">
        <v>45727</v>
      </c>
      <c r="I317" s="1">
        <v>45754</v>
      </c>
      <c r="J317" s="3">
        <v>78.430000000000007</v>
      </c>
      <c r="K317" s="2">
        <f>Table4[[#This Row],[Stock-Quantity]]*Table4[[#This Row],[Unit-Price]]</f>
        <v>41799.24</v>
      </c>
      <c r="L317" s="2">
        <f>Table4[[#This Row],[Stock-Quantity]]*Table4[[#This Row],[Margin-Unit]]</f>
        <v>8470.44</v>
      </c>
      <c r="M317">
        <f>Table4[[#This Row],[Date-Sales]]-Table4[[#This Row],[Date-Received]]</f>
        <v>27</v>
      </c>
      <c r="N317" s="6">
        <f>Table4[[#This Row],[Margin-Unit]]/Table4[[#This Row],[Unit-Price]]</f>
        <v>0.20264578973206215</v>
      </c>
    </row>
    <row r="318" spans="1:14" x14ac:dyDescent="0.3">
      <c r="A318" t="s">
        <v>361</v>
      </c>
      <c r="B318" t="s">
        <v>11</v>
      </c>
      <c r="C318" t="s">
        <v>12</v>
      </c>
      <c r="D318" t="s">
        <v>40</v>
      </c>
      <c r="E318" t="s">
        <v>41</v>
      </c>
      <c r="F318">
        <v>361</v>
      </c>
      <c r="G318" s="3">
        <v>118.78</v>
      </c>
      <c r="H318" s="1">
        <v>45666</v>
      </c>
      <c r="I318" s="1">
        <v>45671</v>
      </c>
      <c r="J318" s="3">
        <v>15.74</v>
      </c>
      <c r="K318" s="2">
        <f>Table4[[#This Row],[Stock-Quantity]]*Table4[[#This Row],[Unit-Price]]</f>
        <v>42879.58</v>
      </c>
      <c r="L318" s="2">
        <f>Table4[[#This Row],[Stock-Quantity]]*Table4[[#This Row],[Margin-Unit]]</f>
        <v>5682.14</v>
      </c>
      <c r="M318">
        <f>Table4[[#This Row],[Date-Sales]]-Table4[[#This Row],[Date-Received]]</f>
        <v>5</v>
      </c>
      <c r="N318" s="6">
        <f>Table4[[#This Row],[Margin-Unit]]/Table4[[#This Row],[Unit-Price]]</f>
        <v>0.13251389122747936</v>
      </c>
    </row>
    <row r="319" spans="1:14" x14ac:dyDescent="0.3">
      <c r="A319" t="s">
        <v>362</v>
      </c>
      <c r="B319" t="s">
        <v>106</v>
      </c>
      <c r="C319" t="s">
        <v>17</v>
      </c>
      <c r="D319" t="s">
        <v>30</v>
      </c>
      <c r="E319" t="s">
        <v>31</v>
      </c>
      <c r="F319">
        <v>395</v>
      </c>
      <c r="G319" s="3">
        <v>40.64</v>
      </c>
      <c r="H319" s="1">
        <v>45749</v>
      </c>
      <c r="I319" s="1">
        <v>45760</v>
      </c>
      <c r="J319" s="3">
        <v>6.45</v>
      </c>
      <c r="K319" s="2">
        <f>Table4[[#This Row],[Stock-Quantity]]*Table4[[#This Row],[Unit-Price]]</f>
        <v>16052.800000000001</v>
      </c>
      <c r="L319" s="2">
        <f>Table4[[#This Row],[Stock-Quantity]]*Table4[[#This Row],[Margin-Unit]]</f>
        <v>2547.75</v>
      </c>
      <c r="M319">
        <f>Table4[[#This Row],[Date-Sales]]-Table4[[#This Row],[Date-Received]]</f>
        <v>11</v>
      </c>
      <c r="N319" s="6">
        <f>Table4[[#This Row],[Margin-Unit]]/Table4[[#This Row],[Unit-Price]]</f>
        <v>0.15871062992125984</v>
      </c>
    </row>
    <row r="320" spans="1:14" x14ac:dyDescent="0.3">
      <c r="A320" t="s">
        <v>363</v>
      </c>
      <c r="B320" t="s">
        <v>116</v>
      </c>
      <c r="C320" t="s">
        <v>12</v>
      </c>
      <c r="D320" t="s">
        <v>30</v>
      </c>
      <c r="E320" t="s">
        <v>31</v>
      </c>
      <c r="F320">
        <v>117</v>
      </c>
      <c r="G320" s="3">
        <v>228.56</v>
      </c>
      <c r="H320" s="1">
        <v>45686</v>
      </c>
      <c r="I320" s="1">
        <v>45714</v>
      </c>
      <c r="J320" s="3">
        <v>28.43</v>
      </c>
      <c r="K320" s="2">
        <f>Table4[[#This Row],[Stock-Quantity]]*Table4[[#This Row],[Unit-Price]]</f>
        <v>26741.52</v>
      </c>
      <c r="L320" s="2">
        <f>Table4[[#This Row],[Stock-Quantity]]*Table4[[#This Row],[Margin-Unit]]</f>
        <v>3326.31</v>
      </c>
      <c r="M320">
        <f>Table4[[#This Row],[Date-Sales]]-Table4[[#This Row],[Date-Received]]</f>
        <v>28</v>
      </c>
      <c r="N320" s="6">
        <f>Table4[[#This Row],[Margin-Unit]]/Table4[[#This Row],[Unit-Price]]</f>
        <v>0.12438746937346867</v>
      </c>
    </row>
    <row r="321" spans="1:14" x14ac:dyDescent="0.3">
      <c r="A321" t="s">
        <v>364</v>
      </c>
      <c r="B321" t="s">
        <v>63</v>
      </c>
      <c r="C321" t="s">
        <v>35</v>
      </c>
      <c r="D321" t="s">
        <v>40</v>
      </c>
      <c r="E321" t="s">
        <v>41</v>
      </c>
      <c r="F321">
        <v>413</v>
      </c>
      <c r="G321" s="3">
        <v>223.16</v>
      </c>
      <c r="H321" s="1">
        <v>45764</v>
      </c>
      <c r="I321" s="1">
        <v>45776</v>
      </c>
      <c r="J321" s="3">
        <v>42.36</v>
      </c>
      <c r="K321" s="2">
        <f>Table4[[#This Row],[Stock-Quantity]]*Table4[[#This Row],[Unit-Price]]</f>
        <v>92165.08</v>
      </c>
      <c r="L321" s="2">
        <f>Table4[[#This Row],[Stock-Quantity]]*Table4[[#This Row],[Margin-Unit]]</f>
        <v>17494.68</v>
      </c>
      <c r="M321">
        <f>Table4[[#This Row],[Date-Sales]]-Table4[[#This Row],[Date-Received]]</f>
        <v>12</v>
      </c>
      <c r="N321" s="6">
        <f>Table4[[#This Row],[Margin-Unit]]/Table4[[#This Row],[Unit-Price]]</f>
        <v>0.18981896397203801</v>
      </c>
    </row>
    <row r="322" spans="1:14" x14ac:dyDescent="0.3">
      <c r="A322" t="s">
        <v>365</v>
      </c>
      <c r="B322" t="s">
        <v>37</v>
      </c>
      <c r="C322" t="s">
        <v>22</v>
      </c>
      <c r="D322" t="s">
        <v>25</v>
      </c>
      <c r="E322" t="s">
        <v>26</v>
      </c>
      <c r="F322">
        <v>249</v>
      </c>
      <c r="G322" s="3">
        <v>451.82</v>
      </c>
      <c r="H322" s="1">
        <v>45763</v>
      </c>
      <c r="I322" s="1">
        <v>45792</v>
      </c>
      <c r="J322" s="3">
        <v>94.01</v>
      </c>
      <c r="K322" s="2">
        <f>Table4[[#This Row],[Stock-Quantity]]*Table4[[#This Row],[Unit-Price]]</f>
        <v>112503.18</v>
      </c>
      <c r="L322" s="2">
        <f>Table4[[#This Row],[Stock-Quantity]]*Table4[[#This Row],[Margin-Unit]]</f>
        <v>23408.49</v>
      </c>
      <c r="M322">
        <f>Table4[[#This Row],[Date-Sales]]-Table4[[#This Row],[Date-Received]]</f>
        <v>29</v>
      </c>
      <c r="N322" s="6">
        <f>Table4[[#This Row],[Margin-Unit]]/Table4[[#This Row],[Unit-Price]]</f>
        <v>0.20806958523305744</v>
      </c>
    </row>
    <row r="323" spans="1:14" x14ac:dyDescent="0.3">
      <c r="A323" t="s">
        <v>366</v>
      </c>
      <c r="B323" t="s">
        <v>24</v>
      </c>
      <c r="C323" t="s">
        <v>22</v>
      </c>
      <c r="D323" t="s">
        <v>13</v>
      </c>
      <c r="E323" t="s">
        <v>14</v>
      </c>
      <c r="F323">
        <v>179</v>
      </c>
      <c r="G323" s="3">
        <v>357.64</v>
      </c>
      <c r="H323" s="1">
        <v>45824</v>
      </c>
      <c r="I323" s="1">
        <v>45827</v>
      </c>
      <c r="J323" s="3">
        <v>45.07</v>
      </c>
      <c r="K323" s="2">
        <f>Table4[[#This Row],[Stock-Quantity]]*Table4[[#This Row],[Unit-Price]]</f>
        <v>64017.56</v>
      </c>
      <c r="L323" s="2">
        <f>Table4[[#This Row],[Stock-Quantity]]*Table4[[#This Row],[Margin-Unit]]</f>
        <v>8067.53</v>
      </c>
      <c r="M323">
        <f>Table4[[#This Row],[Date-Sales]]-Table4[[#This Row],[Date-Received]]</f>
        <v>3</v>
      </c>
      <c r="N323" s="6">
        <f>Table4[[#This Row],[Margin-Unit]]/Table4[[#This Row],[Unit-Price]]</f>
        <v>0.12602057935353989</v>
      </c>
    </row>
    <row r="324" spans="1:14" x14ac:dyDescent="0.3">
      <c r="A324" t="s">
        <v>367</v>
      </c>
      <c r="B324" t="s">
        <v>21</v>
      </c>
      <c r="C324" t="s">
        <v>22</v>
      </c>
      <c r="D324" t="s">
        <v>30</v>
      </c>
      <c r="E324" t="s">
        <v>31</v>
      </c>
      <c r="F324">
        <v>39</v>
      </c>
      <c r="G324" s="3">
        <v>21.94</v>
      </c>
      <c r="H324" s="1">
        <v>45776</v>
      </c>
      <c r="I324" s="1">
        <v>45781</v>
      </c>
      <c r="J324" s="3">
        <v>4.58</v>
      </c>
      <c r="K324" s="2">
        <f>Table4[[#This Row],[Stock-Quantity]]*Table4[[#This Row],[Unit-Price]]</f>
        <v>855.66000000000008</v>
      </c>
      <c r="L324" s="2">
        <f>Table4[[#This Row],[Stock-Quantity]]*Table4[[#This Row],[Margin-Unit]]</f>
        <v>178.62</v>
      </c>
      <c r="M324">
        <f>Table4[[#This Row],[Date-Sales]]-Table4[[#This Row],[Date-Received]]</f>
        <v>5</v>
      </c>
      <c r="N324" s="6">
        <f>Table4[[#This Row],[Margin-Unit]]/Table4[[#This Row],[Unit-Price]]</f>
        <v>0.20875113947128532</v>
      </c>
    </row>
    <row r="325" spans="1:14" x14ac:dyDescent="0.3">
      <c r="A325" t="s">
        <v>368</v>
      </c>
      <c r="B325" t="s">
        <v>34</v>
      </c>
      <c r="C325" t="s">
        <v>35</v>
      </c>
      <c r="D325" t="s">
        <v>40</v>
      </c>
      <c r="E325" t="s">
        <v>41</v>
      </c>
      <c r="F325">
        <v>67</v>
      </c>
      <c r="G325" s="3">
        <v>297.14</v>
      </c>
      <c r="H325" s="1">
        <v>45787</v>
      </c>
      <c r="I325" s="1">
        <v>45789</v>
      </c>
      <c r="J325" s="3">
        <v>81.760000000000005</v>
      </c>
      <c r="K325" s="2">
        <f>Table4[[#This Row],[Stock-Quantity]]*Table4[[#This Row],[Unit-Price]]</f>
        <v>19908.379999999997</v>
      </c>
      <c r="L325" s="2">
        <f>Table4[[#This Row],[Stock-Quantity]]*Table4[[#This Row],[Margin-Unit]]</f>
        <v>5477.92</v>
      </c>
      <c r="M325">
        <f>Table4[[#This Row],[Date-Sales]]-Table4[[#This Row],[Date-Received]]</f>
        <v>2</v>
      </c>
      <c r="N325" s="6">
        <f>Table4[[#This Row],[Margin-Unit]]/Table4[[#This Row],[Unit-Price]]</f>
        <v>0.2751564918893451</v>
      </c>
    </row>
    <row r="326" spans="1:14" x14ac:dyDescent="0.3">
      <c r="A326" t="s">
        <v>369</v>
      </c>
      <c r="B326" t="s">
        <v>28</v>
      </c>
      <c r="C326" t="s">
        <v>29</v>
      </c>
      <c r="D326" t="s">
        <v>40</v>
      </c>
      <c r="E326" t="s">
        <v>41</v>
      </c>
      <c r="F326">
        <v>278</v>
      </c>
      <c r="G326" s="3">
        <v>107.71</v>
      </c>
      <c r="H326" s="1">
        <v>45685</v>
      </c>
      <c r="I326" s="1">
        <v>45702</v>
      </c>
      <c r="J326" s="3">
        <v>17.55</v>
      </c>
      <c r="K326" s="2">
        <f>Table4[[#This Row],[Stock-Quantity]]*Table4[[#This Row],[Unit-Price]]</f>
        <v>29943.379999999997</v>
      </c>
      <c r="L326" s="2">
        <f>Table4[[#This Row],[Stock-Quantity]]*Table4[[#This Row],[Margin-Unit]]</f>
        <v>4878.9000000000005</v>
      </c>
      <c r="M326">
        <f>Table4[[#This Row],[Date-Sales]]-Table4[[#This Row],[Date-Received]]</f>
        <v>17</v>
      </c>
      <c r="N326" s="6">
        <f>Table4[[#This Row],[Margin-Unit]]/Table4[[#This Row],[Unit-Price]]</f>
        <v>0.16293751740785445</v>
      </c>
    </row>
    <row r="327" spans="1:14" x14ac:dyDescent="0.3">
      <c r="A327" t="s">
        <v>370</v>
      </c>
      <c r="B327" t="s">
        <v>28</v>
      </c>
      <c r="C327" t="s">
        <v>29</v>
      </c>
      <c r="D327" t="s">
        <v>25</v>
      </c>
      <c r="E327" t="s">
        <v>26</v>
      </c>
      <c r="F327">
        <v>370</v>
      </c>
      <c r="G327" s="3">
        <v>471.11</v>
      </c>
      <c r="H327" s="1">
        <v>45665</v>
      </c>
      <c r="I327" s="1">
        <v>45673</v>
      </c>
      <c r="J327" s="3">
        <v>93.11</v>
      </c>
      <c r="K327" s="2">
        <f>Table4[[#This Row],[Stock-Quantity]]*Table4[[#This Row],[Unit-Price]]</f>
        <v>174310.7</v>
      </c>
      <c r="L327" s="2">
        <f>Table4[[#This Row],[Stock-Quantity]]*Table4[[#This Row],[Margin-Unit]]</f>
        <v>34450.699999999997</v>
      </c>
      <c r="M327">
        <f>Table4[[#This Row],[Date-Sales]]-Table4[[#This Row],[Date-Received]]</f>
        <v>8</v>
      </c>
      <c r="N327" s="6">
        <f>Table4[[#This Row],[Margin-Unit]]/Table4[[#This Row],[Unit-Price]]</f>
        <v>0.19763961707456856</v>
      </c>
    </row>
    <row r="328" spans="1:14" x14ac:dyDescent="0.3">
      <c r="A328" t="s">
        <v>371</v>
      </c>
      <c r="B328" t="s">
        <v>50</v>
      </c>
      <c r="C328" t="s">
        <v>17</v>
      </c>
      <c r="D328" t="s">
        <v>18</v>
      </c>
      <c r="E328" t="s">
        <v>19</v>
      </c>
      <c r="F328">
        <v>42</v>
      </c>
      <c r="G328" s="3">
        <v>112.74</v>
      </c>
      <c r="H328" s="1">
        <v>45767</v>
      </c>
      <c r="I328" s="1">
        <v>45791</v>
      </c>
      <c r="J328" s="3">
        <v>16.57</v>
      </c>
      <c r="K328" s="2">
        <f>Table4[[#This Row],[Stock-Quantity]]*Table4[[#This Row],[Unit-Price]]</f>
        <v>4735.08</v>
      </c>
      <c r="L328" s="2">
        <f>Table4[[#This Row],[Stock-Quantity]]*Table4[[#This Row],[Margin-Unit]]</f>
        <v>695.94</v>
      </c>
      <c r="M328">
        <f>Table4[[#This Row],[Date-Sales]]-Table4[[#This Row],[Date-Received]]</f>
        <v>24</v>
      </c>
      <c r="N328" s="6">
        <f>Table4[[#This Row],[Margin-Unit]]/Table4[[#This Row],[Unit-Price]]</f>
        <v>0.14697534149370234</v>
      </c>
    </row>
    <row r="329" spans="1:14" x14ac:dyDescent="0.3">
      <c r="A329" t="s">
        <v>372</v>
      </c>
      <c r="B329" t="s">
        <v>94</v>
      </c>
      <c r="C329" t="s">
        <v>29</v>
      </c>
      <c r="D329" t="s">
        <v>30</v>
      </c>
      <c r="E329" t="s">
        <v>31</v>
      </c>
      <c r="F329">
        <v>112</v>
      </c>
      <c r="G329" s="3">
        <v>163.06</v>
      </c>
      <c r="H329" s="1">
        <v>45724</v>
      </c>
      <c r="I329" s="1">
        <v>45747</v>
      </c>
      <c r="J329" s="3">
        <v>28.49</v>
      </c>
      <c r="K329" s="2">
        <f>Table4[[#This Row],[Stock-Quantity]]*Table4[[#This Row],[Unit-Price]]</f>
        <v>18262.72</v>
      </c>
      <c r="L329" s="2">
        <f>Table4[[#This Row],[Stock-Quantity]]*Table4[[#This Row],[Margin-Unit]]</f>
        <v>3190.8799999999997</v>
      </c>
      <c r="M329">
        <f>Table4[[#This Row],[Date-Sales]]-Table4[[#This Row],[Date-Received]]</f>
        <v>23</v>
      </c>
      <c r="N329" s="6">
        <f>Table4[[#This Row],[Margin-Unit]]/Table4[[#This Row],[Unit-Price]]</f>
        <v>0.1747209616092236</v>
      </c>
    </row>
    <row r="330" spans="1:14" x14ac:dyDescent="0.3">
      <c r="A330" t="s">
        <v>373</v>
      </c>
      <c r="B330" t="s">
        <v>80</v>
      </c>
      <c r="C330" t="s">
        <v>29</v>
      </c>
      <c r="D330" t="s">
        <v>25</v>
      </c>
      <c r="E330" t="s">
        <v>26</v>
      </c>
      <c r="F330">
        <v>32</v>
      </c>
      <c r="G330" s="3">
        <v>71.41</v>
      </c>
      <c r="H330" s="1">
        <v>45793</v>
      </c>
      <c r="I330" s="1">
        <v>45821</v>
      </c>
      <c r="J330" s="3">
        <v>12.33</v>
      </c>
      <c r="K330" s="2">
        <f>Table4[[#This Row],[Stock-Quantity]]*Table4[[#This Row],[Unit-Price]]</f>
        <v>2285.12</v>
      </c>
      <c r="L330" s="2">
        <f>Table4[[#This Row],[Stock-Quantity]]*Table4[[#This Row],[Margin-Unit]]</f>
        <v>394.56</v>
      </c>
      <c r="M330">
        <f>Table4[[#This Row],[Date-Sales]]-Table4[[#This Row],[Date-Received]]</f>
        <v>28</v>
      </c>
      <c r="N330" s="6">
        <f>Table4[[#This Row],[Margin-Unit]]/Table4[[#This Row],[Unit-Price]]</f>
        <v>0.17266489287214676</v>
      </c>
    </row>
    <row r="331" spans="1:14" x14ac:dyDescent="0.3">
      <c r="A331" t="s">
        <v>374</v>
      </c>
      <c r="B331" t="s">
        <v>34</v>
      </c>
      <c r="C331" t="s">
        <v>35</v>
      </c>
      <c r="D331" t="s">
        <v>30</v>
      </c>
      <c r="E331" t="s">
        <v>31</v>
      </c>
      <c r="F331">
        <v>391</v>
      </c>
      <c r="G331" s="3">
        <v>316.67</v>
      </c>
      <c r="H331" s="1">
        <v>45710</v>
      </c>
      <c r="I331" s="1">
        <v>45734</v>
      </c>
      <c r="J331" s="3">
        <v>33.08</v>
      </c>
      <c r="K331" s="2">
        <f>Table4[[#This Row],[Stock-Quantity]]*Table4[[#This Row],[Unit-Price]]</f>
        <v>123817.97</v>
      </c>
      <c r="L331" s="2">
        <f>Table4[[#This Row],[Stock-Quantity]]*Table4[[#This Row],[Margin-Unit]]</f>
        <v>12934.279999999999</v>
      </c>
      <c r="M331">
        <f>Table4[[#This Row],[Date-Sales]]-Table4[[#This Row],[Date-Received]]</f>
        <v>24</v>
      </c>
      <c r="N331" s="6">
        <f>Table4[[#This Row],[Margin-Unit]]/Table4[[#This Row],[Unit-Price]]</f>
        <v>0.10446205829412321</v>
      </c>
    </row>
    <row r="332" spans="1:14" x14ac:dyDescent="0.3">
      <c r="A332" t="s">
        <v>375</v>
      </c>
      <c r="B332" t="s">
        <v>52</v>
      </c>
      <c r="C332" t="s">
        <v>12</v>
      </c>
      <c r="D332" t="s">
        <v>25</v>
      </c>
      <c r="E332" t="s">
        <v>26</v>
      </c>
      <c r="F332">
        <v>148</v>
      </c>
      <c r="G332" s="3">
        <v>79.03</v>
      </c>
      <c r="H332" s="1">
        <v>45818</v>
      </c>
      <c r="I332" s="1">
        <v>45834</v>
      </c>
      <c r="J332" s="3">
        <v>13.76</v>
      </c>
      <c r="K332" s="2">
        <f>Table4[[#This Row],[Stock-Quantity]]*Table4[[#This Row],[Unit-Price]]</f>
        <v>11696.44</v>
      </c>
      <c r="L332" s="2">
        <f>Table4[[#This Row],[Stock-Quantity]]*Table4[[#This Row],[Margin-Unit]]</f>
        <v>2036.48</v>
      </c>
      <c r="M332">
        <f>Table4[[#This Row],[Date-Sales]]-Table4[[#This Row],[Date-Received]]</f>
        <v>16</v>
      </c>
      <c r="N332" s="6">
        <f>Table4[[#This Row],[Margin-Unit]]/Table4[[#This Row],[Unit-Price]]</f>
        <v>0.17411109705175248</v>
      </c>
    </row>
    <row r="333" spans="1:14" x14ac:dyDescent="0.3">
      <c r="A333" t="s">
        <v>376</v>
      </c>
      <c r="B333" t="s">
        <v>94</v>
      </c>
      <c r="C333" t="s">
        <v>29</v>
      </c>
      <c r="D333" t="s">
        <v>13</v>
      </c>
      <c r="E333" t="s">
        <v>14</v>
      </c>
      <c r="F333">
        <v>80</v>
      </c>
      <c r="G333" s="3">
        <v>259.41000000000003</v>
      </c>
      <c r="H333" s="1">
        <v>45806</v>
      </c>
      <c r="I333" s="1">
        <v>45832</v>
      </c>
      <c r="J333" s="3">
        <v>37.909999999999997</v>
      </c>
      <c r="K333" s="2">
        <f>Table4[[#This Row],[Stock-Quantity]]*Table4[[#This Row],[Unit-Price]]</f>
        <v>20752.800000000003</v>
      </c>
      <c r="L333" s="2">
        <f>Table4[[#This Row],[Stock-Quantity]]*Table4[[#This Row],[Margin-Unit]]</f>
        <v>3032.7999999999997</v>
      </c>
      <c r="M333">
        <f>Table4[[#This Row],[Date-Sales]]-Table4[[#This Row],[Date-Received]]</f>
        <v>26</v>
      </c>
      <c r="N333" s="6">
        <f>Table4[[#This Row],[Margin-Unit]]/Table4[[#This Row],[Unit-Price]]</f>
        <v>0.1461393161404726</v>
      </c>
    </row>
    <row r="334" spans="1:14" x14ac:dyDescent="0.3">
      <c r="A334" t="s">
        <v>377</v>
      </c>
      <c r="B334" t="s">
        <v>39</v>
      </c>
      <c r="C334" t="s">
        <v>12</v>
      </c>
      <c r="D334" t="s">
        <v>18</v>
      </c>
      <c r="E334" t="s">
        <v>19</v>
      </c>
      <c r="F334">
        <v>415</v>
      </c>
      <c r="G334" s="3">
        <v>388.53</v>
      </c>
      <c r="H334" s="1">
        <v>45769</v>
      </c>
      <c r="I334" s="1">
        <v>45798</v>
      </c>
      <c r="J334" s="3">
        <v>54.89</v>
      </c>
      <c r="K334" s="2">
        <f>Table4[[#This Row],[Stock-Quantity]]*Table4[[#This Row],[Unit-Price]]</f>
        <v>161239.94999999998</v>
      </c>
      <c r="L334" s="2">
        <f>Table4[[#This Row],[Stock-Quantity]]*Table4[[#This Row],[Margin-Unit]]</f>
        <v>22779.35</v>
      </c>
      <c r="M334">
        <f>Table4[[#This Row],[Date-Sales]]-Table4[[#This Row],[Date-Received]]</f>
        <v>29</v>
      </c>
      <c r="N334" s="6">
        <f>Table4[[#This Row],[Margin-Unit]]/Table4[[#This Row],[Unit-Price]]</f>
        <v>0.14127609193627264</v>
      </c>
    </row>
    <row r="335" spans="1:14" x14ac:dyDescent="0.3">
      <c r="A335" t="s">
        <v>378</v>
      </c>
      <c r="B335" t="s">
        <v>80</v>
      </c>
      <c r="C335" t="s">
        <v>29</v>
      </c>
      <c r="D335" t="s">
        <v>30</v>
      </c>
      <c r="E335" t="s">
        <v>31</v>
      </c>
      <c r="F335">
        <v>238</v>
      </c>
      <c r="G335" s="3">
        <v>360.49</v>
      </c>
      <c r="H335" s="1">
        <v>45753</v>
      </c>
      <c r="I335" s="1">
        <v>45759</v>
      </c>
      <c r="J335" s="3">
        <v>91.15</v>
      </c>
      <c r="K335" s="2">
        <f>Table4[[#This Row],[Stock-Quantity]]*Table4[[#This Row],[Unit-Price]]</f>
        <v>85796.62</v>
      </c>
      <c r="L335" s="2">
        <f>Table4[[#This Row],[Stock-Quantity]]*Table4[[#This Row],[Margin-Unit]]</f>
        <v>21693.7</v>
      </c>
      <c r="M335">
        <f>Table4[[#This Row],[Date-Sales]]-Table4[[#This Row],[Date-Received]]</f>
        <v>6</v>
      </c>
      <c r="N335" s="6">
        <f>Table4[[#This Row],[Margin-Unit]]/Table4[[#This Row],[Unit-Price]]</f>
        <v>0.25285028710921248</v>
      </c>
    </row>
    <row r="336" spans="1:14" x14ac:dyDescent="0.3">
      <c r="A336" t="s">
        <v>379</v>
      </c>
      <c r="B336" t="s">
        <v>28</v>
      </c>
      <c r="C336" t="s">
        <v>29</v>
      </c>
      <c r="D336" t="s">
        <v>40</v>
      </c>
      <c r="E336" t="s">
        <v>41</v>
      </c>
      <c r="F336">
        <v>54</v>
      </c>
      <c r="G336" s="3">
        <v>37.25</v>
      </c>
      <c r="H336" s="1">
        <v>45819</v>
      </c>
      <c r="I336" s="1">
        <v>45825</v>
      </c>
      <c r="J336" s="3">
        <v>9.48</v>
      </c>
      <c r="K336" s="2">
        <f>Table4[[#This Row],[Stock-Quantity]]*Table4[[#This Row],[Unit-Price]]</f>
        <v>2011.5</v>
      </c>
      <c r="L336" s="2">
        <f>Table4[[#This Row],[Stock-Quantity]]*Table4[[#This Row],[Margin-Unit]]</f>
        <v>511.92</v>
      </c>
      <c r="M336">
        <f>Table4[[#This Row],[Date-Sales]]-Table4[[#This Row],[Date-Received]]</f>
        <v>6</v>
      </c>
      <c r="N336" s="6">
        <f>Table4[[#This Row],[Margin-Unit]]/Table4[[#This Row],[Unit-Price]]</f>
        <v>0.254496644295302</v>
      </c>
    </row>
    <row r="337" spans="1:14" x14ac:dyDescent="0.3">
      <c r="A337" t="s">
        <v>380</v>
      </c>
      <c r="B337" t="s">
        <v>16</v>
      </c>
      <c r="C337" t="s">
        <v>17</v>
      </c>
      <c r="D337" t="s">
        <v>30</v>
      </c>
      <c r="E337" t="s">
        <v>31</v>
      </c>
      <c r="F337">
        <v>169</v>
      </c>
      <c r="G337" s="3">
        <v>144.4</v>
      </c>
      <c r="H337" s="1">
        <v>45690</v>
      </c>
      <c r="I337" s="1">
        <v>45703</v>
      </c>
      <c r="J337" s="3">
        <v>32.229999999999997</v>
      </c>
      <c r="K337" s="2">
        <f>Table4[[#This Row],[Stock-Quantity]]*Table4[[#This Row],[Unit-Price]]</f>
        <v>24403.600000000002</v>
      </c>
      <c r="L337" s="2">
        <f>Table4[[#This Row],[Stock-Quantity]]*Table4[[#This Row],[Margin-Unit]]</f>
        <v>5446.87</v>
      </c>
      <c r="M337">
        <f>Table4[[#This Row],[Date-Sales]]-Table4[[#This Row],[Date-Received]]</f>
        <v>13</v>
      </c>
      <c r="N337" s="6">
        <f>Table4[[#This Row],[Margin-Unit]]/Table4[[#This Row],[Unit-Price]]</f>
        <v>0.22319944598337946</v>
      </c>
    </row>
    <row r="338" spans="1:14" x14ac:dyDescent="0.3">
      <c r="A338" t="s">
        <v>381</v>
      </c>
      <c r="B338" t="s">
        <v>24</v>
      </c>
      <c r="C338" t="s">
        <v>22</v>
      </c>
      <c r="D338" t="s">
        <v>18</v>
      </c>
      <c r="E338" t="s">
        <v>19</v>
      </c>
      <c r="F338">
        <v>280</v>
      </c>
      <c r="G338" s="3">
        <v>326.27</v>
      </c>
      <c r="H338" s="1">
        <v>45750</v>
      </c>
      <c r="I338" s="1">
        <v>45771</v>
      </c>
      <c r="J338" s="3">
        <v>67.989999999999995</v>
      </c>
      <c r="K338" s="2">
        <f>Table4[[#This Row],[Stock-Quantity]]*Table4[[#This Row],[Unit-Price]]</f>
        <v>91355.599999999991</v>
      </c>
      <c r="L338" s="2">
        <f>Table4[[#This Row],[Stock-Quantity]]*Table4[[#This Row],[Margin-Unit]]</f>
        <v>19037.199999999997</v>
      </c>
      <c r="M338">
        <f>Table4[[#This Row],[Date-Sales]]-Table4[[#This Row],[Date-Received]]</f>
        <v>21</v>
      </c>
      <c r="N338" s="6">
        <f>Table4[[#This Row],[Margin-Unit]]/Table4[[#This Row],[Unit-Price]]</f>
        <v>0.20838569283109082</v>
      </c>
    </row>
    <row r="339" spans="1:14" x14ac:dyDescent="0.3">
      <c r="A339" t="s">
        <v>382</v>
      </c>
      <c r="B339" t="s">
        <v>50</v>
      </c>
      <c r="C339" t="s">
        <v>17</v>
      </c>
      <c r="D339" t="s">
        <v>40</v>
      </c>
      <c r="E339" t="s">
        <v>41</v>
      </c>
      <c r="F339">
        <v>315</v>
      </c>
      <c r="G339" s="3">
        <v>84.55</v>
      </c>
      <c r="H339" s="1">
        <v>45693</v>
      </c>
      <c r="I339" s="1">
        <v>45704</v>
      </c>
      <c r="J339" s="3">
        <v>17.690000000000001</v>
      </c>
      <c r="K339" s="2">
        <f>Table4[[#This Row],[Stock-Quantity]]*Table4[[#This Row],[Unit-Price]]</f>
        <v>26633.25</v>
      </c>
      <c r="L339" s="2">
        <f>Table4[[#This Row],[Stock-Quantity]]*Table4[[#This Row],[Margin-Unit]]</f>
        <v>5572.35</v>
      </c>
      <c r="M339">
        <f>Table4[[#This Row],[Date-Sales]]-Table4[[#This Row],[Date-Received]]</f>
        <v>11</v>
      </c>
      <c r="N339" s="6">
        <f>Table4[[#This Row],[Margin-Unit]]/Table4[[#This Row],[Unit-Price]]</f>
        <v>0.20922531046717921</v>
      </c>
    </row>
    <row r="340" spans="1:14" x14ac:dyDescent="0.3">
      <c r="A340" t="s">
        <v>383</v>
      </c>
      <c r="B340" t="s">
        <v>39</v>
      </c>
      <c r="C340" t="s">
        <v>12</v>
      </c>
      <c r="D340" t="s">
        <v>13</v>
      </c>
      <c r="E340" t="s">
        <v>14</v>
      </c>
      <c r="F340">
        <v>223</v>
      </c>
      <c r="G340" s="3">
        <v>478.7</v>
      </c>
      <c r="H340" s="1">
        <v>45777</v>
      </c>
      <c r="I340" s="1">
        <v>45796</v>
      </c>
      <c r="J340" s="3">
        <v>140.21</v>
      </c>
      <c r="K340" s="2">
        <f>Table4[[#This Row],[Stock-Quantity]]*Table4[[#This Row],[Unit-Price]]</f>
        <v>106750.09999999999</v>
      </c>
      <c r="L340" s="2">
        <f>Table4[[#This Row],[Stock-Quantity]]*Table4[[#This Row],[Margin-Unit]]</f>
        <v>31266.83</v>
      </c>
      <c r="M340">
        <f>Table4[[#This Row],[Date-Sales]]-Table4[[#This Row],[Date-Received]]</f>
        <v>19</v>
      </c>
      <c r="N340" s="6">
        <f>Table4[[#This Row],[Margin-Unit]]/Table4[[#This Row],[Unit-Price]]</f>
        <v>0.29289743054104872</v>
      </c>
    </row>
    <row r="341" spans="1:14" x14ac:dyDescent="0.3">
      <c r="A341" t="s">
        <v>384</v>
      </c>
      <c r="B341" t="s">
        <v>11</v>
      </c>
      <c r="C341" t="s">
        <v>12</v>
      </c>
      <c r="D341" t="s">
        <v>13</v>
      </c>
      <c r="E341" t="s">
        <v>14</v>
      </c>
      <c r="F341">
        <v>84</v>
      </c>
      <c r="G341" s="3">
        <v>212.23</v>
      </c>
      <c r="H341" s="1">
        <v>45770</v>
      </c>
      <c r="I341" s="1">
        <v>45777</v>
      </c>
      <c r="J341" s="3">
        <v>21.31</v>
      </c>
      <c r="K341" s="2">
        <f>Table4[[#This Row],[Stock-Quantity]]*Table4[[#This Row],[Unit-Price]]</f>
        <v>17827.32</v>
      </c>
      <c r="L341" s="2">
        <f>Table4[[#This Row],[Stock-Quantity]]*Table4[[#This Row],[Margin-Unit]]</f>
        <v>1790.04</v>
      </c>
      <c r="M341">
        <f>Table4[[#This Row],[Date-Sales]]-Table4[[#This Row],[Date-Received]]</f>
        <v>7</v>
      </c>
      <c r="N341" s="6">
        <f>Table4[[#This Row],[Margin-Unit]]/Table4[[#This Row],[Unit-Price]]</f>
        <v>0.10040993262027045</v>
      </c>
    </row>
    <row r="342" spans="1:14" x14ac:dyDescent="0.3">
      <c r="A342" t="s">
        <v>385</v>
      </c>
      <c r="B342" t="s">
        <v>65</v>
      </c>
      <c r="C342" t="s">
        <v>22</v>
      </c>
      <c r="D342" t="s">
        <v>18</v>
      </c>
      <c r="E342" t="s">
        <v>19</v>
      </c>
      <c r="F342">
        <v>447</v>
      </c>
      <c r="G342" s="3">
        <v>474.45</v>
      </c>
      <c r="H342" s="1">
        <v>45819</v>
      </c>
      <c r="I342" s="1">
        <v>45822</v>
      </c>
      <c r="J342" s="3">
        <v>111.51</v>
      </c>
      <c r="K342" s="2">
        <f>Table4[[#This Row],[Stock-Quantity]]*Table4[[#This Row],[Unit-Price]]</f>
        <v>212079.15</v>
      </c>
      <c r="L342" s="2">
        <f>Table4[[#This Row],[Stock-Quantity]]*Table4[[#This Row],[Margin-Unit]]</f>
        <v>49844.97</v>
      </c>
      <c r="M342">
        <f>Table4[[#This Row],[Date-Sales]]-Table4[[#This Row],[Date-Received]]</f>
        <v>3</v>
      </c>
      <c r="N342" s="6">
        <f>Table4[[#This Row],[Margin-Unit]]/Table4[[#This Row],[Unit-Price]]</f>
        <v>0.23503003477711035</v>
      </c>
    </row>
    <row r="343" spans="1:14" x14ac:dyDescent="0.3">
      <c r="A343" t="s">
        <v>386</v>
      </c>
      <c r="B343" t="s">
        <v>11</v>
      </c>
      <c r="C343" t="s">
        <v>12</v>
      </c>
      <c r="D343" t="s">
        <v>25</v>
      </c>
      <c r="E343" t="s">
        <v>26</v>
      </c>
      <c r="F343">
        <v>284</v>
      </c>
      <c r="G343" s="3">
        <v>352.55</v>
      </c>
      <c r="H343" s="1">
        <v>45818</v>
      </c>
      <c r="I343" s="1">
        <v>45827</v>
      </c>
      <c r="J343" s="3">
        <v>55.36</v>
      </c>
      <c r="K343" s="2">
        <f>Table4[[#This Row],[Stock-Quantity]]*Table4[[#This Row],[Unit-Price]]</f>
        <v>100124.2</v>
      </c>
      <c r="L343" s="2">
        <f>Table4[[#This Row],[Stock-Quantity]]*Table4[[#This Row],[Margin-Unit]]</f>
        <v>15722.24</v>
      </c>
      <c r="M343">
        <f>Table4[[#This Row],[Date-Sales]]-Table4[[#This Row],[Date-Received]]</f>
        <v>9</v>
      </c>
      <c r="N343" s="6">
        <f>Table4[[#This Row],[Margin-Unit]]/Table4[[#This Row],[Unit-Price]]</f>
        <v>0.15702737200397107</v>
      </c>
    </row>
    <row r="344" spans="1:14" x14ac:dyDescent="0.3">
      <c r="A344" t="s">
        <v>387</v>
      </c>
      <c r="B344" t="s">
        <v>116</v>
      </c>
      <c r="C344" t="s">
        <v>12</v>
      </c>
      <c r="D344" t="s">
        <v>30</v>
      </c>
      <c r="E344" t="s">
        <v>31</v>
      </c>
      <c r="F344">
        <v>33</v>
      </c>
      <c r="G344" s="3">
        <v>417.47</v>
      </c>
      <c r="H344" s="1">
        <v>45742</v>
      </c>
      <c r="I344" s="1">
        <v>45767</v>
      </c>
      <c r="J344" s="3">
        <v>46.5</v>
      </c>
      <c r="K344" s="2">
        <f>Table4[[#This Row],[Stock-Quantity]]*Table4[[#This Row],[Unit-Price]]</f>
        <v>13776.51</v>
      </c>
      <c r="L344" s="2">
        <f>Table4[[#This Row],[Stock-Quantity]]*Table4[[#This Row],[Margin-Unit]]</f>
        <v>1534.5</v>
      </c>
      <c r="M344">
        <f>Table4[[#This Row],[Date-Sales]]-Table4[[#This Row],[Date-Received]]</f>
        <v>25</v>
      </c>
      <c r="N344" s="6">
        <f>Table4[[#This Row],[Margin-Unit]]/Table4[[#This Row],[Unit-Price]]</f>
        <v>0.1113852492394663</v>
      </c>
    </row>
    <row r="345" spans="1:14" x14ac:dyDescent="0.3">
      <c r="A345" t="s">
        <v>388</v>
      </c>
      <c r="B345" t="s">
        <v>37</v>
      </c>
      <c r="C345" t="s">
        <v>22</v>
      </c>
      <c r="D345" t="s">
        <v>18</v>
      </c>
      <c r="E345" t="s">
        <v>19</v>
      </c>
      <c r="F345">
        <v>109</v>
      </c>
      <c r="G345" s="3">
        <v>119.93</v>
      </c>
      <c r="H345" s="1">
        <v>45694</v>
      </c>
      <c r="I345" s="1">
        <v>45702</v>
      </c>
      <c r="J345" s="3">
        <v>14.88</v>
      </c>
      <c r="K345" s="2">
        <f>Table4[[#This Row],[Stock-Quantity]]*Table4[[#This Row],[Unit-Price]]</f>
        <v>13072.37</v>
      </c>
      <c r="L345" s="2">
        <f>Table4[[#This Row],[Stock-Quantity]]*Table4[[#This Row],[Margin-Unit]]</f>
        <v>1621.92</v>
      </c>
      <c r="M345">
        <f>Table4[[#This Row],[Date-Sales]]-Table4[[#This Row],[Date-Received]]</f>
        <v>8</v>
      </c>
      <c r="N345" s="6">
        <f>Table4[[#This Row],[Margin-Unit]]/Table4[[#This Row],[Unit-Price]]</f>
        <v>0.12407237555240556</v>
      </c>
    </row>
    <row r="346" spans="1:14" x14ac:dyDescent="0.3">
      <c r="A346" t="s">
        <v>389</v>
      </c>
      <c r="B346" t="s">
        <v>28</v>
      </c>
      <c r="C346" t="s">
        <v>29</v>
      </c>
      <c r="D346" t="s">
        <v>13</v>
      </c>
      <c r="E346" t="s">
        <v>14</v>
      </c>
      <c r="F346">
        <v>292</v>
      </c>
      <c r="G346" s="3">
        <v>337.85</v>
      </c>
      <c r="H346" s="1">
        <v>45711</v>
      </c>
      <c r="I346" s="1">
        <v>45733</v>
      </c>
      <c r="J346" s="3">
        <v>65.23</v>
      </c>
      <c r="K346" s="2">
        <f>Table4[[#This Row],[Stock-Quantity]]*Table4[[#This Row],[Unit-Price]]</f>
        <v>98652.200000000012</v>
      </c>
      <c r="L346" s="2">
        <f>Table4[[#This Row],[Stock-Quantity]]*Table4[[#This Row],[Margin-Unit]]</f>
        <v>19047.16</v>
      </c>
      <c r="M346">
        <f>Table4[[#This Row],[Date-Sales]]-Table4[[#This Row],[Date-Received]]</f>
        <v>22</v>
      </c>
      <c r="N346" s="6">
        <f>Table4[[#This Row],[Margin-Unit]]/Table4[[#This Row],[Unit-Price]]</f>
        <v>0.19307384934142371</v>
      </c>
    </row>
    <row r="347" spans="1:14" x14ac:dyDescent="0.3">
      <c r="A347" t="s">
        <v>390</v>
      </c>
      <c r="B347" t="s">
        <v>74</v>
      </c>
      <c r="C347" t="s">
        <v>29</v>
      </c>
      <c r="D347" t="s">
        <v>25</v>
      </c>
      <c r="E347" t="s">
        <v>26</v>
      </c>
      <c r="F347">
        <v>320</v>
      </c>
      <c r="G347" s="3">
        <v>495.05</v>
      </c>
      <c r="H347" s="1">
        <v>45730</v>
      </c>
      <c r="I347" s="1">
        <v>45744</v>
      </c>
      <c r="J347" s="3">
        <v>50.32</v>
      </c>
      <c r="K347" s="2">
        <f>Table4[[#This Row],[Stock-Quantity]]*Table4[[#This Row],[Unit-Price]]</f>
        <v>158416</v>
      </c>
      <c r="L347" s="2">
        <f>Table4[[#This Row],[Stock-Quantity]]*Table4[[#This Row],[Margin-Unit]]</f>
        <v>16102.4</v>
      </c>
      <c r="M347">
        <f>Table4[[#This Row],[Date-Sales]]-Table4[[#This Row],[Date-Received]]</f>
        <v>14</v>
      </c>
      <c r="N347" s="6">
        <f>Table4[[#This Row],[Margin-Unit]]/Table4[[#This Row],[Unit-Price]]</f>
        <v>0.10164629835370165</v>
      </c>
    </row>
    <row r="348" spans="1:14" x14ac:dyDescent="0.3">
      <c r="A348" t="s">
        <v>391</v>
      </c>
      <c r="B348" t="s">
        <v>21</v>
      </c>
      <c r="C348" t="s">
        <v>22</v>
      </c>
      <c r="D348" t="s">
        <v>25</v>
      </c>
      <c r="E348" t="s">
        <v>26</v>
      </c>
      <c r="F348">
        <v>139</v>
      </c>
      <c r="G348" s="3">
        <v>251.48</v>
      </c>
      <c r="H348" s="1">
        <v>45686</v>
      </c>
      <c r="I348" s="1">
        <v>45690</v>
      </c>
      <c r="J348" s="3">
        <v>29.87</v>
      </c>
      <c r="K348" s="2">
        <f>Table4[[#This Row],[Stock-Quantity]]*Table4[[#This Row],[Unit-Price]]</f>
        <v>34955.72</v>
      </c>
      <c r="L348" s="2">
        <f>Table4[[#This Row],[Stock-Quantity]]*Table4[[#This Row],[Margin-Unit]]</f>
        <v>4151.93</v>
      </c>
      <c r="M348">
        <f>Table4[[#This Row],[Date-Sales]]-Table4[[#This Row],[Date-Received]]</f>
        <v>4</v>
      </c>
      <c r="N348" s="6">
        <f>Table4[[#This Row],[Margin-Unit]]/Table4[[#This Row],[Unit-Price]]</f>
        <v>0.11877684110068396</v>
      </c>
    </row>
    <row r="349" spans="1:14" x14ac:dyDescent="0.3">
      <c r="A349" t="s">
        <v>392</v>
      </c>
      <c r="B349" t="s">
        <v>16</v>
      </c>
      <c r="C349" t="s">
        <v>17</v>
      </c>
      <c r="D349" t="s">
        <v>40</v>
      </c>
      <c r="E349" t="s">
        <v>41</v>
      </c>
      <c r="F349">
        <v>93</v>
      </c>
      <c r="G349" s="3">
        <v>211.55</v>
      </c>
      <c r="H349" s="1">
        <v>45835</v>
      </c>
      <c r="I349" s="1">
        <v>45846</v>
      </c>
      <c r="J349" s="3">
        <v>46.74</v>
      </c>
      <c r="K349" s="2">
        <f>Table4[[#This Row],[Stock-Quantity]]*Table4[[#This Row],[Unit-Price]]</f>
        <v>19674.150000000001</v>
      </c>
      <c r="L349" s="2">
        <f>Table4[[#This Row],[Stock-Quantity]]*Table4[[#This Row],[Margin-Unit]]</f>
        <v>4346.8200000000006</v>
      </c>
      <c r="M349">
        <f>Table4[[#This Row],[Date-Sales]]-Table4[[#This Row],[Date-Received]]</f>
        <v>11</v>
      </c>
      <c r="N349" s="6">
        <f>Table4[[#This Row],[Margin-Unit]]/Table4[[#This Row],[Unit-Price]]</f>
        <v>0.22094067596312927</v>
      </c>
    </row>
    <row r="350" spans="1:14" x14ac:dyDescent="0.3">
      <c r="A350" t="s">
        <v>393</v>
      </c>
      <c r="B350" t="s">
        <v>65</v>
      </c>
      <c r="C350" t="s">
        <v>22</v>
      </c>
      <c r="D350" t="s">
        <v>30</v>
      </c>
      <c r="E350" t="s">
        <v>31</v>
      </c>
      <c r="F350">
        <v>314</v>
      </c>
      <c r="G350" s="3">
        <v>106.58</v>
      </c>
      <c r="H350" s="1">
        <v>45828</v>
      </c>
      <c r="I350" s="1">
        <v>45839</v>
      </c>
      <c r="J350" s="3">
        <v>10.93</v>
      </c>
      <c r="K350" s="2">
        <f>Table4[[#This Row],[Stock-Quantity]]*Table4[[#This Row],[Unit-Price]]</f>
        <v>33466.120000000003</v>
      </c>
      <c r="L350" s="2">
        <f>Table4[[#This Row],[Stock-Quantity]]*Table4[[#This Row],[Margin-Unit]]</f>
        <v>3432.02</v>
      </c>
      <c r="M350">
        <f>Table4[[#This Row],[Date-Sales]]-Table4[[#This Row],[Date-Received]]</f>
        <v>11</v>
      </c>
      <c r="N350" s="6">
        <f>Table4[[#This Row],[Margin-Unit]]/Table4[[#This Row],[Unit-Price]]</f>
        <v>0.10255207355976731</v>
      </c>
    </row>
    <row r="351" spans="1:14" x14ac:dyDescent="0.3">
      <c r="A351" t="s">
        <v>394</v>
      </c>
      <c r="B351" t="s">
        <v>65</v>
      </c>
      <c r="C351" t="s">
        <v>22</v>
      </c>
      <c r="D351" t="s">
        <v>25</v>
      </c>
      <c r="E351" t="s">
        <v>26</v>
      </c>
      <c r="F351">
        <v>213</v>
      </c>
      <c r="G351" s="3">
        <v>216.99</v>
      </c>
      <c r="H351" s="1">
        <v>45796</v>
      </c>
      <c r="I351" s="1">
        <v>45809</v>
      </c>
      <c r="J351" s="3">
        <v>55.76</v>
      </c>
      <c r="K351" s="2">
        <f>Table4[[#This Row],[Stock-Quantity]]*Table4[[#This Row],[Unit-Price]]</f>
        <v>46218.87</v>
      </c>
      <c r="L351" s="2">
        <f>Table4[[#This Row],[Stock-Quantity]]*Table4[[#This Row],[Margin-Unit]]</f>
        <v>11876.88</v>
      </c>
      <c r="M351">
        <f>Table4[[#This Row],[Date-Sales]]-Table4[[#This Row],[Date-Received]]</f>
        <v>13</v>
      </c>
      <c r="N351" s="6">
        <f>Table4[[#This Row],[Margin-Unit]]/Table4[[#This Row],[Unit-Price]]</f>
        <v>0.25697036729803213</v>
      </c>
    </row>
    <row r="352" spans="1:14" x14ac:dyDescent="0.3">
      <c r="A352" t="s">
        <v>395</v>
      </c>
      <c r="B352" t="s">
        <v>65</v>
      </c>
      <c r="C352" t="s">
        <v>22</v>
      </c>
      <c r="D352" t="s">
        <v>30</v>
      </c>
      <c r="E352" t="s">
        <v>31</v>
      </c>
      <c r="F352">
        <v>146</v>
      </c>
      <c r="G352" s="3">
        <v>406.2</v>
      </c>
      <c r="H352" s="1">
        <v>45681</v>
      </c>
      <c r="I352" s="1">
        <v>45696</v>
      </c>
      <c r="J352" s="3">
        <v>50.85</v>
      </c>
      <c r="K352" s="2">
        <f>Table4[[#This Row],[Stock-Quantity]]*Table4[[#This Row],[Unit-Price]]</f>
        <v>59305.2</v>
      </c>
      <c r="L352" s="2">
        <f>Table4[[#This Row],[Stock-Quantity]]*Table4[[#This Row],[Margin-Unit]]</f>
        <v>7424.1</v>
      </c>
      <c r="M352">
        <f>Table4[[#This Row],[Date-Sales]]-Table4[[#This Row],[Date-Received]]</f>
        <v>15</v>
      </c>
      <c r="N352" s="6">
        <f>Table4[[#This Row],[Margin-Unit]]/Table4[[#This Row],[Unit-Price]]</f>
        <v>0.12518463810930577</v>
      </c>
    </row>
    <row r="353" spans="1:14" x14ac:dyDescent="0.3">
      <c r="A353" t="s">
        <v>396</v>
      </c>
      <c r="B353" t="s">
        <v>47</v>
      </c>
      <c r="C353" t="s">
        <v>17</v>
      </c>
      <c r="D353" t="s">
        <v>40</v>
      </c>
      <c r="E353" t="s">
        <v>41</v>
      </c>
      <c r="F353">
        <v>376</v>
      </c>
      <c r="G353" s="3">
        <v>261.77999999999997</v>
      </c>
      <c r="H353" s="1">
        <v>45703</v>
      </c>
      <c r="I353" s="1">
        <v>45725</v>
      </c>
      <c r="J353" s="3">
        <v>47.33</v>
      </c>
      <c r="K353" s="2">
        <f>Table4[[#This Row],[Stock-Quantity]]*Table4[[#This Row],[Unit-Price]]</f>
        <v>98429.279999999984</v>
      </c>
      <c r="L353" s="2">
        <f>Table4[[#This Row],[Stock-Quantity]]*Table4[[#This Row],[Margin-Unit]]</f>
        <v>17796.079999999998</v>
      </c>
      <c r="M353">
        <f>Table4[[#This Row],[Date-Sales]]-Table4[[#This Row],[Date-Received]]</f>
        <v>22</v>
      </c>
      <c r="N353" s="6">
        <f>Table4[[#This Row],[Margin-Unit]]/Table4[[#This Row],[Unit-Price]]</f>
        <v>0.18080067232026895</v>
      </c>
    </row>
    <row r="354" spans="1:14" x14ac:dyDescent="0.3">
      <c r="A354" t="s">
        <v>397</v>
      </c>
      <c r="B354" t="s">
        <v>94</v>
      </c>
      <c r="C354" t="s">
        <v>29</v>
      </c>
      <c r="D354" t="s">
        <v>13</v>
      </c>
      <c r="E354" t="s">
        <v>14</v>
      </c>
      <c r="F354">
        <v>291</v>
      </c>
      <c r="G354" s="3">
        <v>444.52</v>
      </c>
      <c r="H354" s="1">
        <v>45660</v>
      </c>
      <c r="I354" s="1">
        <v>45679</v>
      </c>
      <c r="J354" s="3">
        <v>63.3</v>
      </c>
      <c r="K354" s="2">
        <f>Table4[[#This Row],[Stock-Quantity]]*Table4[[#This Row],[Unit-Price]]</f>
        <v>129355.31999999999</v>
      </c>
      <c r="L354" s="2">
        <f>Table4[[#This Row],[Stock-Quantity]]*Table4[[#This Row],[Margin-Unit]]</f>
        <v>18420.3</v>
      </c>
      <c r="M354">
        <f>Table4[[#This Row],[Date-Sales]]-Table4[[#This Row],[Date-Received]]</f>
        <v>19</v>
      </c>
      <c r="N354" s="6">
        <f>Table4[[#This Row],[Margin-Unit]]/Table4[[#This Row],[Unit-Price]]</f>
        <v>0.14240079186538288</v>
      </c>
    </row>
    <row r="355" spans="1:14" x14ac:dyDescent="0.3">
      <c r="A355" t="s">
        <v>398</v>
      </c>
      <c r="B355" t="s">
        <v>65</v>
      </c>
      <c r="C355" t="s">
        <v>22</v>
      </c>
      <c r="D355" t="s">
        <v>30</v>
      </c>
      <c r="E355" t="s">
        <v>31</v>
      </c>
      <c r="F355">
        <v>328</v>
      </c>
      <c r="G355" s="3">
        <v>136.76</v>
      </c>
      <c r="H355" s="1">
        <v>45667</v>
      </c>
      <c r="I355" s="1">
        <v>45680</v>
      </c>
      <c r="J355" s="3">
        <v>36.08</v>
      </c>
      <c r="K355" s="2">
        <f>Table4[[#This Row],[Stock-Quantity]]*Table4[[#This Row],[Unit-Price]]</f>
        <v>44857.279999999999</v>
      </c>
      <c r="L355" s="2">
        <f>Table4[[#This Row],[Stock-Quantity]]*Table4[[#This Row],[Margin-Unit]]</f>
        <v>11834.24</v>
      </c>
      <c r="M355">
        <f>Table4[[#This Row],[Date-Sales]]-Table4[[#This Row],[Date-Received]]</f>
        <v>13</v>
      </c>
      <c r="N355" s="6">
        <f>Table4[[#This Row],[Margin-Unit]]/Table4[[#This Row],[Unit-Price]]</f>
        <v>0.26381983035975431</v>
      </c>
    </row>
    <row r="356" spans="1:14" x14ac:dyDescent="0.3">
      <c r="A356" t="s">
        <v>399</v>
      </c>
      <c r="B356" t="s">
        <v>94</v>
      </c>
      <c r="C356" t="s">
        <v>29</v>
      </c>
      <c r="D356" t="s">
        <v>30</v>
      </c>
      <c r="E356" t="s">
        <v>31</v>
      </c>
      <c r="F356">
        <v>391</v>
      </c>
      <c r="G356" s="3">
        <v>232.02</v>
      </c>
      <c r="H356" s="1">
        <v>45719</v>
      </c>
      <c r="I356" s="1">
        <v>45737</v>
      </c>
      <c r="J356" s="3">
        <v>53.97</v>
      </c>
      <c r="K356" s="2">
        <f>Table4[[#This Row],[Stock-Quantity]]*Table4[[#This Row],[Unit-Price]]</f>
        <v>90719.82</v>
      </c>
      <c r="L356" s="2">
        <f>Table4[[#This Row],[Stock-Quantity]]*Table4[[#This Row],[Margin-Unit]]</f>
        <v>21102.27</v>
      </c>
      <c r="M356">
        <f>Table4[[#This Row],[Date-Sales]]-Table4[[#This Row],[Date-Received]]</f>
        <v>18</v>
      </c>
      <c r="N356" s="6">
        <f>Table4[[#This Row],[Margin-Unit]]/Table4[[#This Row],[Unit-Price]]</f>
        <v>0.23260925782260147</v>
      </c>
    </row>
    <row r="357" spans="1:14" x14ac:dyDescent="0.3">
      <c r="A357" t="s">
        <v>400</v>
      </c>
      <c r="B357" t="s">
        <v>16</v>
      </c>
      <c r="C357" t="s">
        <v>17</v>
      </c>
      <c r="D357" t="s">
        <v>40</v>
      </c>
      <c r="E357" t="s">
        <v>41</v>
      </c>
      <c r="F357">
        <v>27</v>
      </c>
      <c r="G357" s="3">
        <v>483.96</v>
      </c>
      <c r="H357" s="1">
        <v>45741</v>
      </c>
      <c r="I357" s="1">
        <v>45754</v>
      </c>
      <c r="J357" s="3">
        <v>142.69999999999999</v>
      </c>
      <c r="K357" s="2">
        <f>Table4[[#This Row],[Stock-Quantity]]*Table4[[#This Row],[Unit-Price]]</f>
        <v>13066.92</v>
      </c>
      <c r="L357" s="2">
        <f>Table4[[#This Row],[Stock-Quantity]]*Table4[[#This Row],[Margin-Unit]]</f>
        <v>3852.8999999999996</v>
      </c>
      <c r="M357">
        <f>Table4[[#This Row],[Date-Sales]]-Table4[[#This Row],[Date-Received]]</f>
        <v>13</v>
      </c>
      <c r="N357" s="6">
        <f>Table4[[#This Row],[Margin-Unit]]/Table4[[#This Row],[Unit-Price]]</f>
        <v>0.29485907926274896</v>
      </c>
    </row>
    <row r="358" spans="1:14" x14ac:dyDescent="0.3">
      <c r="A358" t="s">
        <v>401</v>
      </c>
      <c r="B358" t="s">
        <v>37</v>
      </c>
      <c r="C358" t="s">
        <v>22</v>
      </c>
      <c r="D358" t="s">
        <v>30</v>
      </c>
      <c r="E358" t="s">
        <v>31</v>
      </c>
      <c r="F358">
        <v>153</v>
      </c>
      <c r="G358" s="3">
        <v>196.08</v>
      </c>
      <c r="H358" s="1">
        <v>45659</v>
      </c>
      <c r="I358" s="1">
        <v>45668</v>
      </c>
      <c r="J358" s="3">
        <v>34.6</v>
      </c>
      <c r="K358" s="2">
        <f>Table4[[#This Row],[Stock-Quantity]]*Table4[[#This Row],[Unit-Price]]</f>
        <v>30000.240000000002</v>
      </c>
      <c r="L358" s="2">
        <f>Table4[[#This Row],[Stock-Quantity]]*Table4[[#This Row],[Margin-Unit]]</f>
        <v>5293.8</v>
      </c>
      <c r="M358">
        <f>Table4[[#This Row],[Date-Sales]]-Table4[[#This Row],[Date-Received]]</f>
        <v>9</v>
      </c>
      <c r="N358" s="6">
        <f>Table4[[#This Row],[Margin-Unit]]/Table4[[#This Row],[Unit-Price]]</f>
        <v>0.17645858833129335</v>
      </c>
    </row>
    <row r="359" spans="1:14" x14ac:dyDescent="0.3">
      <c r="A359" t="s">
        <v>402</v>
      </c>
      <c r="B359" t="s">
        <v>52</v>
      </c>
      <c r="C359" t="s">
        <v>12</v>
      </c>
      <c r="D359" t="s">
        <v>40</v>
      </c>
      <c r="E359" t="s">
        <v>41</v>
      </c>
      <c r="F359">
        <v>374</v>
      </c>
      <c r="G359" s="3">
        <v>86.72</v>
      </c>
      <c r="H359" s="1">
        <v>45821</v>
      </c>
      <c r="I359" s="1">
        <v>45850</v>
      </c>
      <c r="J359" s="3">
        <v>18.13</v>
      </c>
      <c r="K359" s="2">
        <f>Table4[[#This Row],[Stock-Quantity]]*Table4[[#This Row],[Unit-Price]]</f>
        <v>32433.279999999999</v>
      </c>
      <c r="L359" s="2">
        <f>Table4[[#This Row],[Stock-Quantity]]*Table4[[#This Row],[Margin-Unit]]</f>
        <v>6780.62</v>
      </c>
      <c r="M359">
        <f>Table4[[#This Row],[Date-Sales]]-Table4[[#This Row],[Date-Received]]</f>
        <v>29</v>
      </c>
      <c r="N359" s="6">
        <f>Table4[[#This Row],[Margin-Unit]]/Table4[[#This Row],[Unit-Price]]</f>
        <v>0.20906365313653136</v>
      </c>
    </row>
    <row r="360" spans="1:14" x14ac:dyDescent="0.3">
      <c r="A360" t="s">
        <v>403</v>
      </c>
      <c r="B360" t="s">
        <v>24</v>
      </c>
      <c r="C360" t="s">
        <v>22</v>
      </c>
      <c r="D360" t="s">
        <v>40</v>
      </c>
      <c r="E360" t="s">
        <v>41</v>
      </c>
      <c r="F360">
        <v>246</v>
      </c>
      <c r="G360" s="3">
        <v>176.95</v>
      </c>
      <c r="H360" s="1">
        <v>45715</v>
      </c>
      <c r="I360" s="1">
        <v>45721</v>
      </c>
      <c r="J360" s="3">
        <v>30.7</v>
      </c>
      <c r="K360" s="2">
        <f>Table4[[#This Row],[Stock-Quantity]]*Table4[[#This Row],[Unit-Price]]</f>
        <v>43529.7</v>
      </c>
      <c r="L360" s="2">
        <f>Table4[[#This Row],[Stock-Quantity]]*Table4[[#This Row],[Margin-Unit]]</f>
        <v>7552.2</v>
      </c>
      <c r="M360">
        <f>Table4[[#This Row],[Date-Sales]]-Table4[[#This Row],[Date-Received]]</f>
        <v>6</v>
      </c>
      <c r="N360" s="6">
        <f>Table4[[#This Row],[Margin-Unit]]/Table4[[#This Row],[Unit-Price]]</f>
        <v>0.17349533766600736</v>
      </c>
    </row>
    <row r="361" spans="1:14" x14ac:dyDescent="0.3">
      <c r="A361" t="s">
        <v>404</v>
      </c>
      <c r="B361" t="s">
        <v>34</v>
      </c>
      <c r="C361" t="s">
        <v>35</v>
      </c>
      <c r="D361" t="s">
        <v>13</v>
      </c>
      <c r="E361" t="s">
        <v>14</v>
      </c>
      <c r="F361">
        <v>297</v>
      </c>
      <c r="G361" s="3">
        <v>115.09</v>
      </c>
      <c r="H361" s="1">
        <v>45776</v>
      </c>
      <c r="I361" s="1">
        <v>45788</v>
      </c>
      <c r="J361" s="3">
        <v>30.37</v>
      </c>
      <c r="K361" s="2">
        <f>Table4[[#This Row],[Stock-Quantity]]*Table4[[#This Row],[Unit-Price]]</f>
        <v>34181.730000000003</v>
      </c>
      <c r="L361" s="2">
        <f>Table4[[#This Row],[Stock-Quantity]]*Table4[[#This Row],[Margin-Unit]]</f>
        <v>9019.89</v>
      </c>
      <c r="M361">
        <f>Table4[[#This Row],[Date-Sales]]-Table4[[#This Row],[Date-Received]]</f>
        <v>12</v>
      </c>
      <c r="N361" s="6">
        <f>Table4[[#This Row],[Margin-Unit]]/Table4[[#This Row],[Unit-Price]]</f>
        <v>0.26388044139369188</v>
      </c>
    </row>
    <row r="362" spans="1:14" x14ac:dyDescent="0.3">
      <c r="A362" t="s">
        <v>405</v>
      </c>
      <c r="B362" t="s">
        <v>16</v>
      </c>
      <c r="C362" t="s">
        <v>17</v>
      </c>
      <c r="D362" t="s">
        <v>40</v>
      </c>
      <c r="E362" t="s">
        <v>41</v>
      </c>
      <c r="F362">
        <v>374</v>
      </c>
      <c r="G362" s="3">
        <v>451.39</v>
      </c>
      <c r="H362" s="1">
        <v>45810</v>
      </c>
      <c r="I362" s="1">
        <v>45834</v>
      </c>
      <c r="J362" s="3">
        <v>93.75</v>
      </c>
      <c r="K362" s="2">
        <f>Table4[[#This Row],[Stock-Quantity]]*Table4[[#This Row],[Unit-Price]]</f>
        <v>168819.86</v>
      </c>
      <c r="L362" s="2">
        <f>Table4[[#This Row],[Stock-Quantity]]*Table4[[#This Row],[Margin-Unit]]</f>
        <v>35062.5</v>
      </c>
      <c r="M362">
        <f>Table4[[#This Row],[Date-Sales]]-Table4[[#This Row],[Date-Received]]</f>
        <v>24</v>
      </c>
      <c r="N362" s="6">
        <f>Table4[[#This Row],[Margin-Unit]]/Table4[[#This Row],[Unit-Price]]</f>
        <v>0.20769179645096258</v>
      </c>
    </row>
    <row r="363" spans="1:14" x14ac:dyDescent="0.3">
      <c r="A363" t="s">
        <v>406</v>
      </c>
      <c r="B363" t="s">
        <v>43</v>
      </c>
      <c r="C363" t="s">
        <v>35</v>
      </c>
      <c r="D363" t="s">
        <v>18</v>
      </c>
      <c r="E363" t="s">
        <v>19</v>
      </c>
      <c r="F363">
        <v>119</v>
      </c>
      <c r="G363" s="3">
        <v>261.58999999999997</v>
      </c>
      <c r="H363" s="1">
        <v>45789</v>
      </c>
      <c r="I363" s="1">
        <v>45814</v>
      </c>
      <c r="J363" s="3">
        <v>62.08</v>
      </c>
      <c r="K363" s="2">
        <f>Table4[[#This Row],[Stock-Quantity]]*Table4[[#This Row],[Unit-Price]]</f>
        <v>31129.209999999995</v>
      </c>
      <c r="L363" s="2">
        <f>Table4[[#This Row],[Stock-Quantity]]*Table4[[#This Row],[Margin-Unit]]</f>
        <v>7387.5199999999995</v>
      </c>
      <c r="M363">
        <f>Table4[[#This Row],[Date-Sales]]-Table4[[#This Row],[Date-Received]]</f>
        <v>25</v>
      </c>
      <c r="N363" s="6">
        <f>Table4[[#This Row],[Margin-Unit]]/Table4[[#This Row],[Unit-Price]]</f>
        <v>0.23731794028823733</v>
      </c>
    </row>
    <row r="364" spans="1:14" x14ac:dyDescent="0.3">
      <c r="A364" t="s">
        <v>407</v>
      </c>
      <c r="B364" t="s">
        <v>37</v>
      </c>
      <c r="C364" t="s">
        <v>22</v>
      </c>
      <c r="D364" t="s">
        <v>25</v>
      </c>
      <c r="E364" t="s">
        <v>26</v>
      </c>
      <c r="F364">
        <v>173</v>
      </c>
      <c r="G364" s="3">
        <v>444.83</v>
      </c>
      <c r="H364" s="1">
        <v>45785</v>
      </c>
      <c r="I364" s="1">
        <v>45793</v>
      </c>
      <c r="J364" s="3">
        <v>51.96</v>
      </c>
      <c r="K364" s="2">
        <f>Table4[[#This Row],[Stock-Quantity]]*Table4[[#This Row],[Unit-Price]]</f>
        <v>76955.59</v>
      </c>
      <c r="L364" s="2">
        <f>Table4[[#This Row],[Stock-Quantity]]*Table4[[#This Row],[Margin-Unit]]</f>
        <v>8989.08</v>
      </c>
      <c r="M364">
        <f>Table4[[#This Row],[Date-Sales]]-Table4[[#This Row],[Date-Received]]</f>
        <v>8</v>
      </c>
      <c r="N364" s="6">
        <f>Table4[[#This Row],[Margin-Unit]]/Table4[[#This Row],[Unit-Price]]</f>
        <v>0.11680866848009352</v>
      </c>
    </row>
    <row r="365" spans="1:14" x14ac:dyDescent="0.3">
      <c r="A365" t="s">
        <v>408</v>
      </c>
      <c r="B365" t="s">
        <v>106</v>
      </c>
      <c r="C365" t="s">
        <v>17</v>
      </c>
      <c r="D365" t="s">
        <v>25</v>
      </c>
      <c r="E365" t="s">
        <v>26</v>
      </c>
      <c r="F365">
        <v>467</v>
      </c>
      <c r="G365" s="3">
        <v>195.43</v>
      </c>
      <c r="H365" s="1">
        <v>45797</v>
      </c>
      <c r="I365" s="1">
        <v>45826</v>
      </c>
      <c r="J365" s="3">
        <v>32.67</v>
      </c>
      <c r="K365" s="2">
        <f>Table4[[#This Row],[Stock-Quantity]]*Table4[[#This Row],[Unit-Price]]</f>
        <v>91265.81</v>
      </c>
      <c r="L365" s="2">
        <f>Table4[[#This Row],[Stock-Quantity]]*Table4[[#This Row],[Margin-Unit]]</f>
        <v>15256.890000000001</v>
      </c>
      <c r="M365">
        <f>Table4[[#This Row],[Date-Sales]]-Table4[[#This Row],[Date-Received]]</f>
        <v>29</v>
      </c>
      <c r="N365" s="6">
        <f>Table4[[#This Row],[Margin-Unit]]/Table4[[#This Row],[Unit-Price]]</f>
        <v>0.16716983062989305</v>
      </c>
    </row>
    <row r="366" spans="1:14" x14ac:dyDescent="0.3">
      <c r="A366" t="s">
        <v>409</v>
      </c>
      <c r="B366" t="s">
        <v>16</v>
      </c>
      <c r="C366" t="s">
        <v>17</v>
      </c>
      <c r="D366" t="s">
        <v>25</v>
      </c>
      <c r="E366" t="s">
        <v>26</v>
      </c>
      <c r="F366">
        <v>126</v>
      </c>
      <c r="G366" s="3">
        <v>48.07</v>
      </c>
      <c r="H366" s="1">
        <v>45668</v>
      </c>
      <c r="I366" s="1">
        <v>45692</v>
      </c>
      <c r="J366" s="3">
        <v>10.38</v>
      </c>
      <c r="K366" s="2">
        <f>Table4[[#This Row],[Stock-Quantity]]*Table4[[#This Row],[Unit-Price]]</f>
        <v>6056.82</v>
      </c>
      <c r="L366" s="2">
        <f>Table4[[#This Row],[Stock-Quantity]]*Table4[[#This Row],[Margin-Unit]]</f>
        <v>1307.8800000000001</v>
      </c>
      <c r="M366">
        <f>Table4[[#This Row],[Date-Sales]]-Table4[[#This Row],[Date-Received]]</f>
        <v>24</v>
      </c>
      <c r="N366" s="6">
        <f>Table4[[#This Row],[Margin-Unit]]/Table4[[#This Row],[Unit-Price]]</f>
        <v>0.21593509465363014</v>
      </c>
    </row>
    <row r="367" spans="1:14" x14ac:dyDescent="0.3">
      <c r="A367" t="s">
        <v>410</v>
      </c>
      <c r="B367" t="s">
        <v>63</v>
      </c>
      <c r="C367" t="s">
        <v>35</v>
      </c>
      <c r="D367" t="s">
        <v>30</v>
      </c>
      <c r="E367" t="s">
        <v>31</v>
      </c>
      <c r="F367">
        <v>83</v>
      </c>
      <c r="G367" s="3">
        <v>309.14999999999998</v>
      </c>
      <c r="H367" s="1">
        <v>45671</v>
      </c>
      <c r="I367" s="1">
        <v>45673</v>
      </c>
      <c r="J367" s="3">
        <v>86.92</v>
      </c>
      <c r="K367" s="2">
        <f>Table4[[#This Row],[Stock-Quantity]]*Table4[[#This Row],[Unit-Price]]</f>
        <v>25659.449999999997</v>
      </c>
      <c r="L367" s="2">
        <f>Table4[[#This Row],[Stock-Quantity]]*Table4[[#This Row],[Margin-Unit]]</f>
        <v>7214.3600000000006</v>
      </c>
      <c r="M367">
        <f>Table4[[#This Row],[Date-Sales]]-Table4[[#This Row],[Date-Received]]</f>
        <v>2</v>
      </c>
      <c r="N367" s="6">
        <f>Table4[[#This Row],[Margin-Unit]]/Table4[[#This Row],[Unit-Price]]</f>
        <v>0.28115801390910566</v>
      </c>
    </row>
    <row r="368" spans="1:14" x14ac:dyDescent="0.3">
      <c r="A368" t="s">
        <v>411</v>
      </c>
      <c r="B368" t="s">
        <v>16</v>
      </c>
      <c r="C368" t="s">
        <v>17</v>
      </c>
      <c r="D368" t="s">
        <v>13</v>
      </c>
      <c r="E368" t="s">
        <v>14</v>
      </c>
      <c r="F368">
        <v>290</v>
      </c>
      <c r="G368" s="3">
        <v>317.35000000000002</v>
      </c>
      <c r="H368" s="1">
        <v>45753</v>
      </c>
      <c r="I368" s="1">
        <v>45759</v>
      </c>
      <c r="J368" s="3">
        <v>49.23</v>
      </c>
      <c r="K368" s="2">
        <f>Table4[[#This Row],[Stock-Quantity]]*Table4[[#This Row],[Unit-Price]]</f>
        <v>92031.5</v>
      </c>
      <c r="L368" s="2">
        <f>Table4[[#This Row],[Stock-Quantity]]*Table4[[#This Row],[Margin-Unit]]</f>
        <v>14276.699999999999</v>
      </c>
      <c r="M368">
        <f>Table4[[#This Row],[Date-Sales]]-Table4[[#This Row],[Date-Received]]</f>
        <v>6</v>
      </c>
      <c r="N368" s="6">
        <f>Table4[[#This Row],[Margin-Unit]]/Table4[[#This Row],[Unit-Price]]</f>
        <v>0.15512840712147469</v>
      </c>
    </row>
    <row r="369" spans="1:14" x14ac:dyDescent="0.3">
      <c r="A369" t="s">
        <v>412</v>
      </c>
      <c r="B369" t="s">
        <v>43</v>
      </c>
      <c r="C369" t="s">
        <v>35</v>
      </c>
      <c r="D369" t="s">
        <v>40</v>
      </c>
      <c r="E369" t="s">
        <v>41</v>
      </c>
      <c r="F369">
        <v>418</v>
      </c>
      <c r="G369" s="3">
        <v>454.87</v>
      </c>
      <c r="H369" s="1">
        <v>45736</v>
      </c>
      <c r="I369" s="1">
        <v>45737</v>
      </c>
      <c r="J369" s="3">
        <v>132.26</v>
      </c>
      <c r="K369" s="2">
        <f>Table4[[#This Row],[Stock-Quantity]]*Table4[[#This Row],[Unit-Price]]</f>
        <v>190135.66</v>
      </c>
      <c r="L369" s="2">
        <f>Table4[[#This Row],[Stock-Quantity]]*Table4[[#This Row],[Margin-Unit]]</f>
        <v>55284.679999999993</v>
      </c>
      <c r="M369">
        <f>Table4[[#This Row],[Date-Sales]]-Table4[[#This Row],[Date-Received]]</f>
        <v>1</v>
      </c>
      <c r="N369" s="6">
        <f>Table4[[#This Row],[Margin-Unit]]/Table4[[#This Row],[Unit-Price]]</f>
        <v>0.29076439422252509</v>
      </c>
    </row>
    <row r="370" spans="1:14" x14ac:dyDescent="0.3">
      <c r="A370" t="s">
        <v>413</v>
      </c>
      <c r="B370" t="s">
        <v>50</v>
      </c>
      <c r="C370" t="s">
        <v>17</v>
      </c>
      <c r="D370" t="s">
        <v>18</v>
      </c>
      <c r="E370" t="s">
        <v>19</v>
      </c>
      <c r="F370">
        <v>408</v>
      </c>
      <c r="G370" s="3">
        <v>49.98</v>
      </c>
      <c r="H370" s="1">
        <v>45735</v>
      </c>
      <c r="I370" s="1">
        <v>45747</v>
      </c>
      <c r="J370" s="3">
        <v>7.56</v>
      </c>
      <c r="K370" s="2">
        <f>Table4[[#This Row],[Stock-Quantity]]*Table4[[#This Row],[Unit-Price]]</f>
        <v>20391.84</v>
      </c>
      <c r="L370" s="2">
        <f>Table4[[#This Row],[Stock-Quantity]]*Table4[[#This Row],[Margin-Unit]]</f>
        <v>3084.48</v>
      </c>
      <c r="M370">
        <f>Table4[[#This Row],[Date-Sales]]-Table4[[#This Row],[Date-Received]]</f>
        <v>12</v>
      </c>
      <c r="N370" s="6">
        <f>Table4[[#This Row],[Margin-Unit]]/Table4[[#This Row],[Unit-Price]]</f>
        <v>0.15126050420168066</v>
      </c>
    </row>
    <row r="371" spans="1:14" x14ac:dyDescent="0.3">
      <c r="A371" t="s">
        <v>414</v>
      </c>
      <c r="B371" t="s">
        <v>65</v>
      </c>
      <c r="C371" t="s">
        <v>22</v>
      </c>
      <c r="D371" t="s">
        <v>40</v>
      </c>
      <c r="E371" t="s">
        <v>41</v>
      </c>
      <c r="F371">
        <v>450</v>
      </c>
      <c r="G371" s="3">
        <v>468.98</v>
      </c>
      <c r="H371" s="1">
        <v>45729</v>
      </c>
      <c r="I371" s="1">
        <v>45751</v>
      </c>
      <c r="J371" s="3">
        <v>101.34</v>
      </c>
      <c r="K371" s="2">
        <f>Table4[[#This Row],[Stock-Quantity]]*Table4[[#This Row],[Unit-Price]]</f>
        <v>211041</v>
      </c>
      <c r="L371" s="2">
        <f>Table4[[#This Row],[Stock-Quantity]]*Table4[[#This Row],[Margin-Unit]]</f>
        <v>45603</v>
      </c>
      <c r="M371">
        <f>Table4[[#This Row],[Date-Sales]]-Table4[[#This Row],[Date-Received]]</f>
        <v>22</v>
      </c>
      <c r="N371" s="6">
        <f>Table4[[#This Row],[Margin-Unit]]/Table4[[#This Row],[Unit-Price]]</f>
        <v>0.21608597381551453</v>
      </c>
    </row>
    <row r="372" spans="1:14" x14ac:dyDescent="0.3">
      <c r="A372" t="s">
        <v>415</v>
      </c>
      <c r="B372" t="s">
        <v>47</v>
      </c>
      <c r="C372" t="s">
        <v>17</v>
      </c>
      <c r="D372" t="s">
        <v>13</v>
      </c>
      <c r="E372" t="s">
        <v>14</v>
      </c>
      <c r="F372">
        <v>321</v>
      </c>
      <c r="G372" s="3">
        <v>46.68</v>
      </c>
      <c r="H372" s="1">
        <v>45702</v>
      </c>
      <c r="I372" s="1">
        <v>45707</v>
      </c>
      <c r="J372" s="3">
        <v>6.23</v>
      </c>
      <c r="K372" s="2">
        <f>Table4[[#This Row],[Stock-Quantity]]*Table4[[#This Row],[Unit-Price]]</f>
        <v>14984.28</v>
      </c>
      <c r="L372" s="2">
        <f>Table4[[#This Row],[Stock-Quantity]]*Table4[[#This Row],[Margin-Unit]]</f>
        <v>1999.8300000000002</v>
      </c>
      <c r="M372">
        <f>Table4[[#This Row],[Date-Sales]]-Table4[[#This Row],[Date-Received]]</f>
        <v>5</v>
      </c>
      <c r="N372" s="6">
        <f>Table4[[#This Row],[Margin-Unit]]/Table4[[#This Row],[Unit-Price]]</f>
        <v>0.13346186803770352</v>
      </c>
    </row>
    <row r="373" spans="1:14" x14ac:dyDescent="0.3">
      <c r="A373" t="s">
        <v>416</v>
      </c>
      <c r="B373" t="s">
        <v>65</v>
      </c>
      <c r="C373" t="s">
        <v>22</v>
      </c>
      <c r="D373" t="s">
        <v>30</v>
      </c>
      <c r="E373" t="s">
        <v>31</v>
      </c>
      <c r="F373">
        <v>23</v>
      </c>
      <c r="G373" s="3">
        <v>404.88</v>
      </c>
      <c r="H373" s="1">
        <v>45837</v>
      </c>
      <c r="I373" s="1">
        <v>45842</v>
      </c>
      <c r="J373" s="3">
        <v>70.650000000000006</v>
      </c>
      <c r="K373" s="2">
        <f>Table4[[#This Row],[Stock-Quantity]]*Table4[[#This Row],[Unit-Price]]</f>
        <v>9312.24</v>
      </c>
      <c r="L373" s="2">
        <f>Table4[[#This Row],[Stock-Quantity]]*Table4[[#This Row],[Margin-Unit]]</f>
        <v>1624.95</v>
      </c>
      <c r="M373">
        <f>Table4[[#This Row],[Date-Sales]]-Table4[[#This Row],[Date-Received]]</f>
        <v>5</v>
      </c>
      <c r="N373" s="6">
        <f>Table4[[#This Row],[Margin-Unit]]/Table4[[#This Row],[Unit-Price]]</f>
        <v>0.17449614700652047</v>
      </c>
    </row>
    <row r="374" spans="1:14" x14ac:dyDescent="0.3">
      <c r="A374" t="s">
        <v>417</v>
      </c>
      <c r="B374" t="s">
        <v>11</v>
      </c>
      <c r="C374" t="s">
        <v>12</v>
      </c>
      <c r="D374" t="s">
        <v>40</v>
      </c>
      <c r="E374" t="s">
        <v>41</v>
      </c>
      <c r="F374">
        <v>342</v>
      </c>
      <c r="G374" s="3">
        <v>65.52</v>
      </c>
      <c r="H374" s="1">
        <v>45699</v>
      </c>
      <c r="I374" s="1">
        <v>45705</v>
      </c>
      <c r="J374" s="3">
        <v>8.84</v>
      </c>
      <c r="K374" s="2">
        <f>Table4[[#This Row],[Stock-Quantity]]*Table4[[#This Row],[Unit-Price]]</f>
        <v>22407.84</v>
      </c>
      <c r="L374" s="2">
        <f>Table4[[#This Row],[Stock-Quantity]]*Table4[[#This Row],[Margin-Unit]]</f>
        <v>3023.2799999999997</v>
      </c>
      <c r="M374">
        <f>Table4[[#This Row],[Date-Sales]]-Table4[[#This Row],[Date-Received]]</f>
        <v>6</v>
      </c>
      <c r="N374" s="6">
        <f>Table4[[#This Row],[Margin-Unit]]/Table4[[#This Row],[Unit-Price]]</f>
        <v>0.13492063492063491</v>
      </c>
    </row>
    <row r="375" spans="1:14" x14ac:dyDescent="0.3">
      <c r="A375" t="s">
        <v>418</v>
      </c>
      <c r="B375" t="s">
        <v>65</v>
      </c>
      <c r="C375" t="s">
        <v>22</v>
      </c>
      <c r="D375" t="s">
        <v>30</v>
      </c>
      <c r="E375" t="s">
        <v>31</v>
      </c>
      <c r="F375">
        <v>121</v>
      </c>
      <c r="G375" s="3">
        <v>171.08</v>
      </c>
      <c r="H375" s="1">
        <v>45738</v>
      </c>
      <c r="I375" s="1">
        <v>45741</v>
      </c>
      <c r="J375" s="3">
        <v>24.47</v>
      </c>
      <c r="K375" s="2">
        <f>Table4[[#This Row],[Stock-Quantity]]*Table4[[#This Row],[Unit-Price]]</f>
        <v>20700.68</v>
      </c>
      <c r="L375" s="2">
        <f>Table4[[#This Row],[Stock-Quantity]]*Table4[[#This Row],[Margin-Unit]]</f>
        <v>2960.87</v>
      </c>
      <c r="M375">
        <f>Table4[[#This Row],[Date-Sales]]-Table4[[#This Row],[Date-Received]]</f>
        <v>3</v>
      </c>
      <c r="N375" s="6">
        <f>Table4[[#This Row],[Margin-Unit]]/Table4[[#This Row],[Unit-Price]]</f>
        <v>0.14303249941547813</v>
      </c>
    </row>
    <row r="376" spans="1:14" x14ac:dyDescent="0.3">
      <c r="A376" t="s">
        <v>419</v>
      </c>
      <c r="B376" t="s">
        <v>50</v>
      </c>
      <c r="C376" t="s">
        <v>17</v>
      </c>
      <c r="D376" t="s">
        <v>13</v>
      </c>
      <c r="E376" t="s">
        <v>14</v>
      </c>
      <c r="F376">
        <v>341</v>
      </c>
      <c r="G376" s="3">
        <v>150.05000000000001</v>
      </c>
      <c r="H376" s="1">
        <v>45724</v>
      </c>
      <c r="I376" s="1">
        <v>45747</v>
      </c>
      <c r="J376" s="3">
        <v>15.31</v>
      </c>
      <c r="K376" s="2">
        <f>Table4[[#This Row],[Stock-Quantity]]*Table4[[#This Row],[Unit-Price]]</f>
        <v>51167.05</v>
      </c>
      <c r="L376" s="2">
        <f>Table4[[#This Row],[Stock-Quantity]]*Table4[[#This Row],[Margin-Unit]]</f>
        <v>5220.71</v>
      </c>
      <c r="M376">
        <f>Table4[[#This Row],[Date-Sales]]-Table4[[#This Row],[Date-Received]]</f>
        <v>23</v>
      </c>
      <c r="N376" s="6">
        <f>Table4[[#This Row],[Margin-Unit]]/Table4[[#This Row],[Unit-Price]]</f>
        <v>0.10203265578140619</v>
      </c>
    </row>
    <row r="377" spans="1:14" x14ac:dyDescent="0.3">
      <c r="A377" t="s">
        <v>420</v>
      </c>
      <c r="B377" t="s">
        <v>28</v>
      </c>
      <c r="C377" t="s">
        <v>29</v>
      </c>
      <c r="D377" t="s">
        <v>13</v>
      </c>
      <c r="E377" t="s">
        <v>14</v>
      </c>
      <c r="F377">
        <v>371</v>
      </c>
      <c r="G377" s="3">
        <v>465.63</v>
      </c>
      <c r="H377" s="1">
        <v>45804</v>
      </c>
      <c r="I377" s="1">
        <v>45820</v>
      </c>
      <c r="J377" s="3">
        <v>52.09</v>
      </c>
      <c r="K377" s="2">
        <f>Table4[[#This Row],[Stock-Quantity]]*Table4[[#This Row],[Unit-Price]]</f>
        <v>172748.73</v>
      </c>
      <c r="L377" s="2">
        <f>Table4[[#This Row],[Stock-Quantity]]*Table4[[#This Row],[Margin-Unit]]</f>
        <v>19325.390000000003</v>
      </c>
      <c r="M377">
        <f>Table4[[#This Row],[Date-Sales]]-Table4[[#This Row],[Date-Received]]</f>
        <v>16</v>
      </c>
      <c r="N377" s="6">
        <f>Table4[[#This Row],[Margin-Unit]]/Table4[[#This Row],[Unit-Price]]</f>
        <v>0.11186993965165476</v>
      </c>
    </row>
    <row r="378" spans="1:14" x14ac:dyDescent="0.3">
      <c r="A378" t="s">
        <v>421</v>
      </c>
      <c r="B378" t="s">
        <v>37</v>
      </c>
      <c r="C378" t="s">
        <v>22</v>
      </c>
      <c r="D378" t="s">
        <v>18</v>
      </c>
      <c r="E378" t="s">
        <v>19</v>
      </c>
      <c r="F378">
        <v>336</v>
      </c>
      <c r="G378" s="3">
        <v>228.71</v>
      </c>
      <c r="H378" s="1">
        <v>45710</v>
      </c>
      <c r="I378" s="1">
        <v>45713</v>
      </c>
      <c r="J378" s="3">
        <v>55.85</v>
      </c>
      <c r="K378" s="2">
        <f>Table4[[#This Row],[Stock-Quantity]]*Table4[[#This Row],[Unit-Price]]</f>
        <v>76846.559999999998</v>
      </c>
      <c r="L378" s="2">
        <f>Table4[[#This Row],[Stock-Quantity]]*Table4[[#This Row],[Margin-Unit]]</f>
        <v>18765.600000000002</v>
      </c>
      <c r="M378">
        <f>Table4[[#This Row],[Date-Sales]]-Table4[[#This Row],[Date-Received]]</f>
        <v>3</v>
      </c>
      <c r="N378" s="6">
        <f>Table4[[#This Row],[Margin-Unit]]/Table4[[#This Row],[Unit-Price]]</f>
        <v>0.24419570635302348</v>
      </c>
    </row>
    <row r="379" spans="1:14" x14ac:dyDescent="0.3">
      <c r="A379" t="s">
        <v>422</v>
      </c>
      <c r="B379" t="s">
        <v>21</v>
      </c>
      <c r="C379" t="s">
        <v>22</v>
      </c>
      <c r="D379" t="s">
        <v>25</v>
      </c>
      <c r="E379" t="s">
        <v>26</v>
      </c>
      <c r="F379">
        <v>353</v>
      </c>
      <c r="G379" s="3">
        <v>172.33</v>
      </c>
      <c r="H379" s="1">
        <v>45805</v>
      </c>
      <c r="I379" s="1">
        <v>45828</v>
      </c>
      <c r="J379" s="3">
        <v>21.45</v>
      </c>
      <c r="K379" s="2">
        <f>Table4[[#This Row],[Stock-Quantity]]*Table4[[#This Row],[Unit-Price]]</f>
        <v>60832.490000000005</v>
      </c>
      <c r="L379" s="2">
        <f>Table4[[#This Row],[Stock-Quantity]]*Table4[[#This Row],[Margin-Unit]]</f>
        <v>7571.8499999999995</v>
      </c>
      <c r="M379">
        <f>Table4[[#This Row],[Date-Sales]]-Table4[[#This Row],[Date-Received]]</f>
        <v>23</v>
      </c>
      <c r="N379" s="6">
        <f>Table4[[#This Row],[Margin-Unit]]/Table4[[#This Row],[Unit-Price]]</f>
        <v>0.12447049265943247</v>
      </c>
    </row>
    <row r="380" spans="1:14" x14ac:dyDescent="0.3">
      <c r="A380" t="s">
        <v>423</v>
      </c>
      <c r="B380" t="s">
        <v>116</v>
      </c>
      <c r="C380" t="s">
        <v>12</v>
      </c>
      <c r="D380" t="s">
        <v>30</v>
      </c>
      <c r="E380" t="s">
        <v>31</v>
      </c>
      <c r="F380">
        <v>235</v>
      </c>
      <c r="G380" s="3">
        <v>89.2</v>
      </c>
      <c r="H380" s="1">
        <v>45733</v>
      </c>
      <c r="I380" s="1">
        <v>45735</v>
      </c>
      <c r="J380" s="3">
        <v>13.91</v>
      </c>
      <c r="K380" s="2">
        <f>Table4[[#This Row],[Stock-Quantity]]*Table4[[#This Row],[Unit-Price]]</f>
        <v>20962</v>
      </c>
      <c r="L380" s="2">
        <f>Table4[[#This Row],[Stock-Quantity]]*Table4[[#This Row],[Margin-Unit]]</f>
        <v>3268.85</v>
      </c>
      <c r="M380">
        <f>Table4[[#This Row],[Date-Sales]]-Table4[[#This Row],[Date-Received]]</f>
        <v>2</v>
      </c>
      <c r="N380" s="6">
        <f>Table4[[#This Row],[Margin-Unit]]/Table4[[#This Row],[Unit-Price]]</f>
        <v>0.15594170403587443</v>
      </c>
    </row>
    <row r="381" spans="1:14" x14ac:dyDescent="0.3">
      <c r="A381" t="s">
        <v>424</v>
      </c>
      <c r="B381" t="s">
        <v>34</v>
      </c>
      <c r="C381" t="s">
        <v>35</v>
      </c>
      <c r="D381" t="s">
        <v>25</v>
      </c>
      <c r="E381" t="s">
        <v>26</v>
      </c>
      <c r="F381">
        <v>279</v>
      </c>
      <c r="G381" s="3">
        <v>248.12</v>
      </c>
      <c r="H381" s="1">
        <v>45768</v>
      </c>
      <c r="I381" s="1">
        <v>45778</v>
      </c>
      <c r="J381" s="3">
        <v>29.57</v>
      </c>
      <c r="K381" s="2">
        <f>Table4[[#This Row],[Stock-Quantity]]*Table4[[#This Row],[Unit-Price]]</f>
        <v>69225.48</v>
      </c>
      <c r="L381" s="2">
        <f>Table4[[#This Row],[Stock-Quantity]]*Table4[[#This Row],[Margin-Unit]]</f>
        <v>8250.0300000000007</v>
      </c>
      <c r="M381">
        <f>Table4[[#This Row],[Date-Sales]]-Table4[[#This Row],[Date-Received]]</f>
        <v>10</v>
      </c>
      <c r="N381" s="6">
        <f>Table4[[#This Row],[Margin-Unit]]/Table4[[#This Row],[Unit-Price]]</f>
        <v>0.11917620506206673</v>
      </c>
    </row>
    <row r="382" spans="1:14" x14ac:dyDescent="0.3">
      <c r="A382" t="s">
        <v>425</v>
      </c>
      <c r="B382" t="s">
        <v>11</v>
      </c>
      <c r="C382" t="s">
        <v>12</v>
      </c>
      <c r="D382" t="s">
        <v>40</v>
      </c>
      <c r="E382" t="s">
        <v>41</v>
      </c>
      <c r="F382">
        <v>86</v>
      </c>
      <c r="G382" s="3">
        <v>474.98</v>
      </c>
      <c r="H382" s="1">
        <v>45772</v>
      </c>
      <c r="I382" s="1">
        <v>45795</v>
      </c>
      <c r="J382" s="3">
        <v>113.05</v>
      </c>
      <c r="K382" s="2">
        <f>Table4[[#This Row],[Stock-Quantity]]*Table4[[#This Row],[Unit-Price]]</f>
        <v>40848.28</v>
      </c>
      <c r="L382" s="2">
        <f>Table4[[#This Row],[Stock-Quantity]]*Table4[[#This Row],[Margin-Unit]]</f>
        <v>9722.2999999999993</v>
      </c>
      <c r="M382">
        <f>Table4[[#This Row],[Date-Sales]]-Table4[[#This Row],[Date-Received]]</f>
        <v>23</v>
      </c>
      <c r="N382" s="6">
        <f>Table4[[#This Row],[Margin-Unit]]/Table4[[#This Row],[Unit-Price]]</f>
        <v>0.23801002147458838</v>
      </c>
    </row>
    <row r="383" spans="1:14" x14ac:dyDescent="0.3">
      <c r="A383" t="s">
        <v>426</v>
      </c>
      <c r="B383" t="s">
        <v>80</v>
      </c>
      <c r="C383" t="s">
        <v>29</v>
      </c>
      <c r="D383" t="s">
        <v>18</v>
      </c>
      <c r="E383" t="s">
        <v>19</v>
      </c>
      <c r="F383">
        <v>48</v>
      </c>
      <c r="G383" s="3">
        <v>305.95999999999998</v>
      </c>
      <c r="H383" s="1">
        <v>45756</v>
      </c>
      <c r="I383" s="1">
        <v>45765</v>
      </c>
      <c r="J383" s="3">
        <v>64.45</v>
      </c>
      <c r="K383" s="2">
        <f>Table4[[#This Row],[Stock-Quantity]]*Table4[[#This Row],[Unit-Price]]</f>
        <v>14686.079999999998</v>
      </c>
      <c r="L383" s="2">
        <f>Table4[[#This Row],[Stock-Quantity]]*Table4[[#This Row],[Margin-Unit]]</f>
        <v>3093.6000000000004</v>
      </c>
      <c r="M383">
        <f>Table4[[#This Row],[Date-Sales]]-Table4[[#This Row],[Date-Received]]</f>
        <v>9</v>
      </c>
      <c r="N383" s="6">
        <f>Table4[[#This Row],[Margin-Unit]]/Table4[[#This Row],[Unit-Price]]</f>
        <v>0.2106484507778795</v>
      </c>
    </row>
    <row r="384" spans="1:14" x14ac:dyDescent="0.3">
      <c r="A384" t="s">
        <v>427</v>
      </c>
      <c r="B384" t="s">
        <v>28</v>
      </c>
      <c r="C384" t="s">
        <v>29</v>
      </c>
      <c r="D384" t="s">
        <v>30</v>
      </c>
      <c r="E384" t="s">
        <v>31</v>
      </c>
      <c r="F384">
        <v>339</v>
      </c>
      <c r="G384" s="3">
        <v>179.49</v>
      </c>
      <c r="H384" s="1">
        <v>45783</v>
      </c>
      <c r="I384" s="1">
        <v>45803</v>
      </c>
      <c r="J384" s="3">
        <v>32.83</v>
      </c>
      <c r="K384" s="2">
        <f>Table4[[#This Row],[Stock-Quantity]]*Table4[[#This Row],[Unit-Price]]</f>
        <v>60847.11</v>
      </c>
      <c r="L384" s="2">
        <f>Table4[[#This Row],[Stock-Quantity]]*Table4[[#This Row],[Margin-Unit]]</f>
        <v>11129.369999999999</v>
      </c>
      <c r="M384">
        <f>Table4[[#This Row],[Date-Sales]]-Table4[[#This Row],[Date-Received]]</f>
        <v>20</v>
      </c>
      <c r="N384" s="6">
        <f>Table4[[#This Row],[Margin-Unit]]/Table4[[#This Row],[Unit-Price]]</f>
        <v>0.18290712574516685</v>
      </c>
    </row>
    <row r="385" spans="1:14" x14ac:dyDescent="0.3">
      <c r="A385" t="s">
        <v>428</v>
      </c>
      <c r="B385" t="s">
        <v>52</v>
      </c>
      <c r="C385" t="s">
        <v>12</v>
      </c>
      <c r="D385" t="s">
        <v>30</v>
      </c>
      <c r="E385" t="s">
        <v>31</v>
      </c>
      <c r="F385">
        <v>139</v>
      </c>
      <c r="G385" s="3">
        <v>58.04</v>
      </c>
      <c r="H385" s="1">
        <v>45761</v>
      </c>
      <c r="I385" s="1">
        <v>45786</v>
      </c>
      <c r="J385" s="3">
        <v>10.58</v>
      </c>
      <c r="K385" s="2">
        <f>Table4[[#This Row],[Stock-Quantity]]*Table4[[#This Row],[Unit-Price]]</f>
        <v>8067.5599999999995</v>
      </c>
      <c r="L385" s="2">
        <f>Table4[[#This Row],[Stock-Quantity]]*Table4[[#This Row],[Margin-Unit]]</f>
        <v>1470.6200000000001</v>
      </c>
      <c r="M385">
        <f>Table4[[#This Row],[Date-Sales]]-Table4[[#This Row],[Date-Received]]</f>
        <v>25</v>
      </c>
      <c r="N385" s="6">
        <f>Table4[[#This Row],[Margin-Unit]]/Table4[[#This Row],[Unit-Price]]</f>
        <v>0.1822880771881461</v>
      </c>
    </row>
    <row r="386" spans="1:14" x14ac:dyDescent="0.3">
      <c r="A386" t="s">
        <v>429</v>
      </c>
      <c r="B386" t="s">
        <v>65</v>
      </c>
      <c r="C386" t="s">
        <v>22</v>
      </c>
      <c r="D386" t="s">
        <v>18</v>
      </c>
      <c r="E386" t="s">
        <v>19</v>
      </c>
      <c r="F386">
        <v>470</v>
      </c>
      <c r="G386" s="3">
        <v>257.29000000000002</v>
      </c>
      <c r="H386" s="1">
        <v>45778</v>
      </c>
      <c r="I386" s="1">
        <v>45785</v>
      </c>
      <c r="J386" s="3">
        <v>54.03</v>
      </c>
      <c r="K386" s="2">
        <f>Table4[[#This Row],[Stock-Quantity]]*Table4[[#This Row],[Unit-Price]]</f>
        <v>120926.3</v>
      </c>
      <c r="L386" s="2">
        <f>Table4[[#This Row],[Stock-Quantity]]*Table4[[#This Row],[Margin-Unit]]</f>
        <v>25394.100000000002</v>
      </c>
      <c r="M386">
        <f>Table4[[#This Row],[Date-Sales]]-Table4[[#This Row],[Date-Received]]</f>
        <v>7</v>
      </c>
      <c r="N386" s="6">
        <f>Table4[[#This Row],[Margin-Unit]]/Table4[[#This Row],[Unit-Price]]</f>
        <v>0.20999650200163239</v>
      </c>
    </row>
    <row r="387" spans="1:14" x14ac:dyDescent="0.3">
      <c r="A387" t="s">
        <v>430</v>
      </c>
      <c r="B387" t="s">
        <v>11</v>
      </c>
      <c r="C387" t="s">
        <v>12</v>
      </c>
      <c r="D387" t="s">
        <v>30</v>
      </c>
      <c r="E387" t="s">
        <v>31</v>
      </c>
      <c r="F387">
        <v>210</v>
      </c>
      <c r="G387" s="3">
        <v>338.32</v>
      </c>
      <c r="H387" s="1">
        <v>45777</v>
      </c>
      <c r="I387" s="1">
        <v>45807</v>
      </c>
      <c r="J387" s="3">
        <v>74.02</v>
      </c>
      <c r="K387" s="2">
        <f>Table4[[#This Row],[Stock-Quantity]]*Table4[[#This Row],[Unit-Price]]</f>
        <v>71047.199999999997</v>
      </c>
      <c r="L387" s="2">
        <f>Table4[[#This Row],[Stock-Quantity]]*Table4[[#This Row],[Margin-Unit]]</f>
        <v>15544.199999999999</v>
      </c>
      <c r="M387">
        <f>Table4[[#This Row],[Date-Sales]]-Table4[[#This Row],[Date-Received]]</f>
        <v>30</v>
      </c>
      <c r="N387" s="6">
        <f>Table4[[#This Row],[Margin-Unit]]/Table4[[#This Row],[Unit-Price]]</f>
        <v>0.21878694726885789</v>
      </c>
    </row>
    <row r="388" spans="1:14" x14ac:dyDescent="0.3">
      <c r="A388" t="s">
        <v>431</v>
      </c>
      <c r="B388" t="s">
        <v>39</v>
      </c>
      <c r="C388" t="s">
        <v>12</v>
      </c>
      <c r="D388" t="s">
        <v>18</v>
      </c>
      <c r="E388" t="s">
        <v>19</v>
      </c>
      <c r="F388">
        <v>80</v>
      </c>
      <c r="G388" s="3">
        <v>115.46</v>
      </c>
      <c r="H388" s="1">
        <v>45749</v>
      </c>
      <c r="I388" s="1">
        <v>45766</v>
      </c>
      <c r="J388" s="3">
        <v>21.55</v>
      </c>
      <c r="K388" s="2">
        <f>Table4[[#This Row],[Stock-Quantity]]*Table4[[#This Row],[Unit-Price]]</f>
        <v>9236.7999999999993</v>
      </c>
      <c r="L388" s="2">
        <f>Table4[[#This Row],[Stock-Quantity]]*Table4[[#This Row],[Margin-Unit]]</f>
        <v>1724</v>
      </c>
      <c r="M388">
        <f>Table4[[#This Row],[Date-Sales]]-Table4[[#This Row],[Date-Received]]</f>
        <v>17</v>
      </c>
      <c r="N388" s="6">
        <f>Table4[[#This Row],[Margin-Unit]]/Table4[[#This Row],[Unit-Price]]</f>
        <v>0.18664472544604194</v>
      </c>
    </row>
    <row r="389" spans="1:14" x14ac:dyDescent="0.3">
      <c r="A389" t="s">
        <v>432</v>
      </c>
      <c r="B389" t="s">
        <v>74</v>
      </c>
      <c r="C389" t="s">
        <v>29</v>
      </c>
      <c r="D389" t="s">
        <v>18</v>
      </c>
      <c r="E389" t="s">
        <v>19</v>
      </c>
      <c r="F389">
        <v>45</v>
      </c>
      <c r="G389" s="3">
        <v>342.3</v>
      </c>
      <c r="H389" s="1">
        <v>45815</v>
      </c>
      <c r="I389" s="1">
        <v>45842</v>
      </c>
      <c r="J389" s="3">
        <v>98.59</v>
      </c>
      <c r="K389" s="2">
        <f>Table4[[#This Row],[Stock-Quantity]]*Table4[[#This Row],[Unit-Price]]</f>
        <v>15403.5</v>
      </c>
      <c r="L389" s="2">
        <f>Table4[[#This Row],[Stock-Quantity]]*Table4[[#This Row],[Margin-Unit]]</f>
        <v>4436.55</v>
      </c>
      <c r="M389">
        <f>Table4[[#This Row],[Date-Sales]]-Table4[[#This Row],[Date-Received]]</f>
        <v>27</v>
      </c>
      <c r="N389" s="6">
        <f>Table4[[#This Row],[Margin-Unit]]/Table4[[#This Row],[Unit-Price]]</f>
        <v>0.28802220274612911</v>
      </c>
    </row>
    <row r="390" spans="1:14" x14ac:dyDescent="0.3">
      <c r="A390" t="s">
        <v>433</v>
      </c>
      <c r="B390" t="s">
        <v>80</v>
      </c>
      <c r="C390" t="s">
        <v>29</v>
      </c>
      <c r="D390" t="s">
        <v>30</v>
      </c>
      <c r="E390" t="s">
        <v>31</v>
      </c>
      <c r="F390">
        <v>238</v>
      </c>
      <c r="G390" s="3">
        <v>492.52</v>
      </c>
      <c r="H390" s="1">
        <v>45693</v>
      </c>
      <c r="I390" s="1">
        <v>45715</v>
      </c>
      <c r="J390" s="3">
        <v>124.08</v>
      </c>
      <c r="K390" s="2">
        <f>Table4[[#This Row],[Stock-Quantity]]*Table4[[#This Row],[Unit-Price]]</f>
        <v>117219.76</v>
      </c>
      <c r="L390" s="2">
        <f>Table4[[#This Row],[Stock-Quantity]]*Table4[[#This Row],[Margin-Unit]]</f>
        <v>29531.040000000001</v>
      </c>
      <c r="M390">
        <f>Table4[[#This Row],[Date-Sales]]-Table4[[#This Row],[Date-Received]]</f>
        <v>22</v>
      </c>
      <c r="N390" s="6">
        <f>Table4[[#This Row],[Margin-Unit]]/Table4[[#This Row],[Unit-Price]]</f>
        <v>0.25192885568098761</v>
      </c>
    </row>
    <row r="391" spans="1:14" x14ac:dyDescent="0.3">
      <c r="A391" t="s">
        <v>434</v>
      </c>
      <c r="B391" t="s">
        <v>43</v>
      </c>
      <c r="C391" t="s">
        <v>35</v>
      </c>
      <c r="D391" t="s">
        <v>13</v>
      </c>
      <c r="E391" t="s">
        <v>14</v>
      </c>
      <c r="F391">
        <v>337</v>
      </c>
      <c r="G391" s="3">
        <v>254.72</v>
      </c>
      <c r="H391" s="1">
        <v>45710</v>
      </c>
      <c r="I391" s="1">
        <v>45732</v>
      </c>
      <c r="J391" s="3">
        <v>48.86</v>
      </c>
      <c r="K391" s="2">
        <f>Table4[[#This Row],[Stock-Quantity]]*Table4[[#This Row],[Unit-Price]]</f>
        <v>85840.639999999999</v>
      </c>
      <c r="L391" s="2">
        <f>Table4[[#This Row],[Stock-Quantity]]*Table4[[#This Row],[Margin-Unit]]</f>
        <v>16465.82</v>
      </c>
      <c r="M391">
        <f>Table4[[#This Row],[Date-Sales]]-Table4[[#This Row],[Date-Received]]</f>
        <v>22</v>
      </c>
      <c r="N391" s="6">
        <f>Table4[[#This Row],[Margin-Unit]]/Table4[[#This Row],[Unit-Price]]</f>
        <v>0.19181846733668342</v>
      </c>
    </row>
    <row r="392" spans="1:14" x14ac:dyDescent="0.3">
      <c r="A392" t="s">
        <v>435</v>
      </c>
      <c r="B392" t="s">
        <v>28</v>
      </c>
      <c r="C392" t="s">
        <v>29</v>
      </c>
      <c r="D392" t="s">
        <v>18</v>
      </c>
      <c r="E392" t="s">
        <v>19</v>
      </c>
      <c r="F392">
        <v>413</v>
      </c>
      <c r="G392" s="3">
        <v>201.99</v>
      </c>
      <c r="H392" s="1">
        <v>45684</v>
      </c>
      <c r="I392" s="1">
        <v>45689</v>
      </c>
      <c r="J392" s="3">
        <v>48.73</v>
      </c>
      <c r="K392" s="2">
        <f>Table4[[#This Row],[Stock-Quantity]]*Table4[[#This Row],[Unit-Price]]</f>
        <v>83421.87000000001</v>
      </c>
      <c r="L392" s="2">
        <f>Table4[[#This Row],[Stock-Quantity]]*Table4[[#This Row],[Margin-Unit]]</f>
        <v>20125.489999999998</v>
      </c>
      <c r="M392">
        <f>Table4[[#This Row],[Date-Sales]]-Table4[[#This Row],[Date-Received]]</f>
        <v>5</v>
      </c>
      <c r="N392" s="6">
        <f>Table4[[#This Row],[Margin-Unit]]/Table4[[#This Row],[Unit-Price]]</f>
        <v>0.2412495668102381</v>
      </c>
    </row>
    <row r="393" spans="1:14" x14ac:dyDescent="0.3">
      <c r="A393" t="s">
        <v>436</v>
      </c>
      <c r="B393" t="s">
        <v>16</v>
      </c>
      <c r="C393" t="s">
        <v>17</v>
      </c>
      <c r="D393" t="s">
        <v>18</v>
      </c>
      <c r="E393" t="s">
        <v>19</v>
      </c>
      <c r="F393">
        <v>15</v>
      </c>
      <c r="G393" s="3">
        <v>473.29</v>
      </c>
      <c r="H393" s="1">
        <v>45825</v>
      </c>
      <c r="I393" s="1">
        <v>45831</v>
      </c>
      <c r="J393" s="3">
        <v>135.72</v>
      </c>
      <c r="K393" s="2">
        <f>Table4[[#This Row],[Stock-Quantity]]*Table4[[#This Row],[Unit-Price]]</f>
        <v>7099.35</v>
      </c>
      <c r="L393" s="2">
        <f>Table4[[#This Row],[Stock-Quantity]]*Table4[[#This Row],[Margin-Unit]]</f>
        <v>2035.8</v>
      </c>
      <c r="M393">
        <f>Table4[[#This Row],[Date-Sales]]-Table4[[#This Row],[Date-Received]]</f>
        <v>6</v>
      </c>
      <c r="N393" s="6">
        <f>Table4[[#This Row],[Margin-Unit]]/Table4[[#This Row],[Unit-Price]]</f>
        <v>0.28675864691837982</v>
      </c>
    </row>
    <row r="394" spans="1:14" x14ac:dyDescent="0.3">
      <c r="A394" t="s">
        <v>437</v>
      </c>
      <c r="B394" t="s">
        <v>106</v>
      </c>
      <c r="C394" t="s">
        <v>17</v>
      </c>
      <c r="D394" t="s">
        <v>40</v>
      </c>
      <c r="E394" t="s">
        <v>41</v>
      </c>
      <c r="F394">
        <v>170</v>
      </c>
      <c r="G394" s="3">
        <v>253.49</v>
      </c>
      <c r="H394" s="1">
        <v>45766</v>
      </c>
      <c r="I394" s="1">
        <v>45786</v>
      </c>
      <c r="J394" s="3">
        <v>64.61</v>
      </c>
      <c r="K394" s="2">
        <f>Table4[[#This Row],[Stock-Quantity]]*Table4[[#This Row],[Unit-Price]]</f>
        <v>43093.3</v>
      </c>
      <c r="L394" s="2">
        <f>Table4[[#This Row],[Stock-Quantity]]*Table4[[#This Row],[Margin-Unit]]</f>
        <v>10983.7</v>
      </c>
      <c r="M394">
        <f>Table4[[#This Row],[Date-Sales]]-Table4[[#This Row],[Date-Received]]</f>
        <v>20</v>
      </c>
      <c r="N394" s="6">
        <f>Table4[[#This Row],[Margin-Unit]]/Table4[[#This Row],[Unit-Price]]</f>
        <v>0.25488184938261865</v>
      </c>
    </row>
    <row r="395" spans="1:14" x14ac:dyDescent="0.3">
      <c r="A395" t="s">
        <v>438</v>
      </c>
      <c r="B395" t="s">
        <v>21</v>
      </c>
      <c r="C395" t="s">
        <v>22</v>
      </c>
      <c r="D395" t="s">
        <v>18</v>
      </c>
      <c r="E395" t="s">
        <v>19</v>
      </c>
      <c r="F395">
        <v>78</v>
      </c>
      <c r="G395" s="3">
        <v>76.540000000000006</v>
      </c>
      <c r="H395" s="1">
        <v>45708</v>
      </c>
      <c r="I395" s="1">
        <v>45734</v>
      </c>
      <c r="J395" s="3">
        <v>21.42</v>
      </c>
      <c r="K395" s="2">
        <f>Table4[[#This Row],[Stock-Quantity]]*Table4[[#This Row],[Unit-Price]]</f>
        <v>5970.1200000000008</v>
      </c>
      <c r="L395" s="2">
        <f>Table4[[#This Row],[Stock-Quantity]]*Table4[[#This Row],[Margin-Unit]]</f>
        <v>1670.7600000000002</v>
      </c>
      <c r="M395">
        <f>Table4[[#This Row],[Date-Sales]]-Table4[[#This Row],[Date-Received]]</f>
        <v>26</v>
      </c>
      <c r="N395" s="6">
        <f>Table4[[#This Row],[Margin-Unit]]/Table4[[#This Row],[Unit-Price]]</f>
        <v>0.27985367128298927</v>
      </c>
    </row>
    <row r="396" spans="1:14" x14ac:dyDescent="0.3">
      <c r="A396" t="s">
        <v>439</v>
      </c>
      <c r="B396" t="s">
        <v>37</v>
      </c>
      <c r="C396" t="s">
        <v>22</v>
      </c>
      <c r="D396" t="s">
        <v>40</v>
      </c>
      <c r="E396" t="s">
        <v>41</v>
      </c>
      <c r="F396">
        <v>33</v>
      </c>
      <c r="G396" s="3">
        <v>106.42</v>
      </c>
      <c r="H396" s="1">
        <v>45819</v>
      </c>
      <c r="I396" s="1">
        <v>45834</v>
      </c>
      <c r="J396" s="3">
        <v>20.8</v>
      </c>
      <c r="K396" s="2">
        <f>Table4[[#This Row],[Stock-Quantity]]*Table4[[#This Row],[Unit-Price]]</f>
        <v>3511.86</v>
      </c>
      <c r="L396" s="2">
        <f>Table4[[#This Row],[Stock-Quantity]]*Table4[[#This Row],[Margin-Unit]]</f>
        <v>686.4</v>
      </c>
      <c r="M396">
        <f>Table4[[#This Row],[Date-Sales]]-Table4[[#This Row],[Date-Received]]</f>
        <v>15</v>
      </c>
      <c r="N396" s="6">
        <f>Table4[[#This Row],[Margin-Unit]]/Table4[[#This Row],[Unit-Price]]</f>
        <v>0.19545198271001693</v>
      </c>
    </row>
    <row r="397" spans="1:14" x14ac:dyDescent="0.3">
      <c r="A397" t="s">
        <v>440</v>
      </c>
      <c r="B397" t="s">
        <v>11</v>
      </c>
      <c r="C397" t="s">
        <v>12</v>
      </c>
      <c r="D397" t="s">
        <v>13</v>
      </c>
      <c r="E397" t="s">
        <v>14</v>
      </c>
      <c r="F397">
        <v>142</v>
      </c>
      <c r="G397" s="3">
        <v>133.15</v>
      </c>
      <c r="H397" s="1">
        <v>45831</v>
      </c>
      <c r="I397" s="1">
        <v>45838</v>
      </c>
      <c r="J397" s="3">
        <v>23.43</v>
      </c>
      <c r="K397" s="2">
        <f>Table4[[#This Row],[Stock-Quantity]]*Table4[[#This Row],[Unit-Price]]</f>
        <v>18907.3</v>
      </c>
      <c r="L397" s="2">
        <f>Table4[[#This Row],[Stock-Quantity]]*Table4[[#This Row],[Margin-Unit]]</f>
        <v>3327.06</v>
      </c>
      <c r="M397">
        <f>Table4[[#This Row],[Date-Sales]]-Table4[[#This Row],[Date-Received]]</f>
        <v>7</v>
      </c>
      <c r="N397" s="6">
        <f>Table4[[#This Row],[Margin-Unit]]/Table4[[#This Row],[Unit-Price]]</f>
        <v>0.17596695456252345</v>
      </c>
    </row>
    <row r="398" spans="1:14" x14ac:dyDescent="0.3">
      <c r="A398" t="s">
        <v>441</v>
      </c>
      <c r="B398" t="s">
        <v>52</v>
      </c>
      <c r="C398" t="s">
        <v>12</v>
      </c>
      <c r="D398" t="s">
        <v>30</v>
      </c>
      <c r="E398" t="s">
        <v>31</v>
      </c>
      <c r="F398">
        <v>374</v>
      </c>
      <c r="G398" s="3">
        <v>406.41</v>
      </c>
      <c r="H398" s="1">
        <v>45836</v>
      </c>
      <c r="I398" s="1">
        <v>45855</v>
      </c>
      <c r="J398" s="3">
        <v>47.92</v>
      </c>
      <c r="K398" s="2">
        <f>Table4[[#This Row],[Stock-Quantity]]*Table4[[#This Row],[Unit-Price]]</f>
        <v>151997.34</v>
      </c>
      <c r="L398" s="2">
        <f>Table4[[#This Row],[Stock-Quantity]]*Table4[[#This Row],[Margin-Unit]]</f>
        <v>17922.080000000002</v>
      </c>
      <c r="M398">
        <f>Table4[[#This Row],[Date-Sales]]-Table4[[#This Row],[Date-Received]]</f>
        <v>19</v>
      </c>
      <c r="N398" s="6">
        <f>Table4[[#This Row],[Margin-Unit]]/Table4[[#This Row],[Unit-Price]]</f>
        <v>0.11791048448611008</v>
      </c>
    </row>
    <row r="399" spans="1:14" x14ac:dyDescent="0.3">
      <c r="A399" t="s">
        <v>442</v>
      </c>
      <c r="B399" t="s">
        <v>37</v>
      </c>
      <c r="C399" t="s">
        <v>22</v>
      </c>
      <c r="D399" t="s">
        <v>13</v>
      </c>
      <c r="E399" t="s">
        <v>14</v>
      </c>
      <c r="F399">
        <v>42</v>
      </c>
      <c r="G399" s="3">
        <v>10.3</v>
      </c>
      <c r="H399" s="1">
        <v>45691</v>
      </c>
      <c r="I399" s="1">
        <v>45715</v>
      </c>
      <c r="J399" s="3">
        <v>3</v>
      </c>
      <c r="K399" s="2">
        <f>Table4[[#This Row],[Stock-Quantity]]*Table4[[#This Row],[Unit-Price]]</f>
        <v>432.6</v>
      </c>
      <c r="L399" s="2">
        <f>Table4[[#This Row],[Stock-Quantity]]*Table4[[#This Row],[Margin-Unit]]</f>
        <v>126</v>
      </c>
      <c r="M399">
        <f>Table4[[#This Row],[Date-Sales]]-Table4[[#This Row],[Date-Received]]</f>
        <v>24</v>
      </c>
      <c r="N399" s="6">
        <f>Table4[[#This Row],[Margin-Unit]]/Table4[[#This Row],[Unit-Price]]</f>
        <v>0.29126213592233008</v>
      </c>
    </row>
    <row r="400" spans="1:14" x14ac:dyDescent="0.3">
      <c r="A400" t="s">
        <v>443</v>
      </c>
      <c r="B400" t="s">
        <v>65</v>
      </c>
      <c r="C400" t="s">
        <v>22</v>
      </c>
      <c r="D400" t="s">
        <v>30</v>
      </c>
      <c r="E400" t="s">
        <v>31</v>
      </c>
      <c r="F400">
        <v>119</v>
      </c>
      <c r="G400" s="3">
        <v>13.55</v>
      </c>
      <c r="H400" s="1">
        <v>45718</v>
      </c>
      <c r="I400" s="1">
        <v>45719</v>
      </c>
      <c r="J400" s="3">
        <v>2.52</v>
      </c>
      <c r="K400" s="2">
        <f>Table4[[#This Row],[Stock-Quantity]]*Table4[[#This Row],[Unit-Price]]</f>
        <v>1612.45</v>
      </c>
      <c r="L400" s="2">
        <f>Table4[[#This Row],[Stock-Quantity]]*Table4[[#This Row],[Margin-Unit]]</f>
        <v>299.88</v>
      </c>
      <c r="M400">
        <f>Table4[[#This Row],[Date-Sales]]-Table4[[#This Row],[Date-Received]]</f>
        <v>1</v>
      </c>
      <c r="N400" s="6">
        <f>Table4[[#This Row],[Margin-Unit]]/Table4[[#This Row],[Unit-Price]]</f>
        <v>0.18597785977859776</v>
      </c>
    </row>
    <row r="401" spans="1:14" x14ac:dyDescent="0.3">
      <c r="A401" t="s">
        <v>444</v>
      </c>
      <c r="B401" t="s">
        <v>34</v>
      </c>
      <c r="C401" t="s">
        <v>35</v>
      </c>
      <c r="D401" t="s">
        <v>40</v>
      </c>
      <c r="E401" t="s">
        <v>41</v>
      </c>
      <c r="F401">
        <v>454</v>
      </c>
      <c r="G401" s="3">
        <v>388.63</v>
      </c>
      <c r="H401" s="1">
        <v>45814</v>
      </c>
      <c r="I401" s="1">
        <v>45842</v>
      </c>
      <c r="J401" s="3">
        <v>89.96</v>
      </c>
      <c r="K401" s="2">
        <f>Table4[[#This Row],[Stock-Quantity]]*Table4[[#This Row],[Unit-Price]]</f>
        <v>176438.02</v>
      </c>
      <c r="L401" s="2">
        <f>Table4[[#This Row],[Stock-Quantity]]*Table4[[#This Row],[Margin-Unit]]</f>
        <v>40841.839999999997</v>
      </c>
      <c r="M401">
        <f>Table4[[#This Row],[Date-Sales]]-Table4[[#This Row],[Date-Received]]</f>
        <v>28</v>
      </c>
      <c r="N401" s="6">
        <f>Table4[[#This Row],[Margin-Unit]]/Table4[[#This Row],[Unit-Price]]</f>
        <v>0.23147981370455187</v>
      </c>
    </row>
    <row r="402" spans="1:14" x14ac:dyDescent="0.3">
      <c r="A402" t="s">
        <v>445</v>
      </c>
      <c r="B402" t="s">
        <v>24</v>
      </c>
      <c r="C402" t="s">
        <v>22</v>
      </c>
      <c r="D402" t="s">
        <v>18</v>
      </c>
      <c r="E402" t="s">
        <v>19</v>
      </c>
      <c r="F402">
        <v>366</v>
      </c>
      <c r="G402" s="3">
        <v>297.52</v>
      </c>
      <c r="H402" s="1">
        <v>45684</v>
      </c>
      <c r="I402" s="1">
        <v>45687</v>
      </c>
      <c r="J402" s="3">
        <v>85.22</v>
      </c>
      <c r="K402" s="2">
        <f>Table4[[#This Row],[Stock-Quantity]]*Table4[[#This Row],[Unit-Price]]</f>
        <v>108892.31999999999</v>
      </c>
      <c r="L402" s="2">
        <f>Table4[[#This Row],[Stock-Quantity]]*Table4[[#This Row],[Margin-Unit]]</f>
        <v>31190.52</v>
      </c>
      <c r="M402">
        <f>Table4[[#This Row],[Date-Sales]]-Table4[[#This Row],[Date-Received]]</f>
        <v>3</v>
      </c>
      <c r="N402" s="6">
        <f>Table4[[#This Row],[Margin-Unit]]/Table4[[#This Row],[Unit-Price]]</f>
        <v>0.28643452541005648</v>
      </c>
    </row>
    <row r="403" spans="1:14" x14ac:dyDescent="0.3">
      <c r="A403" t="s">
        <v>446</v>
      </c>
      <c r="B403" t="s">
        <v>28</v>
      </c>
      <c r="C403" t="s">
        <v>29</v>
      </c>
      <c r="D403" t="s">
        <v>40</v>
      </c>
      <c r="E403" t="s">
        <v>41</v>
      </c>
      <c r="F403">
        <v>34</v>
      </c>
      <c r="G403" s="3">
        <v>145.82</v>
      </c>
      <c r="H403" s="1">
        <v>45745</v>
      </c>
      <c r="I403" s="1">
        <v>45769</v>
      </c>
      <c r="J403" s="3">
        <v>39.94</v>
      </c>
      <c r="K403" s="2">
        <f>Table4[[#This Row],[Stock-Quantity]]*Table4[[#This Row],[Unit-Price]]</f>
        <v>4957.88</v>
      </c>
      <c r="L403" s="2">
        <f>Table4[[#This Row],[Stock-Quantity]]*Table4[[#This Row],[Margin-Unit]]</f>
        <v>1357.96</v>
      </c>
      <c r="M403">
        <f>Table4[[#This Row],[Date-Sales]]-Table4[[#This Row],[Date-Received]]</f>
        <v>24</v>
      </c>
      <c r="N403" s="6">
        <f>Table4[[#This Row],[Margin-Unit]]/Table4[[#This Row],[Unit-Price]]</f>
        <v>0.27389932793855437</v>
      </c>
    </row>
    <row r="404" spans="1:14" x14ac:dyDescent="0.3">
      <c r="A404" t="s">
        <v>447</v>
      </c>
      <c r="B404" t="s">
        <v>37</v>
      </c>
      <c r="C404" t="s">
        <v>22</v>
      </c>
      <c r="D404" t="s">
        <v>30</v>
      </c>
      <c r="E404" t="s">
        <v>31</v>
      </c>
      <c r="F404">
        <v>198</v>
      </c>
      <c r="G404" s="3">
        <v>20.66</v>
      </c>
      <c r="H404" s="1">
        <v>45798</v>
      </c>
      <c r="I404" s="1">
        <v>45801</v>
      </c>
      <c r="J404" s="3">
        <v>5.37</v>
      </c>
      <c r="K404" s="2">
        <f>Table4[[#This Row],[Stock-Quantity]]*Table4[[#This Row],[Unit-Price]]</f>
        <v>4090.68</v>
      </c>
      <c r="L404" s="2">
        <f>Table4[[#This Row],[Stock-Quantity]]*Table4[[#This Row],[Margin-Unit]]</f>
        <v>1063.26</v>
      </c>
      <c r="M404">
        <f>Table4[[#This Row],[Date-Sales]]-Table4[[#This Row],[Date-Received]]</f>
        <v>3</v>
      </c>
      <c r="N404" s="6">
        <f>Table4[[#This Row],[Margin-Unit]]/Table4[[#This Row],[Unit-Price]]</f>
        <v>0.25992255566311712</v>
      </c>
    </row>
    <row r="405" spans="1:14" x14ac:dyDescent="0.3">
      <c r="A405" t="s">
        <v>448</v>
      </c>
      <c r="B405" t="s">
        <v>24</v>
      </c>
      <c r="C405" t="s">
        <v>22</v>
      </c>
      <c r="D405" t="s">
        <v>40</v>
      </c>
      <c r="E405" t="s">
        <v>41</v>
      </c>
      <c r="F405">
        <v>215</v>
      </c>
      <c r="G405" s="3">
        <v>25.62</v>
      </c>
      <c r="H405" s="1">
        <v>45703</v>
      </c>
      <c r="I405" s="1">
        <v>45707</v>
      </c>
      <c r="J405" s="3">
        <v>4.26</v>
      </c>
      <c r="K405" s="2">
        <f>Table4[[#This Row],[Stock-Quantity]]*Table4[[#This Row],[Unit-Price]]</f>
        <v>5508.3</v>
      </c>
      <c r="L405" s="2">
        <f>Table4[[#This Row],[Stock-Quantity]]*Table4[[#This Row],[Margin-Unit]]</f>
        <v>915.9</v>
      </c>
      <c r="M405">
        <f>Table4[[#This Row],[Date-Sales]]-Table4[[#This Row],[Date-Received]]</f>
        <v>4</v>
      </c>
      <c r="N405" s="6">
        <f>Table4[[#This Row],[Margin-Unit]]/Table4[[#This Row],[Unit-Price]]</f>
        <v>0.16627634660421545</v>
      </c>
    </row>
    <row r="406" spans="1:14" x14ac:dyDescent="0.3">
      <c r="A406" t="s">
        <v>449</v>
      </c>
      <c r="B406" t="s">
        <v>63</v>
      </c>
      <c r="C406" t="s">
        <v>35</v>
      </c>
      <c r="D406" t="s">
        <v>40</v>
      </c>
      <c r="E406" t="s">
        <v>41</v>
      </c>
      <c r="F406">
        <v>142</v>
      </c>
      <c r="G406" s="3">
        <v>466.2</v>
      </c>
      <c r="H406" s="1">
        <v>45796</v>
      </c>
      <c r="I406" s="1">
        <v>45821</v>
      </c>
      <c r="J406" s="3">
        <v>49.08</v>
      </c>
      <c r="K406" s="2">
        <f>Table4[[#This Row],[Stock-Quantity]]*Table4[[#This Row],[Unit-Price]]</f>
        <v>66200.399999999994</v>
      </c>
      <c r="L406" s="2">
        <f>Table4[[#This Row],[Stock-Quantity]]*Table4[[#This Row],[Margin-Unit]]</f>
        <v>6969.36</v>
      </c>
      <c r="M406">
        <f>Table4[[#This Row],[Date-Sales]]-Table4[[#This Row],[Date-Received]]</f>
        <v>25</v>
      </c>
      <c r="N406" s="6">
        <f>Table4[[#This Row],[Margin-Unit]]/Table4[[#This Row],[Unit-Price]]</f>
        <v>0.10527670527670528</v>
      </c>
    </row>
    <row r="407" spans="1:14" x14ac:dyDescent="0.3">
      <c r="A407" t="s">
        <v>450</v>
      </c>
      <c r="B407" t="s">
        <v>37</v>
      </c>
      <c r="C407" t="s">
        <v>22</v>
      </c>
      <c r="D407" t="s">
        <v>18</v>
      </c>
      <c r="E407" t="s">
        <v>19</v>
      </c>
      <c r="F407">
        <v>343</v>
      </c>
      <c r="G407" s="3">
        <v>410.21</v>
      </c>
      <c r="H407" s="1">
        <v>45704</v>
      </c>
      <c r="I407" s="1">
        <v>45722</v>
      </c>
      <c r="J407" s="3">
        <v>113.39</v>
      </c>
      <c r="K407" s="2">
        <f>Table4[[#This Row],[Stock-Quantity]]*Table4[[#This Row],[Unit-Price]]</f>
        <v>140702.03</v>
      </c>
      <c r="L407" s="2">
        <f>Table4[[#This Row],[Stock-Quantity]]*Table4[[#This Row],[Margin-Unit]]</f>
        <v>38892.769999999997</v>
      </c>
      <c r="M407">
        <f>Table4[[#This Row],[Date-Sales]]-Table4[[#This Row],[Date-Received]]</f>
        <v>18</v>
      </c>
      <c r="N407" s="6">
        <f>Table4[[#This Row],[Margin-Unit]]/Table4[[#This Row],[Unit-Price]]</f>
        <v>0.27641939494405304</v>
      </c>
    </row>
    <row r="408" spans="1:14" x14ac:dyDescent="0.3">
      <c r="A408" t="s">
        <v>451</v>
      </c>
      <c r="B408" t="s">
        <v>24</v>
      </c>
      <c r="C408" t="s">
        <v>22</v>
      </c>
      <c r="D408" t="s">
        <v>30</v>
      </c>
      <c r="E408" t="s">
        <v>31</v>
      </c>
      <c r="F408">
        <v>230</v>
      </c>
      <c r="G408" s="3">
        <v>477.35</v>
      </c>
      <c r="H408" s="1">
        <v>45666</v>
      </c>
      <c r="I408" s="1">
        <v>45693</v>
      </c>
      <c r="J408" s="3">
        <v>140.71</v>
      </c>
      <c r="K408" s="2">
        <f>Table4[[#This Row],[Stock-Quantity]]*Table4[[#This Row],[Unit-Price]]</f>
        <v>109790.5</v>
      </c>
      <c r="L408" s="2">
        <f>Table4[[#This Row],[Stock-Quantity]]*Table4[[#This Row],[Margin-Unit]]</f>
        <v>32363.300000000003</v>
      </c>
      <c r="M408">
        <f>Table4[[#This Row],[Date-Sales]]-Table4[[#This Row],[Date-Received]]</f>
        <v>27</v>
      </c>
      <c r="N408" s="6">
        <f>Table4[[#This Row],[Margin-Unit]]/Table4[[#This Row],[Unit-Price]]</f>
        <v>0.294773227191788</v>
      </c>
    </row>
    <row r="409" spans="1:14" x14ac:dyDescent="0.3">
      <c r="A409" t="s">
        <v>452</v>
      </c>
      <c r="B409" t="s">
        <v>47</v>
      </c>
      <c r="C409" t="s">
        <v>17</v>
      </c>
      <c r="D409" t="s">
        <v>25</v>
      </c>
      <c r="E409" t="s">
        <v>26</v>
      </c>
      <c r="F409">
        <v>479</v>
      </c>
      <c r="G409" s="3">
        <v>438.12</v>
      </c>
      <c r="H409" s="1">
        <v>45675</v>
      </c>
      <c r="I409" s="1">
        <v>45677</v>
      </c>
      <c r="J409" s="3">
        <v>96.22</v>
      </c>
      <c r="K409" s="2">
        <f>Table4[[#This Row],[Stock-Quantity]]*Table4[[#This Row],[Unit-Price]]</f>
        <v>209859.48</v>
      </c>
      <c r="L409" s="2">
        <f>Table4[[#This Row],[Stock-Quantity]]*Table4[[#This Row],[Margin-Unit]]</f>
        <v>46089.38</v>
      </c>
      <c r="M409">
        <f>Table4[[#This Row],[Date-Sales]]-Table4[[#This Row],[Date-Received]]</f>
        <v>2</v>
      </c>
      <c r="N409" s="6">
        <f>Table4[[#This Row],[Margin-Unit]]/Table4[[#This Row],[Unit-Price]]</f>
        <v>0.21962019538026112</v>
      </c>
    </row>
    <row r="410" spans="1:14" x14ac:dyDescent="0.3">
      <c r="A410" t="s">
        <v>453</v>
      </c>
      <c r="B410" t="s">
        <v>21</v>
      </c>
      <c r="C410" t="s">
        <v>22</v>
      </c>
      <c r="D410" t="s">
        <v>40</v>
      </c>
      <c r="E410" t="s">
        <v>41</v>
      </c>
      <c r="F410">
        <v>271</v>
      </c>
      <c r="G410" s="3">
        <v>167.23</v>
      </c>
      <c r="H410" s="1">
        <v>45832</v>
      </c>
      <c r="I410" s="1">
        <v>45837</v>
      </c>
      <c r="J410" s="3">
        <v>37.479999999999997</v>
      </c>
      <c r="K410" s="2">
        <f>Table4[[#This Row],[Stock-Quantity]]*Table4[[#This Row],[Unit-Price]]</f>
        <v>45319.329999999994</v>
      </c>
      <c r="L410" s="2">
        <f>Table4[[#This Row],[Stock-Quantity]]*Table4[[#This Row],[Margin-Unit]]</f>
        <v>10157.08</v>
      </c>
      <c r="M410">
        <f>Table4[[#This Row],[Date-Sales]]-Table4[[#This Row],[Date-Received]]</f>
        <v>5</v>
      </c>
      <c r="N410" s="6">
        <f>Table4[[#This Row],[Margin-Unit]]/Table4[[#This Row],[Unit-Price]]</f>
        <v>0.22412246606470129</v>
      </c>
    </row>
    <row r="411" spans="1:14" x14ac:dyDescent="0.3">
      <c r="A411" t="s">
        <v>454</v>
      </c>
      <c r="B411" t="s">
        <v>80</v>
      </c>
      <c r="C411" t="s">
        <v>29</v>
      </c>
      <c r="D411" t="s">
        <v>18</v>
      </c>
      <c r="E411" t="s">
        <v>19</v>
      </c>
      <c r="F411">
        <v>105</v>
      </c>
      <c r="G411" s="3">
        <v>448.86</v>
      </c>
      <c r="H411" s="1">
        <v>45821</v>
      </c>
      <c r="I411" s="1">
        <v>45839</v>
      </c>
      <c r="J411" s="3">
        <v>121.2</v>
      </c>
      <c r="K411" s="2">
        <f>Table4[[#This Row],[Stock-Quantity]]*Table4[[#This Row],[Unit-Price]]</f>
        <v>47130.3</v>
      </c>
      <c r="L411" s="2">
        <f>Table4[[#This Row],[Stock-Quantity]]*Table4[[#This Row],[Margin-Unit]]</f>
        <v>12726</v>
      </c>
      <c r="M411">
        <f>Table4[[#This Row],[Date-Sales]]-Table4[[#This Row],[Date-Received]]</f>
        <v>18</v>
      </c>
      <c r="N411" s="6">
        <f>Table4[[#This Row],[Margin-Unit]]/Table4[[#This Row],[Unit-Price]]</f>
        <v>0.27001737735596842</v>
      </c>
    </row>
    <row r="412" spans="1:14" x14ac:dyDescent="0.3">
      <c r="A412" t="s">
        <v>455</v>
      </c>
      <c r="B412" t="s">
        <v>24</v>
      </c>
      <c r="C412" t="s">
        <v>22</v>
      </c>
      <c r="D412" t="s">
        <v>40</v>
      </c>
      <c r="E412" t="s">
        <v>41</v>
      </c>
      <c r="F412">
        <v>307</v>
      </c>
      <c r="G412" s="3">
        <v>274.52999999999997</v>
      </c>
      <c r="H412" s="1">
        <v>45739</v>
      </c>
      <c r="I412" s="1">
        <v>45741</v>
      </c>
      <c r="J412" s="3">
        <v>74.89</v>
      </c>
      <c r="K412" s="2">
        <f>Table4[[#This Row],[Stock-Quantity]]*Table4[[#This Row],[Unit-Price]]</f>
        <v>84280.709999999992</v>
      </c>
      <c r="L412" s="2">
        <f>Table4[[#This Row],[Stock-Quantity]]*Table4[[#This Row],[Margin-Unit]]</f>
        <v>22991.23</v>
      </c>
      <c r="M412">
        <f>Table4[[#This Row],[Date-Sales]]-Table4[[#This Row],[Date-Received]]</f>
        <v>2</v>
      </c>
      <c r="N412" s="6">
        <f>Table4[[#This Row],[Margin-Unit]]/Table4[[#This Row],[Unit-Price]]</f>
        <v>0.27279350162095223</v>
      </c>
    </row>
    <row r="413" spans="1:14" x14ac:dyDescent="0.3">
      <c r="A413" t="s">
        <v>456</v>
      </c>
      <c r="B413" t="s">
        <v>80</v>
      </c>
      <c r="C413" t="s">
        <v>29</v>
      </c>
      <c r="D413" t="s">
        <v>30</v>
      </c>
      <c r="E413" t="s">
        <v>31</v>
      </c>
      <c r="F413">
        <v>255</v>
      </c>
      <c r="G413" s="3">
        <v>52.97</v>
      </c>
      <c r="H413" s="1">
        <v>45800</v>
      </c>
      <c r="I413" s="1">
        <v>45810</v>
      </c>
      <c r="J413" s="3">
        <v>6.26</v>
      </c>
      <c r="K413" s="2">
        <f>Table4[[#This Row],[Stock-Quantity]]*Table4[[#This Row],[Unit-Price]]</f>
        <v>13507.35</v>
      </c>
      <c r="L413" s="2">
        <f>Table4[[#This Row],[Stock-Quantity]]*Table4[[#This Row],[Margin-Unit]]</f>
        <v>1596.3</v>
      </c>
      <c r="M413">
        <f>Table4[[#This Row],[Date-Sales]]-Table4[[#This Row],[Date-Received]]</f>
        <v>10</v>
      </c>
      <c r="N413" s="6">
        <f>Table4[[#This Row],[Margin-Unit]]/Table4[[#This Row],[Unit-Price]]</f>
        <v>0.11818010194449688</v>
      </c>
    </row>
    <row r="414" spans="1:14" x14ac:dyDescent="0.3">
      <c r="A414" t="s">
        <v>457</v>
      </c>
      <c r="B414" t="s">
        <v>11</v>
      </c>
      <c r="C414" t="s">
        <v>12</v>
      </c>
      <c r="D414" t="s">
        <v>30</v>
      </c>
      <c r="E414" t="s">
        <v>31</v>
      </c>
      <c r="F414">
        <v>422</v>
      </c>
      <c r="G414" s="3">
        <v>416.45</v>
      </c>
      <c r="H414" s="1">
        <v>45723</v>
      </c>
      <c r="I414" s="1">
        <v>45738</v>
      </c>
      <c r="J414" s="3">
        <v>50.17</v>
      </c>
      <c r="K414" s="2">
        <f>Table4[[#This Row],[Stock-Quantity]]*Table4[[#This Row],[Unit-Price]]</f>
        <v>175741.9</v>
      </c>
      <c r="L414" s="2">
        <f>Table4[[#This Row],[Stock-Quantity]]*Table4[[#This Row],[Margin-Unit]]</f>
        <v>21171.74</v>
      </c>
      <c r="M414">
        <f>Table4[[#This Row],[Date-Sales]]-Table4[[#This Row],[Date-Received]]</f>
        <v>15</v>
      </c>
      <c r="N414" s="6">
        <f>Table4[[#This Row],[Margin-Unit]]/Table4[[#This Row],[Unit-Price]]</f>
        <v>0.12047064473526234</v>
      </c>
    </row>
    <row r="415" spans="1:14" x14ac:dyDescent="0.3">
      <c r="A415" t="s">
        <v>458</v>
      </c>
      <c r="B415" t="s">
        <v>50</v>
      </c>
      <c r="C415" t="s">
        <v>17</v>
      </c>
      <c r="D415" t="s">
        <v>13</v>
      </c>
      <c r="E415" t="s">
        <v>14</v>
      </c>
      <c r="F415">
        <v>332</v>
      </c>
      <c r="G415" s="3">
        <v>249.7</v>
      </c>
      <c r="H415" s="1">
        <v>45699</v>
      </c>
      <c r="I415" s="1">
        <v>45711</v>
      </c>
      <c r="J415" s="3">
        <v>38.35</v>
      </c>
      <c r="K415" s="2">
        <f>Table4[[#This Row],[Stock-Quantity]]*Table4[[#This Row],[Unit-Price]]</f>
        <v>82900.399999999994</v>
      </c>
      <c r="L415" s="2">
        <f>Table4[[#This Row],[Stock-Quantity]]*Table4[[#This Row],[Margin-Unit]]</f>
        <v>12732.2</v>
      </c>
      <c r="M415">
        <f>Table4[[#This Row],[Date-Sales]]-Table4[[#This Row],[Date-Received]]</f>
        <v>12</v>
      </c>
      <c r="N415" s="6">
        <f>Table4[[#This Row],[Margin-Unit]]/Table4[[#This Row],[Unit-Price]]</f>
        <v>0.15358430116139368</v>
      </c>
    </row>
    <row r="416" spans="1:14" x14ac:dyDescent="0.3">
      <c r="A416" t="s">
        <v>459</v>
      </c>
      <c r="B416" t="s">
        <v>70</v>
      </c>
      <c r="C416" t="s">
        <v>35</v>
      </c>
      <c r="D416" t="s">
        <v>18</v>
      </c>
      <c r="E416" t="s">
        <v>19</v>
      </c>
      <c r="F416">
        <v>264</v>
      </c>
      <c r="G416" s="3">
        <v>68.55</v>
      </c>
      <c r="H416" s="1">
        <v>45740</v>
      </c>
      <c r="I416" s="1">
        <v>45748</v>
      </c>
      <c r="J416" s="3">
        <v>10.87</v>
      </c>
      <c r="K416" s="2">
        <f>Table4[[#This Row],[Stock-Quantity]]*Table4[[#This Row],[Unit-Price]]</f>
        <v>18097.2</v>
      </c>
      <c r="L416" s="2">
        <f>Table4[[#This Row],[Stock-Quantity]]*Table4[[#This Row],[Margin-Unit]]</f>
        <v>2869.68</v>
      </c>
      <c r="M416">
        <f>Table4[[#This Row],[Date-Sales]]-Table4[[#This Row],[Date-Received]]</f>
        <v>8</v>
      </c>
      <c r="N416" s="6">
        <f>Table4[[#This Row],[Margin-Unit]]/Table4[[#This Row],[Unit-Price]]</f>
        <v>0.1585703865791393</v>
      </c>
    </row>
    <row r="417" spans="1:14" x14ac:dyDescent="0.3">
      <c r="A417" t="s">
        <v>460</v>
      </c>
      <c r="B417" t="s">
        <v>34</v>
      </c>
      <c r="C417" t="s">
        <v>35</v>
      </c>
      <c r="D417" t="s">
        <v>40</v>
      </c>
      <c r="E417" t="s">
        <v>41</v>
      </c>
      <c r="F417">
        <v>106</v>
      </c>
      <c r="G417" s="3">
        <v>269.57</v>
      </c>
      <c r="H417" s="1">
        <v>45710</v>
      </c>
      <c r="I417" s="1">
        <v>45733</v>
      </c>
      <c r="J417" s="3">
        <v>29.26</v>
      </c>
      <c r="K417" s="2">
        <f>Table4[[#This Row],[Stock-Quantity]]*Table4[[#This Row],[Unit-Price]]</f>
        <v>28574.42</v>
      </c>
      <c r="L417" s="2">
        <f>Table4[[#This Row],[Stock-Quantity]]*Table4[[#This Row],[Margin-Unit]]</f>
        <v>3101.56</v>
      </c>
      <c r="M417">
        <f>Table4[[#This Row],[Date-Sales]]-Table4[[#This Row],[Date-Received]]</f>
        <v>23</v>
      </c>
      <c r="N417" s="6">
        <f>Table4[[#This Row],[Margin-Unit]]/Table4[[#This Row],[Unit-Price]]</f>
        <v>0.10854323552324073</v>
      </c>
    </row>
    <row r="418" spans="1:14" x14ac:dyDescent="0.3">
      <c r="A418" t="s">
        <v>461</v>
      </c>
      <c r="B418" t="s">
        <v>65</v>
      </c>
      <c r="C418" t="s">
        <v>22</v>
      </c>
      <c r="D418" t="s">
        <v>40</v>
      </c>
      <c r="E418" t="s">
        <v>41</v>
      </c>
      <c r="F418">
        <v>146</v>
      </c>
      <c r="G418" s="3">
        <v>193.93</v>
      </c>
      <c r="H418" s="1">
        <v>45793</v>
      </c>
      <c r="I418" s="1">
        <v>45798</v>
      </c>
      <c r="J418" s="3">
        <v>30.14</v>
      </c>
      <c r="K418" s="2">
        <f>Table4[[#This Row],[Stock-Quantity]]*Table4[[#This Row],[Unit-Price]]</f>
        <v>28313.780000000002</v>
      </c>
      <c r="L418" s="2">
        <f>Table4[[#This Row],[Stock-Quantity]]*Table4[[#This Row],[Margin-Unit]]</f>
        <v>4400.4400000000005</v>
      </c>
      <c r="M418">
        <f>Table4[[#This Row],[Date-Sales]]-Table4[[#This Row],[Date-Received]]</f>
        <v>5</v>
      </c>
      <c r="N418" s="6">
        <f>Table4[[#This Row],[Margin-Unit]]/Table4[[#This Row],[Unit-Price]]</f>
        <v>0.15541690300623937</v>
      </c>
    </row>
    <row r="419" spans="1:14" x14ac:dyDescent="0.3">
      <c r="A419" t="s">
        <v>462</v>
      </c>
      <c r="B419" t="s">
        <v>50</v>
      </c>
      <c r="C419" t="s">
        <v>17</v>
      </c>
      <c r="D419" t="s">
        <v>30</v>
      </c>
      <c r="E419" t="s">
        <v>31</v>
      </c>
      <c r="F419">
        <v>131</v>
      </c>
      <c r="G419" s="3">
        <v>449.23</v>
      </c>
      <c r="H419" s="1">
        <v>45752</v>
      </c>
      <c r="I419" s="1">
        <v>45760</v>
      </c>
      <c r="J419" s="3">
        <v>52.5</v>
      </c>
      <c r="K419" s="2">
        <f>Table4[[#This Row],[Stock-Quantity]]*Table4[[#This Row],[Unit-Price]]</f>
        <v>58849.130000000005</v>
      </c>
      <c r="L419" s="2">
        <f>Table4[[#This Row],[Stock-Quantity]]*Table4[[#This Row],[Margin-Unit]]</f>
        <v>6877.5</v>
      </c>
      <c r="M419">
        <f>Table4[[#This Row],[Date-Sales]]-Table4[[#This Row],[Date-Received]]</f>
        <v>8</v>
      </c>
      <c r="N419" s="6">
        <f>Table4[[#This Row],[Margin-Unit]]/Table4[[#This Row],[Unit-Price]]</f>
        <v>0.11686663847027134</v>
      </c>
    </row>
    <row r="420" spans="1:14" x14ac:dyDescent="0.3">
      <c r="A420" t="s">
        <v>463</v>
      </c>
      <c r="B420" t="s">
        <v>47</v>
      </c>
      <c r="C420" t="s">
        <v>17</v>
      </c>
      <c r="D420" t="s">
        <v>13</v>
      </c>
      <c r="E420" t="s">
        <v>14</v>
      </c>
      <c r="F420">
        <v>430</v>
      </c>
      <c r="G420" s="3">
        <v>224.25</v>
      </c>
      <c r="H420" s="1">
        <v>45693</v>
      </c>
      <c r="I420" s="1">
        <v>45713</v>
      </c>
      <c r="J420" s="3">
        <v>30.75</v>
      </c>
      <c r="K420" s="2">
        <f>Table4[[#This Row],[Stock-Quantity]]*Table4[[#This Row],[Unit-Price]]</f>
        <v>96427.5</v>
      </c>
      <c r="L420" s="2">
        <f>Table4[[#This Row],[Stock-Quantity]]*Table4[[#This Row],[Margin-Unit]]</f>
        <v>13222.5</v>
      </c>
      <c r="M420">
        <f>Table4[[#This Row],[Date-Sales]]-Table4[[#This Row],[Date-Received]]</f>
        <v>20</v>
      </c>
      <c r="N420" s="6">
        <f>Table4[[#This Row],[Margin-Unit]]/Table4[[#This Row],[Unit-Price]]</f>
        <v>0.13712374581939799</v>
      </c>
    </row>
    <row r="421" spans="1:14" x14ac:dyDescent="0.3">
      <c r="A421" t="s">
        <v>464</v>
      </c>
      <c r="B421" t="s">
        <v>21</v>
      </c>
      <c r="C421" t="s">
        <v>22</v>
      </c>
      <c r="D421" t="s">
        <v>13</v>
      </c>
      <c r="E421" t="s">
        <v>14</v>
      </c>
      <c r="F421">
        <v>345</v>
      </c>
      <c r="G421" s="3">
        <v>161.94</v>
      </c>
      <c r="H421" s="1">
        <v>45784</v>
      </c>
      <c r="I421" s="1">
        <v>45805</v>
      </c>
      <c r="J421" s="3">
        <v>47.59</v>
      </c>
      <c r="K421" s="2">
        <f>Table4[[#This Row],[Stock-Quantity]]*Table4[[#This Row],[Unit-Price]]</f>
        <v>55869.299999999996</v>
      </c>
      <c r="L421" s="2">
        <f>Table4[[#This Row],[Stock-Quantity]]*Table4[[#This Row],[Margin-Unit]]</f>
        <v>16418.550000000003</v>
      </c>
      <c r="M421">
        <f>Table4[[#This Row],[Date-Sales]]-Table4[[#This Row],[Date-Received]]</f>
        <v>21</v>
      </c>
      <c r="N421" s="6">
        <f>Table4[[#This Row],[Margin-Unit]]/Table4[[#This Row],[Unit-Price]]</f>
        <v>0.2938742744226257</v>
      </c>
    </row>
    <row r="422" spans="1:14" x14ac:dyDescent="0.3">
      <c r="A422" t="s">
        <v>465</v>
      </c>
      <c r="B422" t="s">
        <v>24</v>
      </c>
      <c r="C422" t="s">
        <v>22</v>
      </c>
      <c r="D422" t="s">
        <v>30</v>
      </c>
      <c r="E422" t="s">
        <v>31</v>
      </c>
      <c r="F422">
        <v>26</v>
      </c>
      <c r="G422" s="3">
        <v>14.43</v>
      </c>
      <c r="H422" s="1">
        <v>45830</v>
      </c>
      <c r="I422" s="1">
        <v>45838</v>
      </c>
      <c r="J422" s="3">
        <v>4.29</v>
      </c>
      <c r="K422" s="2">
        <f>Table4[[#This Row],[Stock-Quantity]]*Table4[[#This Row],[Unit-Price]]</f>
        <v>375.18</v>
      </c>
      <c r="L422" s="2">
        <f>Table4[[#This Row],[Stock-Quantity]]*Table4[[#This Row],[Margin-Unit]]</f>
        <v>111.54</v>
      </c>
      <c r="M422">
        <f>Table4[[#This Row],[Date-Sales]]-Table4[[#This Row],[Date-Received]]</f>
        <v>8</v>
      </c>
      <c r="N422" s="6">
        <f>Table4[[#This Row],[Margin-Unit]]/Table4[[#This Row],[Unit-Price]]</f>
        <v>0.29729729729729731</v>
      </c>
    </row>
    <row r="423" spans="1:14" x14ac:dyDescent="0.3">
      <c r="A423" t="s">
        <v>466</v>
      </c>
      <c r="B423" t="s">
        <v>37</v>
      </c>
      <c r="C423" t="s">
        <v>22</v>
      </c>
      <c r="D423" t="s">
        <v>25</v>
      </c>
      <c r="E423" t="s">
        <v>26</v>
      </c>
      <c r="F423">
        <v>419</v>
      </c>
      <c r="G423" s="3">
        <v>6.86</v>
      </c>
      <c r="H423" s="1">
        <v>45734</v>
      </c>
      <c r="I423" s="1">
        <v>45753</v>
      </c>
      <c r="J423" s="3">
        <v>1.22</v>
      </c>
      <c r="K423" s="2">
        <f>Table4[[#This Row],[Stock-Quantity]]*Table4[[#This Row],[Unit-Price]]</f>
        <v>2874.34</v>
      </c>
      <c r="L423" s="2">
        <f>Table4[[#This Row],[Stock-Quantity]]*Table4[[#This Row],[Margin-Unit]]</f>
        <v>511.18</v>
      </c>
      <c r="M423">
        <f>Table4[[#This Row],[Date-Sales]]-Table4[[#This Row],[Date-Received]]</f>
        <v>19</v>
      </c>
      <c r="N423" s="6">
        <f>Table4[[#This Row],[Margin-Unit]]/Table4[[#This Row],[Unit-Price]]</f>
        <v>0.17784256559766762</v>
      </c>
    </row>
    <row r="424" spans="1:14" x14ac:dyDescent="0.3">
      <c r="A424" t="s">
        <v>467</v>
      </c>
      <c r="B424" t="s">
        <v>106</v>
      </c>
      <c r="C424" t="s">
        <v>17</v>
      </c>
      <c r="D424" t="s">
        <v>40</v>
      </c>
      <c r="E424" t="s">
        <v>41</v>
      </c>
      <c r="F424">
        <v>153</v>
      </c>
      <c r="G424" s="3">
        <v>15.64</v>
      </c>
      <c r="H424" s="1">
        <v>45680</v>
      </c>
      <c r="I424" s="1">
        <v>45694</v>
      </c>
      <c r="J424" s="3">
        <v>2.09</v>
      </c>
      <c r="K424" s="2">
        <f>Table4[[#This Row],[Stock-Quantity]]*Table4[[#This Row],[Unit-Price]]</f>
        <v>2392.92</v>
      </c>
      <c r="L424" s="2">
        <f>Table4[[#This Row],[Stock-Quantity]]*Table4[[#This Row],[Margin-Unit]]</f>
        <v>319.77</v>
      </c>
      <c r="M424">
        <f>Table4[[#This Row],[Date-Sales]]-Table4[[#This Row],[Date-Received]]</f>
        <v>14</v>
      </c>
      <c r="N424" s="6">
        <f>Table4[[#This Row],[Margin-Unit]]/Table4[[#This Row],[Unit-Price]]</f>
        <v>0.13363171355498721</v>
      </c>
    </row>
    <row r="425" spans="1:14" x14ac:dyDescent="0.3">
      <c r="A425" t="s">
        <v>468</v>
      </c>
      <c r="B425" t="s">
        <v>70</v>
      </c>
      <c r="C425" t="s">
        <v>35</v>
      </c>
      <c r="D425" t="s">
        <v>30</v>
      </c>
      <c r="E425" t="s">
        <v>31</v>
      </c>
      <c r="F425">
        <v>426</v>
      </c>
      <c r="G425" s="3">
        <v>74.22</v>
      </c>
      <c r="H425" s="1">
        <v>45831</v>
      </c>
      <c r="I425" s="1">
        <v>45855</v>
      </c>
      <c r="J425" s="3">
        <v>10.75</v>
      </c>
      <c r="K425" s="2">
        <f>Table4[[#This Row],[Stock-Quantity]]*Table4[[#This Row],[Unit-Price]]</f>
        <v>31617.72</v>
      </c>
      <c r="L425" s="2">
        <f>Table4[[#This Row],[Stock-Quantity]]*Table4[[#This Row],[Margin-Unit]]</f>
        <v>4579.5</v>
      </c>
      <c r="M425">
        <f>Table4[[#This Row],[Date-Sales]]-Table4[[#This Row],[Date-Received]]</f>
        <v>24</v>
      </c>
      <c r="N425" s="6">
        <f>Table4[[#This Row],[Margin-Unit]]/Table4[[#This Row],[Unit-Price]]</f>
        <v>0.14483966585825922</v>
      </c>
    </row>
    <row r="426" spans="1:14" x14ac:dyDescent="0.3">
      <c r="A426" t="s">
        <v>469</v>
      </c>
      <c r="B426" t="s">
        <v>94</v>
      </c>
      <c r="C426" t="s">
        <v>29</v>
      </c>
      <c r="D426" t="s">
        <v>40</v>
      </c>
      <c r="E426" t="s">
        <v>41</v>
      </c>
      <c r="F426">
        <v>364</v>
      </c>
      <c r="G426" s="3">
        <v>156.38999999999999</v>
      </c>
      <c r="H426" s="1">
        <v>45701</v>
      </c>
      <c r="I426" s="1">
        <v>45703</v>
      </c>
      <c r="J426" s="3">
        <v>25.2</v>
      </c>
      <c r="K426" s="2">
        <f>Table4[[#This Row],[Stock-Quantity]]*Table4[[#This Row],[Unit-Price]]</f>
        <v>56925.959999999992</v>
      </c>
      <c r="L426" s="2">
        <f>Table4[[#This Row],[Stock-Quantity]]*Table4[[#This Row],[Margin-Unit]]</f>
        <v>9172.7999999999993</v>
      </c>
      <c r="M426">
        <f>Table4[[#This Row],[Date-Sales]]-Table4[[#This Row],[Date-Received]]</f>
        <v>2</v>
      </c>
      <c r="N426" s="6">
        <f>Table4[[#This Row],[Margin-Unit]]/Table4[[#This Row],[Unit-Price]]</f>
        <v>0.16113562248225591</v>
      </c>
    </row>
    <row r="427" spans="1:14" x14ac:dyDescent="0.3">
      <c r="A427" t="s">
        <v>470</v>
      </c>
      <c r="B427" t="s">
        <v>37</v>
      </c>
      <c r="C427" t="s">
        <v>22</v>
      </c>
      <c r="D427" t="s">
        <v>25</v>
      </c>
      <c r="E427" t="s">
        <v>26</v>
      </c>
      <c r="F427">
        <v>224</v>
      </c>
      <c r="G427" s="3">
        <v>76.22</v>
      </c>
      <c r="H427" s="1">
        <v>45680</v>
      </c>
      <c r="I427" s="1">
        <v>45706</v>
      </c>
      <c r="J427" s="3">
        <v>22.82</v>
      </c>
      <c r="K427" s="2">
        <f>Table4[[#This Row],[Stock-Quantity]]*Table4[[#This Row],[Unit-Price]]</f>
        <v>17073.28</v>
      </c>
      <c r="L427" s="2">
        <f>Table4[[#This Row],[Stock-Quantity]]*Table4[[#This Row],[Margin-Unit]]</f>
        <v>5111.68</v>
      </c>
      <c r="M427">
        <f>Table4[[#This Row],[Date-Sales]]-Table4[[#This Row],[Date-Received]]</f>
        <v>26</v>
      </c>
      <c r="N427" s="6">
        <f>Table4[[#This Row],[Margin-Unit]]/Table4[[#This Row],[Unit-Price]]</f>
        <v>0.29939648386250328</v>
      </c>
    </row>
    <row r="428" spans="1:14" x14ac:dyDescent="0.3">
      <c r="A428" t="s">
        <v>471</v>
      </c>
      <c r="B428" t="s">
        <v>70</v>
      </c>
      <c r="C428" t="s">
        <v>35</v>
      </c>
      <c r="D428" t="s">
        <v>13</v>
      </c>
      <c r="E428" t="s">
        <v>14</v>
      </c>
      <c r="F428">
        <v>407</v>
      </c>
      <c r="G428" s="3">
        <v>296.49</v>
      </c>
      <c r="H428" s="1">
        <v>45747</v>
      </c>
      <c r="I428" s="1">
        <v>45767</v>
      </c>
      <c r="J428" s="3">
        <v>47.66</v>
      </c>
      <c r="K428" s="2">
        <f>Table4[[#This Row],[Stock-Quantity]]*Table4[[#This Row],[Unit-Price]]</f>
        <v>120671.43000000001</v>
      </c>
      <c r="L428" s="2">
        <f>Table4[[#This Row],[Stock-Quantity]]*Table4[[#This Row],[Margin-Unit]]</f>
        <v>19397.62</v>
      </c>
      <c r="M428">
        <f>Table4[[#This Row],[Date-Sales]]-Table4[[#This Row],[Date-Received]]</f>
        <v>20</v>
      </c>
      <c r="N428" s="6">
        <f>Table4[[#This Row],[Margin-Unit]]/Table4[[#This Row],[Unit-Price]]</f>
        <v>0.16074741137981044</v>
      </c>
    </row>
    <row r="429" spans="1:14" x14ac:dyDescent="0.3">
      <c r="A429" t="s">
        <v>472</v>
      </c>
      <c r="B429" t="s">
        <v>28</v>
      </c>
      <c r="C429" t="s">
        <v>29</v>
      </c>
      <c r="D429" t="s">
        <v>25</v>
      </c>
      <c r="E429" t="s">
        <v>26</v>
      </c>
      <c r="F429">
        <v>72</v>
      </c>
      <c r="G429" s="3">
        <v>284.11</v>
      </c>
      <c r="H429" s="1">
        <v>45747</v>
      </c>
      <c r="I429" s="1">
        <v>45755</v>
      </c>
      <c r="J429" s="3">
        <v>61.33</v>
      </c>
      <c r="K429" s="2">
        <f>Table4[[#This Row],[Stock-Quantity]]*Table4[[#This Row],[Unit-Price]]</f>
        <v>20455.920000000002</v>
      </c>
      <c r="L429" s="2">
        <f>Table4[[#This Row],[Stock-Quantity]]*Table4[[#This Row],[Margin-Unit]]</f>
        <v>4415.76</v>
      </c>
      <c r="M429">
        <f>Table4[[#This Row],[Date-Sales]]-Table4[[#This Row],[Date-Received]]</f>
        <v>8</v>
      </c>
      <c r="N429" s="6">
        <f>Table4[[#This Row],[Margin-Unit]]/Table4[[#This Row],[Unit-Price]]</f>
        <v>0.21586709373130125</v>
      </c>
    </row>
    <row r="430" spans="1:14" x14ac:dyDescent="0.3">
      <c r="A430" t="s">
        <v>473</v>
      </c>
      <c r="B430" t="s">
        <v>47</v>
      </c>
      <c r="C430" t="s">
        <v>17</v>
      </c>
      <c r="D430" t="s">
        <v>30</v>
      </c>
      <c r="E430" t="s">
        <v>31</v>
      </c>
      <c r="F430">
        <v>472</v>
      </c>
      <c r="G430" s="3">
        <v>179.97</v>
      </c>
      <c r="H430" s="1">
        <v>45678</v>
      </c>
      <c r="I430" s="1">
        <v>45694</v>
      </c>
      <c r="J430" s="3">
        <v>36.04</v>
      </c>
      <c r="K430" s="2">
        <f>Table4[[#This Row],[Stock-Quantity]]*Table4[[#This Row],[Unit-Price]]</f>
        <v>84945.84</v>
      </c>
      <c r="L430" s="2">
        <f>Table4[[#This Row],[Stock-Quantity]]*Table4[[#This Row],[Margin-Unit]]</f>
        <v>17010.88</v>
      </c>
      <c r="M430">
        <f>Table4[[#This Row],[Date-Sales]]-Table4[[#This Row],[Date-Received]]</f>
        <v>16</v>
      </c>
      <c r="N430" s="6">
        <f>Table4[[#This Row],[Margin-Unit]]/Table4[[#This Row],[Unit-Price]]</f>
        <v>0.2002555981552481</v>
      </c>
    </row>
    <row r="431" spans="1:14" x14ac:dyDescent="0.3">
      <c r="A431" t="s">
        <v>474</v>
      </c>
      <c r="B431" t="s">
        <v>34</v>
      </c>
      <c r="C431" t="s">
        <v>35</v>
      </c>
      <c r="D431" t="s">
        <v>13</v>
      </c>
      <c r="E431" t="s">
        <v>14</v>
      </c>
      <c r="F431">
        <v>455</v>
      </c>
      <c r="G431" s="3">
        <v>487.06</v>
      </c>
      <c r="H431" s="1">
        <v>45753</v>
      </c>
      <c r="I431" s="1">
        <v>45772</v>
      </c>
      <c r="J431" s="3">
        <v>128.9</v>
      </c>
      <c r="K431" s="2">
        <f>Table4[[#This Row],[Stock-Quantity]]*Table4[[#This Row],[Unit-Price]]</f>
        <v>221612.3</v>
      </c>
      <c r="L431" s="2">
        <f>Table4[[#This Row],[Stock-Quantity]]*Table4[[#This Row],[Margin-Unit]]</f>
        <v>58649.5</v>
      </c>
      <c r="M431">
        <f>Table4[[#This Row],[Date-Sales]]-Table4[[#This Row],[Date-Received]]</f>
        <v>19</v>
      </c>
      <c r="N431" s="6">
        <f>Table4[[#This Row],[Margin-Unit]]/Table4[[#This Row],[Unit-Price]]</f>
        <v>0.2646491192050261</v>
      </c>
    </row>
    <row r="432" spans="1:14" x14ac:dyDescent="0.3">
      <c r="A432" t="s">
        <v>475</v>
      </c>
      <c r="B432" t="s">
        <v>106</v>
      </c>
      <c r="C432" t="s">
        <v>17</v>
      </c>
      <c r="D432" t="s">
        <v>40</v>
      </c>
      <c r="E432" t="s">
        <v>41</v>
      </c>
      <c r="F432">
        <v>10</v>
      </c>
      <c r="G432" s="3">
        <v>302.45999999999998</v>
      </c>
      <c r="H432" s="1">
        <v>45777</v>
      </c>
      <c r="I432" s="1">
        <v>45788</v>
      </c>
      <c r="J432" s="3">
        <v>69.84</v>
      </c>
      <c r="K432" s="2">
        <f>Table4[[#This Row],[Stock-Quantity]]*Table4[[#This Row],[Unit-Price]]</f>
        <v>3024.6</v>
      </c>
      <c r="L432" s="2">
        <f>Table4[[#This Row],[Stock-Quantity]]*Table4[[#This Row],[Margin-Unit]]</f>
        <v>698.40000000000009</v>
      </c>
      <c r="M432">
        <f>Table4[[#This Row],[Date-Sales]]-Table4[[#This Row],[Date-Received]]</f>
        <v>11</v>
      </c>
      <c r="N432" s="6">
        <f>Table4[[#This Row],[Margin-Unit]]/Table4[[#This Row],[Unit-Price]]</f>
        <v>0.23090656615750846</v>
      </c>
    </row>
    <row r="433" spans="1:14" x14ac:dyDescent="0.3">
      <c r="A433" t="s">
        <v>476</v>
      </c>
      <c r="B433" t="s">
        <v>80</v>
      </c>
      <c r="C433" t="s">
        <v>29</v>
      </c>
      <c r="D433" t="s">
        <v>40</v>
      </c>
      <c r="E433" t="s">
        <v>41</v>
      </c>
      <c r="F433">
        <v>51</v>
      </c>
      <c r="G433" s="3">
        <v>442.98</v>
      </c>
      <c r="H433" s="1">
        <v>45786</v>
      </c>
      <c r="I433" s="1">
        <v>45794</v>
      </c>
      <c r="J433" s="3">
        <v>113.43</v>
      </c>
      <c r="K433" s="2">
        <f>Table4[[#This Row],[Stock-Quantity]]*Table4[[#This Row],[Unit-Price]]</f>
        <v>22591.98</v>
      </c>
      <c r="L433" s="2">
        <f>Table4[[#This Row],[Stock-Quantity]]*Table4[[#This Row],[Margin-Unit]]</f>
        <v>5784.93</v>
      </c>
      <c r="M433">
        <f>Table4[[#This Row],[Date-Sales]]-Table4[[#This Row],[Date-Received]]</f>
        <v>8</v>
      </c>
      <c r="N433" s="6">
        <f>Table4[[#This Row],[Margin-Unit]]/Table4[[#This Row],[Unit-Price]]</f>
        <v>0.25606122172558582</v>
      </c>
    </row>
    <row r="434" spans="1:14" x14ac:dyDescent="0.3">
      <c r="A434" t="s">
        <v>477</v>
      </c>
      <c r="B434" t="s">
        <v>34</v>
      </c>
      <c r="C434" t="s">
        <v>35</v>
      </c>
      <c r="D434" t="s">
        <v>13</v>
      </c>
      <c r="E434" t="s">
        <v>14</v>
      </c>
      <c r="F434">
        <v>381</v>
      </c>
      <c r="G434" s="3">
        <v>273.45999999999998</v>
      </c>
      <c r="H434" s="1">
        <v>45838</v>
      </c>
      <c r="I434" s="1">
        <v>45848</v>
      </c>
      <c r="J434" s="3">
        <v>61.46</v>
      </c>
      <c r="K434" s="2">
        <f>Table4[[#This Row],[Stock-Quantity]]*Table4[[#This Row],[Unit-Price]]</f>
        <v>104188.26</v>
      </c>
      <c r="L434" s="2">
        <f>Table4[[#This Row],[Stock-Quantity]]*Table4[[#This Row],[Margin-Unit]]</f>
        <v>23416.260000000002</v>
      </c>
      <c r="M434">
        <f>Table4[[#This Row],[Date-Sales]]-Table4[[#This Row],[Date-Received]]</f>
        <v>10</v>
      </c>
      <c r="N434" s="6">
        <f>Table4[[#This Row],[Margin-Unit]]/Table4[[#This Row],[Unit-Price]]</f>
        <v>0.22474950632633658</v>
      </c>
    </row>
    <row r="435" spans="1:14" x14ac:dyDescent="0.3">
      <c r="A435" t="s">
        <v>478</v>
      </c>
      <c r="B435" t="s">
        <v>47</v>
      </c>
      <c r="C435" t="s">
        <v>17</v>
      </c>
      <c r="D435" t="s">
        <v>25</v>
      </c>
      <c r="E435" t="s">
        <v>26</v>
      </c>
      <c r="F435">
        <v>481</v>
      </c>
      <c r="G435" s="3">
        <v>228.05</v>
      </c>
      <c r="H435" s="1">
        <v>45684</v>
      </c>
      <c r="I435" s="1">
        <v>45710</v>
      </c>
      <c r="J435" s="3">
        <v>59.24</v>
      </c>
      <c r="K435" s="2">
        <f>Table4[[#This Row],[Stock-Quantity]]*Table4[[#This Row],[Unit-Price]]</f>
        <v>109692.05</v>
      </c>
      <c r="L435" s="2">
        <f>Table4[[#This Row],[Stock-Quantity]]*Table4[[#This Row],[Margin-Unit]]</f>
        <v>28494.440000000002</v>
      </c>
      <c r="M435">
        <f>Table4[[#This Row],[Date-Sales]]-Table4[[#This Row],[Date-Received]]</f>
        <v>26</v>
      </c>
      <c r="N435" s="6">
        <f>Table4[[#This Row],[Margin-Unit]]/Table4[[#This Row],[Unit-Price]]</f>
        <v>0.25976759482569611</v>
      </c>
    </row>
    <row r="436" spans="1:14" x14ac:dyDescent="0.3">
      <c r="A436" t="s">
        <v>479</v>
      </c>
      <c r="B436" t="s">
        <v>63</v>
      </c>
      <c r="C436" t="s">
        <v>35</v>
      </c>
      <c r="D436" t="s">
        <v>30</v>
      </c>
      <c r="E436" t="s">
        <v>31</v>
      </c>
      <c r="F436">
        <v>122</v>
      </c>
      <c r="G436" s="3">
        <v>450.44</v>
      </c>
      <c r="H436" s="1">
        <v>45683</v>
      </c>
      <c r="I436" s="1">
        <v>45707</v>
      </c>
      <c r="J436" s="3">
        <v>70.430000000000007</v>
      </c>
      <c r="K436" s="2">
        <f>Table4[[#This Row],[Stock-Quantity]]*Table4[[#This Row],[Unit-Price]]</f>
        <v>54953.68</v>
      </c>
      <c r="L436" s="2">
        <f>Table4[[#This Row],[Stock-Quantity]]*Table4[[#This Row],[Margin-Unit]]</f>
        <v>8592.4600000000009</v>
      </c>
      <c r="M436">
        <f>Table4[[#This Row],[Date-Sales]]-Table4[[#This Row],[Date-Received]]</f>
        <v>24</v>
      </c>
      <c r="N436" s="6">
        <f>Table4[[#This Row],[Margin-Unit]]/Table4[[#This Row],[Unit-Price]]</f>
        <v>0.15635822751087827</v>
      </c>
    </row>
    <row r="437" spans="1:14" x14ac:dyDescent="0.3">
      <c r="A437" t="s">
        <v>480</v>
      </c>
      <c r="B437" t="s">
        <v>94</v>
      </c>
      <c r="C437" t="s">
        <v>29</v>
      </c>
      <c r="D437" t="s">
        <v>13</v>
      </c>
      <c r="E437" t="s">
        <v>14</v>
      </c>
      <c r="F437">
        <v>433</v>
      </c>
      <c r="G437" s="3">
        <v>489.99</v>
      </c>
      <c r="H437" s="1">
        <v>45801</v>
      </c>
      <c r="I437" s="1">
        <v>45805</v>
      </c>
      <c r="J437" s="3">
        <v>69.099999999999994</v>
      </c>
      <c r="K437" s="2">
        <f>Table4[[#This Row],[Stock-Quantity]]*Table4[[#This Row],[Unit-Price]]</f>
        <v>212165.67</v>
      </c>
      <c r="L437" s="2">
        <f>Table4[[#This Row],[Stock-Quantity]]*Table4[[#This Row],[Margin-Unit]]</f>
        <v>29920.3</v>
      </c>
      <c r="M437">
        <f>Table4[[#This Row],[Date-Sales]]-Table4[[#This Row],[Date-Received]]</f>
        <v>4</v>
      </c>
      <c r="N437" s="6">
        <f>Table4[[#This Row],[Margin-Unit]]/Table4[[#This Row],[Unit-Price]]</f>
        <v>0.14102328618951407</v>
      </c>
    </row>
    <row r="438" spans="1:14" x14ac:dyDescent="0.3">
      <c r="A438" t="s">
        <v>481</v>
      </c>
      <c r="B438" t="s">
        <v>65</v>
      </c>
      <c r="C438" t="s">
        <v>22</v>
      </c>
      <c r="D438" t="s">
        <v>25</v>
      </c>
      <c r="E438" t="s">
        <v>26</v>
      </c>
      <c r="F438">
        <v>31</v>
      </c>
      <c r="G438" s="3">
        <v>204.38</v>
      </c>
      <c r="H438" s="1">
        <v>45723</v>
      </c>
      <c r="I438" s="1">
        <v>45744</v>
      </c>
      <c r="J438" s="3">
        <v>52.87</v>
      </c>
      <c r="K438" s="2">
        <f>Table4[[#This Row],[Stock-Quantity]]*Table4[[#This Row],[Unit-Price]]</f>
        <v>6335.78</v>
      </c>
      <c r="L438" s="2">
        <f>Table4[[#This Row],[Stock-Quantity]]*Table4[[#This Row],[Margin-Unit]]</f>
        <v>1638.97</v>
      </c>
      <c r="M438">
        <f>Table4[[#This Row],[Date-Sales]]-Table4[[#This Row],[Date-Received]]</f>
        <v>21</v>
      </c>
      <c r="N438" s="6">
        <f>Table4[[#This Row],[Margin-Unit]]/Table4[[#This Row],[Unit-Price]]</f>
        <v>0.25868480281827966</v>
      </c>
    </row>
    <row r="439" spans="1:14" x14ac:dyDescent="0.3">
      <c r="A439" t="s">
        <v>482</v>
      </c>
      <c r="B439" t="s">
        <v>74</v>
      </c>
      <c r="C439" t="s">
        <v>29</v>
      </c>
      <c r="D439" t="s">
        <v>18</v>
      </c>
      <c r="E439" t="s">
        <v>19</v>
      </c>
      <c r="F439">
        <v>439</v>
      </c>
      <c r="G439" s="3">
        <v>390.34</v>
      </c>
      <c r="H439" s="1">
        <v>45669</v>
      </c>
      <c r="I439" s="1">
        <v>45697</v>
      </c>
      <c r="J439" s="3">
        <v>92</v>
      </c>
      <c r="K439" s="2">
        <f>Table4[[#This Row],[Stock-Quantity]]*Table4[[#This Row],[Unit-Price]]</f>
        <v>171359.25999999998</v>
      </c>
      <c r="L439" s="2">
        <f>Table4[[#This Row],[Stock-Quantity]]*Table4[[#This Row],[Margin-Unit]]</f>
        <v>40388</v>
      </c>
      <c r="M439">
        <f>Table4[[#This Row],[Date-Sales]]-Table4[[#This Row],[Date-Received]]</f>
        <v>28</v>
      </c>
      <c r="N439" s="6">
        <f>Table4[[#This Row],[Margin-Unit]]/Table4[[#This Row],[Unit-Price]]</f>
        <v>0.23569196085463956</v>
      </c>
    </row>
    <row r="440" spans="1:14" x14ac:dyDescent="0.3">
      <c r="A440" t="s">
        <v>483</v>
      </c>
      <c r="B440" t="s">
        <v>11</v>
      </c>
      <c r="C440" t="s">
        <v>12</v>
      </c>
      <c r="D440" t="s">
        <v>13</v>
      </c>
      <c r="E440" t="s">
        <v>14</v>
      </c>
      <c r="F440">
        <v>181</v>
      </c>
      <c r="G440" s="3">
        <v>167.19</v>
      </c>
      <c r="H440" s="1">
        <v>45837</v>
      </c>
      <c r="I440" s="1">
        <v>45853</v>
      </c>
      <c r="J440" s="3">
        <v>44.17</v>
      </c>
      <c r="K440" s="2">
        <f>Table4[[#This Row],[Stock-Quantity]]*Table4[[#This Row],[Unit-Price]]</f>
        <v>30261.39</v>
      </c>
      <c r="L440" s="2">
        <f>Table4[[#This Row],[Stock-Quantity]]*Table4[[#This Row],[Margin-Unit]]</f>
        <v>7994.77</v>
      </c>
      <c r="M440">
        <f>Table4[[#This Row],[Date-Sales]]-Table4[[#This Row],[Date-Received]]</f>
        <v>16</v>
      </c>
      <c r="N440" s="6">
        <f>Table4[[#This Row],[Margin-Unit]]/Table4[[#This Row],[Unit-Price]]</f>
        <v>0.26419044201208208</v>
      </c>
    </row>
    <row r="441" spans="1:14" x14ac:dyDescent="0.3">
      <c r="A441" t="s">
        <v>484</v>
      </c>
      <c r="B441" t="s">
        <v>37</v>
      </c>
      <c r="C441" t="s">
        <v>22</v>
      </c>
      <c r="D441" t="s">
        <v>30</v>
      </c>
      <c r="E441" t="s">
        <v>31</v>
      </c>
      <c r="F441">
        <v>76</v>
      </c>
      <c r="G441" s="3">
        <v>489.79</v>
      </c>
      <c r="H441" s="1">
        <v>45795</v>
      </c>
      <c r="I441" s="1">
        <v>45805</v>
      </c>
      <c r="J441" s="3">
        <v>54.86</v>
      </c>
      <c r="K441" s="2">
        <f>Table4[[#This Row],[Stock-Quantity]]*Table4[[#This Row],[Unit-Price]]</f>
        <v>37224.04</v>
      </c>
      <c r="L441" s="2">
        <f>Table4[[#This Row],[Stock-Quantity]]*Table4[[#This Row],[Margin-Unit]]</f>
        <v>4169.3599999999997</v>
      </c>
      <c r="M441">
        <f>Table4[[#This Row],[Date-Sales]]-Table4[[#This Row],[Date-Received]]</f>
        <v>10</v>
      </c>
      <c r="N441" s="6">
        <f>Table4[[#This Row],[Margin-Unit]]/Table4[[#This Row],[Unit-Price]]</f>
        <v>0.1120071867535066</v>
      </c>
    </row>
    <row r="442" spans="1:14" x14ac:dyDescent="0.3">
      <c r="A442" t="s">
        <v>485</v>
      </c>
      <c r="B442" t="s">
        <v>24</v>
      </c>
      <c r="C442" t="s">
        <v>22</v>
      </c>
      <c r="D442" t="s">
        <v>13</v>
      </c>
      <c r="E442" t="s">
        <v>14</v>
      </c>
      <c r="F442">
        <v>386</v>
      </c>
      <c r="G442" s="3">
        <v>65.31</v>
      </c>
      <c r="H442" s="1">
        <v>45801</v>
      </c>
      <c r="I442" s="1">
        <v>45816</v>
      </c>
      <c r="J442" s="3">
        <v>14.83</v>
      </c>
      <c r="K442" s="2">
        <f>Table4[[#This Row],[Stock-Quantity]]*Table4[[#This Row],[Unit-Price]]</f>
        <v>25209.66</v>
      </c>
      <c r="L442" s="2">
        <f>Table4[[#This Row],[Stock-Quantity]]*Table4[[#This Row],[Margin-Unit]]</f>
        <v>5724.38</v>
      </c>
      <c r="M442">
        <f>Table4[[#This Row],[Date-Sales]]-Table4[[#This Row],[Date-Received]]</f>
        <v>15</v>
      </c>
      <c r="N442" s="6">
        <f>Table4[[#This Row],[Margin-Unit]]/Table4[[#This Row],[Unit-Price]]</f>
        <v>0.22707089266574795</v>
      </c>
    </row>
    <row r="443" spans="1:14" x14ac:dyDescent="0.3">
      <c r="A443" t="s">
        <v>486</v>
      </c>
      <c r="B443" t="s">
        <v>52</v>
      </c>
      <c r="C443" t="s">
        <v>12</v>
      </c>
      <c r="D443" t="s">
        <v>40</v>
      </c>
      <c r="E443" t="s">
        <v>41</v>
      </c>
      <c r="F443">
        <v>460</v>
      </c>
      <c r="G443" s="3">
        <v>408.76</v>
      </c>
      <c r="H443" s="1">
        <v>45679</v>
      </c>
      <c r="I443" s="1">
        <v>45704</v>
      </c>
      <c r="J443" s="3">
        <v>62.36</v>
      </c>
      <c r="K443" s="2">
        <f>Table4[[#This Row],[Stock-Quantity]]*Table4[[#This Row],[Unit-Price]]</f>
        <v>188029.6</v>
      </c>
      <c r="L443" s="2">
        <f>Table4[[#This Row],[Stock-Quantity]]*Table4[[#This Row],[Margin-Unit]]</f>
        <v>28685.599999999999</v>
      </c>
      <c r="M443">
        <f>Table4[[#This Row],[Date-Sales]]-Table4[[#This Row],[Date-Received]]</f>
        <v>25</v>
      </c>
      <c r="N443" s="6">
        <f>Table4[[#This Row],[Margin-Unit]]/Table4[[#This Row],[Unit-Price]]</f>
        <v>0.15255895880223114</v>
      </c>
    </row>
    <row r="444" spans="1:14" x14ac:dyDescent="0.3">
      <c r="A444" t="s">
        <v>487</v>
      </c>
      <c r="B444" t="s">
        <v>116</v>
      </c>
      <c r="C444" t="s">
        <v>12</v>
      </c>
      <c r="D444" t="s">
        <v>18</v>
      </c>
      <c r="E444" t="s">
        <v>19</v>
      </c>
      <c r="F444">
        <v>111</v>
      </c>
      <c r="G444" s="3">
        <v>277.05</v>
      </c>
      <c r="H444" s="1">
        <v>45823</v>
      </c>
      <c r="I444" s="1">
        <v>45845</v>
      </c>
      <c r="J444" s="3">
        <v>68.88</v>
      </c>
      <c r="K444" s="2">
        <f>Table4[[#This Row],[Stock-Quantity]]*Table4[[#This Row],[Unit-Price]]</f>
        <v>30752.550000000003</v>
      </c>
      <c r="L444" s="2">
        <f>Table4[[#This Row],[Stock-Quantity]]*Table4[[#This Row],[Margin-Unit]]</f>
        <v>7645.6799999999994</v>
      </c>
      <c r="M444">
        <f>Table4[[#This Row],[Date-Sales]]-Table4[[#This Row],[Date-Received]]</f>
        <v>22</v>
      </c>
      <c r="N444" s="6">
        <f>Table4[[#This Row],[Margin-Unit]]/Table4[[#This Row],[Unit-Price]]</f>
        <v>0.24861938278289114</v>
      </c>
    </row>
    <row r="445" spans="1:14" x14ac:dyDescent="0.3">
      <c r="A445" t="s">
        <v>488</v>
      </c>
      <c r="B445" t="s">
        <v>37</v>
      </c>
      <c r="C445" t="s">
        <v>22</v>
      </c>
      <c r="D445" t="s">
        <v>40</v>
      </c>
      <c r="E445" t="s">
        <v>41</v>
      </c>
      <c r="F445">
        <v>216</v>
      </c>
      <c r="G445" s="3">
        <v>406.89</v>
      </c>
      <c r="H445" s="1">
        <v>45755</v>
      </c>
      <c r="I445" s="1">
        <v>45780</v>
      </c>
      <c r="J445" s="3">
        <v>98.86</v>
      </c>
      <c r="K445" s="2">
        <f>Table4[[#This Row],[Stock-Quantity]]*Table4[[#This Row],[Unit-Price]]</f>
        <v>87888.239999999991</v>
      </c>
      <c r="L445" s="2">
        <f>Table4[[#This Row],[Stock-Quantity]]*Table4[[#This Row],[Margin-Unit]]</f>
        <v>21353.759999999998</v>
      </c>
      <c r="M445">
        <f>Table4[[#This Row],[Date-Sales]]-Table4[[#This Row],[Date-Received]]</f>
        <v>25</v>
      </c>
      <c r="N445" s="6">
        <f>Table4[[#This Row],[Margin-Unit]]/Table4[[#This Row],[Unit-Price]]</f>
        <v>0.24296492909631595</v>
      </c>
    </row>
    <row r="446" spans="1:14" x14ac:dyDescent="0.3">
      <c r="A446" t="s">
        <v>489</v>
      </c>
      <c r="B446" t="s">
        <v>106</v>
      </c>
      <c r="C446" t="s">
        <v>17</v>
      </c>
      <c r="D446" t="s">
        <v>13</v>
      </c>
      <c r="E446" t="s">
        <v>14</v>
      </c>
      <c r="F446">
        <v>178</v>
      </c>
      <c r="G446" s="3">
        <v>193.86</v>
      </c>
      <c r="H446" s="1">
        <v>45736</v>
      </c>
      <c r="I446" s="1">
        <v>45759</v>
      </c>
      <c r="J446" s="3">
        <v>49.98</v>
      </c>
      <c r="K446" s="2">
        <f>Table4[[#This Row],[Stock-Quantity]]*Table4[[#This Row],[Unit-Price]]</f>
        <v>34507.08</v>
      </c>
      <c r="L446" s="2">
        <f>Table4[[#This Row],[Stock-Quantity]]*Table4[[#This Row],[Margin-Unit]]</f>
        <v>8896.4399999999987</v>
      </c>
      <c r="M446">
        <f>Table4[[#This Row],[Date-Sales]]-Table4[[#This Row],[Date-Received]]</f>
        <v>23</v>
      </c>
      <c r="N446" s="6">
        <f>Table4[[#This Row],[Margin-Unit]]/Table4[[#This Row],[Unit-Price]]</f>
        <v>0.25781491798204886</v>
      </c>
    </row>
    <row r="447" spans="1:14" x14ac:dyDescent="0.3">
      <c r="A447" t="s">
        <v>490</v>
      </c>
      <c r="B447" t="s">
        <v>63</v>
      </c>
      <c r="C447" t="s">
        <v>35</v>
      </c>
      <c r="D447" t="s">
        <v>18</v>
      </c>
      <c r="E447" t="s">
        <v>19</v>
      </c>
      <c r="F447">
        <v>298</v>
      </c>
      <c r="G447" s="3">
        <v>84.58</v>
      </c>
      <c r="H447" s="1">
        <v>45784</v>
      </c>
      <c r="I447" s="1">
        <v>45814</v>
      </c>
      <c r="J447" s="3">
        <v>13.39</v>
      </c>
      <c r="K447" s="2">
        <f>Table4[[#This Row],[Stock-Quantity]]*Table4[[#This Row],[Unit-Price]]</f>
        <v>25204.84</v>
      </c>
      <c r="L447" s="2">
        <f>Table4[[#This Row],[Stock-Quantity]]*Table4[[#This Row],[Margin-Unit]]</f>
        <v>3990.2200000000003</v>
      </c>
      <c r="M447">
        <f>Table4[[#This Row],[Date-Sales]]-Table4[[#This Row],[Date-Received]]</f>
        <v>30</v>
      </c>
      <c r="N447" s="6">
        <f>Table4[[#This Row],[Margin-Unit]]/Table4[[#This Row],[Unit-Price]]</f>
        <v>0.15831165760227006</v>
      </c>
    </row>
    <row r="448" spans="1:14" x14ac:dyDescent="0.3">
      <c r="A448" t="s">
        <v>491</v>
      </c>
      <c r="B448" t="s">
        <v>63</v>
      </c>
      <c r="C448" t="s">
        <v>35</v>
      </c>
      <c r="D448" t="s">
        <v>18</v>
      </c>
      <c r="E448" t="s">
        <v>19</v>
      </c>
      <c r="F448">
        <v>462</v>
      </c>
      <c r="G448" s="3">
        <v>35.46</v>
      </c>
      <c r="H448" s="1">
        <v>45674</v>
      </c>
      <c r="I448" s="1">
        <v>45693</v>
      </c>
      <c r="J448" s="3">
        <v>9.11</v>
      </c>
      <c r="K448" s="2">
        <f>Table4[[#This Row],[Stock-Quantity]]*Table4[[#This Row],[Unit-Price]]</f>
        <v>16382.52</v>
      </c>
      <c r="L448" s="2">
        <f>Table4[[#This Row],[Stock-Quantity]]*Table4[[#This Row],[Margin-Unit]]</f>
        <v>4208.82</v>
      </c>
      <c r="M448">
        <f>Table4[[#This Row],[Date-Sales]]-Table4[[#This Row],[Date-Received]]</f>
        <v>19</v>
      </c>
      <c r="N448" s="6">
        <f>Table4[[#This Row],[Margin-Unit]]/Table4[[#This Row],[Unit-Price]]</f>
        <v>0.25690919345741681</v>
      </c>
    </row>
    <row r="449" spans="1:14" x14ac:dyDescent="0.3">
      <c r="A449" t="s">
        <v>492</v>
      </c>
      <c r="B449" t="s">
        <v>43</v>
      </c>
      <c r="C449" t="s">
        <v>35</v>
      </c>
      <c r="D449" t="s">
        <v>18</v>
      </c>
      <c r="E449" t="s">
        <v>19</v>
      </c>
      <c r="F449">
        <v>356</v>
      </c>
      <c r="G449" s="3">
        <v>120.28</v>
      </c>
      <c r="H449" s="1">
        <v>45753</v>
      </c>
      <c r="I449" s="1">
        <v>45765</v>
      </c>
      <c r="J449" s="3">
        <v>15.44</v>
      </c>
      <c r="K449" s="2">
        <f>Table4[[#This Row],[Stock-Quantity]]*Table4[[#This Row],[Unit-Price]]</f>
        <v>42819.68</v>
      </c>
      <c r="L449" s="2">
        <f>Table4[[#This Row],[Stock-Quantity]]*Table4[[#This Row],[Margin-Unit]]</f>
        <v>5496.6399999999994</v>
      </c>
      <c r="M449">
        <f>Table4[[#This Row],[Date-Sales]]-Table4[[#This Row],[Date-Received]]</f>
        <v>12</v>
      </c>
      <c r="N449" s="6">
        <f>Table4[[#This Row],[Margin-Unit]]/Table4[[#This Row],[Unit-Price]]</f>
        <v>0.12836714333222479</v>
      </c>
    </row>
    <row r="450" spans="1:14" x14ac:dyDescent="0.3">
      <c r="A450" t="s">
        <v>493</v>
      </c>
      <c r="B450" t="s">
        <v>65</v>
      </c>
      <c r="C450" t="s">
        <v>22</v>
      </c>
      <c r="D450" t="s">
        <v>18</v>
      </c>
      <c r="E450" t="s">
        <v>19</v>
      </c>
      <c r="F450">
        <v>38</v>
      </c>
      <c r="G450" s="3">
        <v>229.51</v>
      </c>
      <c r="H450" s="1">
        <v>45832</v>
      </c>
      <c r="I450" s="1">
        <v>45857</v>
      </c>
      <c r="J450" s="3">
        <v>48.24</v>
      </c>
      <c r="K450" s="2">
        <f>Table4[[#This Row],[Stock-Quantity]]*Table4[[#This Row],[Unit-Price]]</f>
        <v>8721.3799999999992</v>
      </c>
      <c r="L450" s="2">
        <f>Table4[[#This Row],[Stock-Quantity]]*Table4[[#This Row],[Margin-Unit]]</f>
        <v>1833.1200000000001</v>
      </c>
      <c r="M450">
        <f>Table4[[#This Row],[Date-Sales]]-Table4[[#This Row],[Date-Received]]</f>
        <v>25</v>
      </c>
      <c r="N450" s="6">
        <f>Table4[[#This Row],[Margin-Unit]]/Table4[[#This Row],[Unit-Price]]</f>
        <v>0.21018691995991462</v>
      </c>
    </row>
    <row r="451" spans="1:14" x14ac:dyDescent="0.3">
      <c r="A451" t="s">
        <v>494</v>
      </c>
      <c r="B451" t="s">
        <v>34</v>
      </c>
      <c r="C451" t="s">
        <v>35</v>
      </c>
      <c r="D451" t="s">
        <v>40</v>
      </c>
      <c r="E451" t="s">
        <v>41</v>
      </c>
      <c r="F451">
        <v>498</v>
      </c>
      <c r="G451" s="3">
        <v>471.21</v>
      </c>
      <c r="H451" s="1">
        <v>45752</v>
      </c>
      <c r="I451" s="1">
        <v>45764</v>
      </c>
      <c r="J451" s="3">
        <v>133.25</v>
      </c>
      <c r="K451" s="2">
        <f>Table4[[#This Row],[Stock-Quantity]]*Table4[[#This Row],[Unit-Price]]</f>
        <v>234662.58</v>
      </c>
      <c r="L451" s="2">
        <f>Table4[[#This Row],[Stock-Quantity]]*Table4[[#This Row],[Margin-Unit]]</f>
        <v>66358.5</v>
      </c>
      <c r="M451">
        <f>Table4[[#This Row],[Date-Sales]]-Table4[[#This Row],[Date-Received]]</f>
        <v>12</v>
      </c>
      <c r="N451" s="6">
        <f>Table4[[#This Row],[Margin-Unit]]/Table4[[#This Row],[Unit-Price]]</f>
        <v>0.28278262345875516</v>
      </c>
    </row>
    <row r="452" spans="1:14" x14ac:dyDescent="0.3">
      <c r="A452" t="s">
        <v>495</v>
      </c>
      <c r="B452" t="s">
        <v>106</v>
      </c>
      <c r="C452" t="s">
        <v>17</v>
      </c>
      <c r="D452" t="s">
        <v>13</v>
      </c>
      <c r="E452" t="s">
        <v>14</v>
      </c>
      <c r="F452">
        <v>455</v>
      </c>
      <c r="G452" s="3">
        <v>238.89</v>
      </c>
      <c r="H452" s="1">
        <v>45805</v>
      </c>
      <c r="I452" s="1">
        <v>45806</v>
      </c>
      <c r="J452" s="3">
        <v>39.24</v>
      </c>
      <c r="K452" s="2">
        <f>Table4[[#This Row],[Stock-Quantity]]*Table4[[#This Row],[Unit-Price]]</f>
        <v>108694.95</v>
      </c>
      <c r="L452" s="2">
        <f>Table4[[#This Row],[Stock-Quantity]]*Table4[[#This Row],[Margin-Unit]]</f>
        <v>17854.2</v>
      </c>
      <c r="M452">
        <f>Table4[[#This Row],[Date-Sales]]-Table4[[#This Row],[Date-Received]]</f>
        <v>1</v>
      </c>
      <c r="N452" s="6">
        <f>Table4[[#This Row],[Margin-Unit]]/Table4[[#This Row],[Unit-Price]]</f>
        <v>0.16425970111766924</v>
      </c>
    </row>
    <row r="453" spans="1:14" x14ac:dyDescent="0.3">
      <c r="A453" t="s">
        <v>496</v>
      </c>
      <c r="B453" t="s">
        <v>39</v>
      </c>
      <c r="C453" t="s">
        <v>12</v>
      </c>
      <c r="D453" t="s">
        <v>30</v>
      </c>
      <c r="E453" t="s">
        <v>31</v>
      </c>
      <c r="F453">
        <v>349</v>
      </c>
      <c r="G453" s="3">
        <v>485.88</v>
      </c>
      <c r="H453" s="1">
        <v>45739</v>
      </c>
      <c r="I453" s="1">
        <v>45761</v>
      </c>
      <c r="J453" s="3">
        <v>69.8</v>
      </c>
      <c r="K453" s="2">
        <f>Table4[[#This Row],[Stock-Quantity]]*Table4[[#This Row],[Unit-Price]]</f>
        <v>169572.12</v>
      </c>
      <c r="L453" s="2">
        <f>Table4[[#This Row],[Stock-Quantity]]*Table4[[#This Row],[Margin-Unit]]</f>
        <v>24360.2</v>
      </c>
      <c r="M453">
        <f>Table4[[#This Row],[Date-Sales]]-Table4[[#This Row],[Date-Received]]</f>
        <v>22</v>
      </c>
      <c r="N453" s="6">
        <f>Table4[[#This Row],[Margin-Unit]]/Table4[[#This Row],[Unit-Price]]</f>
        <v>0.14365687000905572</v>
      </c>
    </row>
    <row r="454" spans="1:14" x14ac:dyDescent="0.3">
      <c r="A454" t="s">
        <v>497</v>
      </c>
      <c r="B454" t="s">
        <v>74</v>
      </c>
      <c r="C454" t="s">
        <v>29</v>
      </c>
      <c r="D454" t="s">
        <v>18</v>
      </c>
      <c r="E454" t="s">
        <v>19</v>
      </c>
      <c r="F454">
        <v>121</v>
      </c>
      <c r="G454" s="3">
        <v>46.75</v>
      </c>
      <c r="H454" s="1">
        <v>45711</v>
      </c>
      <c r="I454" s="1">
        <v>45722</v>
      </c>
      <c r="J454" s="3">
        <v>11.42</v>
      </c>
      <c r="K454" s="2">
        <f>Table4[[#This Row],[Stock-Quantity]]*Table4[[#This Row],[Unit-Price]]</f>
        <v>5656.75</v>
      </c>
      <c r="L454" s="2">
        <f>Table4[[#This Row],[Stock-Quantity]]*Table4[[#This Row],[Margin-Unit]]</f>
        <v>1381.82</v>
      </c>
      <c r="M454">
        <f>Table4[[#This Row],[Date-Sales]]-Table4[[#This Row],[Date-Received]]</f>
        <v>11</v>
      </c>
      <c r="N454" s="6">
        <f>Table4[[#This Row],[Margin-Unit]]/Table4[[#This Row],[Unit-Price]]</f>
        <v>0.24427807486631015</v>
      </c>
    </row>
    <row r="455" spans="1:14" x14ac:dyDescent="0.3">
      <c r="A455" t="s">
        <v>498</v>
      </c>
      <c r="B455" t="s">
        <v>24</v>
      </c>
      <c r="C455" t="s">
        <v>22</v>
      </c>
      <c r="D455" t="s">
        <v>18</v>
      </c>
      <c r="E455" t="s">
        <v>19</v>
      </c>
      <c r="F455">
        <v>401</v>
      </c>
      <c r="G455" s="3">
        <v>171.75</v>
      </c>
      <c r="H455" s="1">
        <v>45827</v>
      </c>
      <c r="I455" s="1">
        <v>45847</v>
      </c>
      <c r="J455" s="3">
        <v>47.18</v>
      </c>
      <c r="K455" s="2">
        <f>Table4[[#This Row],[Stock-Quantity]]*Table4[[#This Row],[Unit-Price]]</f>
        <v>68871.75</v>
      </c>
      <c r="L455" s="2">
        <f>Table4[[#This Row],[Stock-Quantity]]*Table4[[#This Row],[Margin-Unit]]</f>
        <v>18919.18</v>
      </c>
      <c r="M455">
        <f>Table4[[#This Row],[Date-Sales]]-Table4[[#This Row],[Date-Received]]</f>
        <v>20</v>
      </c>
      <c r="N455" s="6">
        <f>Table4[[#This Row],[Margin-Unit]]/Table4[[#This Row],[Unit-Price]]</f>
        <v>0.27470160116448328</v>
      </c>
    </row>
    <row r="456" spans="1:14" x14ac:dyDescent="0.3">
      <c r="A456" t="s">
        <v>499</v>
      </c>
      <c r="B456" t="s">
        <v>21</v>
      </c>
      <c r="C456" t="s">
        <v>22</v>
      </c>
      <c r="D456" t="s">
        <v>13</v>
      </c>
      <c r="E456" t="s">
        <v>14</v>
      </c>
      <c r="F456">
        <v>232</v>
      </c>
      <c r="G456" s="3">
        <v>362.87</v>
      </c>
      <c r="H456" s="1">
        <v>45825</v>
      </c>
      <c r="I456" s="1">
        <v>45855</v>
      </c>
      <c r="J456" s="3">
        <v>101.88</v>
      </c>
      <c r="K456" s="2">
        <f>Table4[[#This Row],[Stock-Quantity]]*Table4[[#This Row],[Unit-Price]]</f>
        <v>84185.84</v>
      </c>
      <c r="L456" s="2">
        <f>Table4[[#This Row],[Stock-Quantity]]*Table4[[#This Row],[Margin-Unit]]</f>
        <v>23636.16</v>
      </c>
      <c r="M456">
        <f>Table4[[#This Row],[Date-Sales]]-Table4[[#This Row],[Date-Received]]</f>
        <v>30</v>
      </c>
      <c r="N456" s="6">
        <f>Table4[[#This Row],[Margin-Unit]]/Table4[[#This Row],[Unit-Price]]</f>
        <v>0.28076170529390687</v>
      </c>
    </row>
    <row r="457" spans="1:14" x14ac:dyDescent="0.3">
      <c r="A457" t="s">
        <v>500</v>
      </c>
      <c r="B457" t="s">
        <v>37</v>
      </c>
      <c r="C457" t="s">
        <v>22</v>
      </c>
      <c r="D457" t="s">
        <v>40</v>
      </c>
      <c r="E457" t="s">
        <v>41</v>
      </c>
      <c r="F457">
        <v>42</v>
      </c>
      <c r="G457" s="3">
        <v>232.89</v>
      </c>
      <c r="H457" s="1">
        <v>45753</v>
      </c>
      <c r="I457" s="1">
        <v>45774</v>
      </c>
      <c r="J457" s="3">
        <v>57.78</v>
      </c>
      <c r="K457" s="2">
        <f>Table4[[#This Row],[Stock-Quantity]]*Table4[[#This Row],[Unit-Price]]</f>
        <v>9781.3799999999992</v>
      </c>
      <c r="L457" s="2">
        <f>Table4[[#This Row],[Stock-Quantity]]*Table4[[#This Row],[Margin-Unit]]</f>
        <v>2426.7600000000002</v>
      </c>
      <c r="M457">
        <f>Table4[[#This Row],[Date-Sales]]-Table4[[#This Row],[Date-Received]]</f>
        <v>21</v>
      </c>
      <c r="N457" s="6">
        <f>Table4[[#This Row],[Margin-Unit]]/Table4[[#This Row],[Unit-Price]]</f>
        <v>0.24809996135514623</v>
      </c>
    </row>
    <row r="458" spans="1:14" x14ac:dyDescent="0.3">
      <c r="A458" t="s">
        <v>501</v>
      </c>
      <c r="B458" t="s">
        <v>11</v>
      </c>
      <c r="C458" t="s">
        <v>12</v>
      </c>
      <c r="D458" t="s">
        <v>40</v>
      </c>
      <c r="E458" t="s">
        <v>41</v>
      </c>
      <c r="F458">
        <v>389</v>
      </c>
      <c r="G458" s="3">
        <v>40.07</v>
      </c>
      <c r="H458" s="1">
        <v>45824</v>
      </c>
      <c r="I458" s="1">
        <v>45845</v>
      </c>
      <c r="J458" s="3">
        <v>5.49</v>
      </c>
      <c r="K458" s="2">
        <f>Table4[[#This Row],[Stock-Quantity]]*Table4[[#This Row],[Unit-Price]]</f>
        <v>15587.23</v>
      </c>
      <c r="L458" s="2">
        <f>Table4[[#This Row],[Stock-Quantity]]*Table4[[#This Row],[Margin-Unit]]</f>
        <v>2135.61</v>
      </c>
      <c r="M458">
        <f>Table4[[#This Row],[Date-Sales]]-Table4[[#This Row],[Date-Received]]</f>
        <v>21</v>
      </c>
      <c r="N458" s="6">
        <f>Table4[[#This Row],[Margin-Unit]]/Table4[[#This Row],[Unit-Price]]</f>
        <v>0.13701023209383578</v>
      </c>
    </row>
    <row r="459" spans="1:14" x14ac:dyDescent="0.3">
      <c r="A459" t="s">
        <v>502</v>
      </c>
      <c r="B459" t="s">
        <v>47</v>
      </c>
      <c r="C459" t="s">
        <v>17</v>
      </c>
      <c r="D459" t="s">
        <v>13</v>
      </c>
      <c r="E459" t="s">
        <v>14</v>
      </c>
      <c r="F459">
        <v>92</v>
      </c>
      <c r="G459" s="3">
        <v>413.81</v>
      </c>
      <c r="H459" s="1">
        <v>45673</v>
      </c>
      <c r="I459" s="1">
        <v>45680</v>
      </c>
      <c r="J459" s="3">
        <v>52.91</v>
      </c>
      <c r="K459" s="2">
        <f>Table4[[#This Row],[Stock-Quantity]]*Table4[[#This Row],[Unit-Price]]</f>
        <v>38070.519999999997</v>
      </c>
      <c r="L459" s="2">
        <f>Table4[[#This Row],[Stock-Quantity]]*Table4[[#This Row],[Margin-Unit]]</f>
        <v>4867.7199999999993</v>
      </c>
      <c r="M459">
        <f>Table4[[#This Row],[Date-Sales]]-Table4[[#This Row],[Date-Received]]</f>
        <v>7</v>
      </c>
      <c r="N459" s="6">
        <f>Table4[[#This Row],[Margin-Unit]]/Table4[[#This Row],[Unit-Price]]</f>
        <v>0.12786061235832868</v>
      </c>
    </row>
    <row r="460" spans="1:14" x14ac:dyDescent="0.3">
      <c r="A460" t="s">
        <v>503</v>
      </c>
      <c r="B460" t="s">
        <v>24</v>
      </c>
      <c r="C460" t="s">
        <v>22</v>
      </c>
      <c r="D460" t="s">
        <v>40</v>
      </c>
      <c r="E460" t="s">
        <v>41</v>
      </c>
      <c r="F460">
        <v>465</v>
      </c>
      <c r="G460" s="3">
        <v>480.01</v>
      </c>
      <c r="H460" s="1">
        <v>45753</v>
      </c>
      <c r="I460" s="1">
        <v>45774</v>
      </c>
      <c r="J460" s="3">
        <v>139.31</v>
      </c>
      <c r="K460" s="2">
        <f>Table4[[#This Row],[Stock-Quantity]]*Table4[[#This Row],[Unit-Price]]</f>
        <v>223204.65</v>
      </c>
      <c r="L460" s="2">
        <f>Table4[[#This Row],[Stock-Quantity]]*Table4[[#This Row],[Margin-Unit]]</f>
        <v>64779.15</v>
      </c>
      <c r="M460">
        <f>Table4[[#This Row],[Date-Sales]]-Table4[[#This Row],[Date-Received]]</f>
        <v>21</v>
      </c>
      <c r="N460" s="6">
        <f>Table4[[#This Row],[Margin-Unit]]/Table4[[#This Row],[Unit-Price]]</f>
        <v>0.29022312035165937</v>
      </c>
    </row>
    <row r="461" spans="1:14" x14ac:dyDescent="0.3">
      <c r="A461" t="s">
        <v>504</v>
      </c>
      <c r="B461" t="s">
        <v>70</v>
      </c>
      <c r="C461" t="s">
        <v>35</v>
      </c>
      <c r="D461" t="s">
        <v>25</v>
      </c>
      <c r="E461" t="s">
        <v>26</v>
      </c>
      <c r="F461">
        <v>429</v>
      </c>
      <c r="G461" s="3">
        <v>263.36</v>
      </c>
      <c r="H461" s="1">
        <v>45665</v>
      </c>
      <c r="I461" s="1">
        <v>45685</v>
      </c>
      <c r="J461" s="3">
        <v>33.119999999999997</v>
      </c>
      <c r="K461" s="2">
        <f>Table4[[#This Row],[Stock-Quantity]]*Table4[[#This Row],[Unit-Price]]</f>
        <v>112981.44</v>
      </c>
      <c r="L461" s="2">
        <f>Table4[[#This Row],[Stock-Quantity]]*Table4[[#This Row],[Margin-Unit]]</f>
        <v>14208.48</v>
      </c>
      <c r="M461">
        <f>Table4[[#This Row],[Date-Sales]]-Table4[[#This Row],[Date-Received]]</f>
        <v>20</v>
      </c>
      <c r="N461" s="6">
        <f>Table4[[#This Row],[Margin-Unit]]/Table4[[#This Row],[Unit-Price]]</f>
        <v>0.12575941676792221</v>
      </c>
    </row>
    <row r="462" spans="1:14" x14ac:dyDescent="0.3">
      <c r="A462" t="s">
        <v>505</v>
      </c>
      <c r="B462" t="s">
        <v>16</v>
      </c>
      <c r="C462" t="s">
        <v>17</v>
      </c>
      <c r="D462" t="s">
        <v>25</v>
      </c>
      <c r="E462" t="s">
        <v>26</v>
      </c>
      <c r="F462">
        <v>275</v>
      </c>
      <c r="G462" s="3">
        <v>451.91</v>
      </c>
      <c r="H462" s="1">
        <v>45723</v>
      </c>
      <c r="I462" s="1">
        <v>45739</v>
      </c>
      <c r="J462" s="3">
        <v>66.099999999999994</v>
      </c>
      <c r="K462" s="2">
        <f>Table4[[#This Row],[Stock-Quantity]]*Table4[[#This Row],[Unit-Price]]</f>
        <v>124275.25</v>
      </c>
      <c r="L462" s="2">
        <f>Table4[[#This Row],[Stock-Quantity]]*Table4[[#This Row],[Margin-Unit]]</f>
        <v>18177.5</v>
      </c>
      <c r="M462">
        <f>Table4[[#This Row],[Date-Sales]]-Table4[[#This Row],[Date-Received]]</f>
        <v>16</v>
      </c>
      <c r="N462" s="6">
        <f>Table4[[#This Row],[Margin-Unit]]/Table4[[#This Row],[Unit-Price]]</f>
        <v>0.14626806222477926</v>
      </c>
    </row>
    <row r="463" spans="1:14" x14ac:dyDescent="0.3">
      <c r="A463" t="s">
        <v>506</v>
      </c>
      <c r="B463" t="s">
        <v>65</v>
      </c>
      <c r="C463" t="s">
        <v>22</v>
      </c>
      <c r="D463" t="s">
        <v>18</v>
      </c>
      <c r="E463" t="s">
        <v>19</v>
      </c>
      <c r="F463">
        <v>282</v>
      </c>
      <c r="G463" s="3">
        <v>129.59</v>
      </c>
      <c r="H463" s="1">
        <v>45769</v>
      </c>
      <c r="I463" s="1">
        <v>45792</v>
      </c>
      <c r="J463" s="3">
        <v>30.36</v>
      </c>
      <c r="K463" s="2">
        <f>Table4[[#This Row],[Stock-Quantity]]*Table4[[#This Row],[Unit-Price]]</f>
        <v>36544.379999999997</v>
      </c>
      <c r="L463" s="2">
        <f>Table4[[#This Row],[Stock-Quantity]]*Table4[[#This Row],[Margin-Unit]]</f>
        <v>8561.52</v>
      </c>
      <c r="M463">
        <f>Table4[[#This Row],[Date-Sales]]-Table4[[#This Row],[Date-Received]]</f>
        <v>23</v>
      </c>
      <c r="N463" s="6">
        <f>Table4[[#This Row],[Margin-Unit]]/Table4[[#This Row],[Unit-Price]]</f>
        <v>0.23427733621421404</v>
      </c>
    </row>
    <row r="464" spans="1:14" x14ac:dyDescent="0.3">
      <c r="A464" t="s">
        <v>507</v>
      </c>
      <c r="B464" t="s">
        <v>70</v>
      </c>
      <c r="C464" t="s">
        <v>35</v>
      </c>
      <c r="D464" t="s">
        <v>18</v>
      </c>
      <c r="E464" t="s">
        <v>19</v>
      </c>
      <c r="F464">
        <v>434</v>
      </c>
      <c r="G464" s="3">
        <v>18.79</v>
      </c>
      <c r="H464" s="1">
        <v>45745</v>
      </c>
      <c r="I464" s="1">
        <v>45749</v>
      </c>
      <c r="J464" s="3">
        <v>2.93</v>
      </c>
      <c r="K464" s="2">
        <f>Table4[[#This Row],[Stock-Quantity]]*Table4[[#This Row],[Unit-Price]]</f>
        <v>8154.86</v>
      </c>
      <c r="L464" s="2">
        <f>Table4[[#This Row],[Stock-Quantity]]*Table4[[#This Row],[Margin-Unit]]</f>
        <v>1271.6200000000001</v>
      </c>
      <c r="M464">
        <f>Table4[[#This Row],[Date-Sales]]-Table4[[#This Row],[Date-Received]]</f>
        <v>4</v>
      </c>
      <c r="N464" s="6">
        <f>Table4[[#This Row],[Margin-Unit]]/Table4[[#This Row],[Unit-Price]]</f>
        <v>0.15593400745077171</v>
      </c>
    </row>
    <row r="465" spans="1:14" x14ac:dyDescent="0.3">
      <c r="A465" t="s">
        <v>508</v>
      </c>
      <c r="B465" t="s">
        <v>47</v>
      </c>
      <c r="C465" t="s">
        <v>17</v>
      </c>
      <c r="D465" t="s">
        <v>40</v>
      </c>
      <c r="E465" t="s">
        <v>41</v>
      </c>
      <c r="F465">
        <v>232</v>
      </c>
      <c r="G465" s="3">
        <v>357.79</v>
      </c>
      <c r="H465" s="1">
        <v>45798</v>
      </c>
      <c r="I465" s="1">
        <v>45812</v>
      </c>
      <c r="J465" s="3">
        <v>36</v>
      </c>
      <c r="K465" s="2">
        <f>Table4[[#This Row],[Stock-Quantity]]*Table4[[#This Row],[Unit-Price]]</f>
        <v>83007.28</v>
      </c>
      <c r="L465" s="2">
        <f>Table4[[#This Row],[Stock-Quantity]]*Table4[[#This Row],[Margin-Unit]]</f>
        <v>8352</v>
      </c>
      <c r="M465">
        <f>Table4[[#This Row],[Date-Sales]]-Table4[[#This Row],[Date-Received]]</f>
        <v>14</v>
      </c>
      <c r="N465" s="6">
        <f>Table4[[#This Row],[Margin-Unit]]/Table4[[#This Row],[Unit-Price]]</f>
        <v>0.10061768076245842</v>
      </c>
    </row>
    <row r="466" spans="1:14" x14ac:dyDescent="0.3">
      <c r="A466" t="s">
        <v>509</v>
      </c>
      <c r="B466" t="s">
        <v>47</v>
      </c>
      <c r="C466" t="s">
        <v>17</v>
      </c>
      <c r="D466" t="s">
        <v>18</v>
      </c>
      <c r="E466" t="s">
        <v>19</v>
      </c>
      <c r="F466">
        <v>496</v>
      </c>
      <c r="G466" s="3">
        <v>489.64</v>
      </c>
      <c r="H466" s="1">
        <v>45762</v>
      </c>
      <c r="I466" s="1">
        <v>45787</v>
      </c>
      <c r="J466" s="3">
        <v>122.68</v>
      </c>
      <c r="K466" s="2">
        <f>Table4[[#This Row],[Stock-Quantity]]*Table4[[#This Row],[Unit-Price]]</f>
        <v>242861.44</v>
      </c>
      <c r="L466" s="2">
        <f>Table4[[#This Row],[Stock-Quantity]]*Table4[[#This Row],[Margin-Unit]]</f>
        <v>60849.280000000006</v>
      </c>
      <c r="M466">
        <f>Table4[[#This Row],[Date-Sales]]-Table4[[#This Row],[Date-Received]]</f>
        <v>25</v>
      </c>
      <c r="N466" s="6">
        <f>Table4[[#This Row],[Margin-Unit]]/Table4[[#This Row],[Unit-Price]]</f>
        <v>0.25055142553712934</v>
      </c>
    </row>
    <row r="467" spans="1:14" x14ac:dyDescent="0.3">
      <c r="A467" t="s">
        <v>510</v>
      </c>
      <c r="B467" t="s">
        <v>39</v>
      </c>
      <c r="C467" t="s">
        <v>12</v>
      </c>
      <c r="D467" t="s">
        <v>30</v>
      </c>
      <c r="E467" t="s">
        <v>31</v>
      </c>
      <c r="F467">
        <v>456</v>
      </c>
      <c r="G467" s="3">
        <v>361.18</v>
      </c>
      <c r="H467" s="1">
        <v>45793</v>
      </c>
      <c r="I467" s="1">
        <v>45794</v>
      </c>
      <c r="J467" s="3">
        <v>57.42</v>
      </c>
      <c r="K467" s="2">
        <f>Table4[[#This Row],[Stock-Quantity]]*Table4[[#This Row],[Unit-Price]]</f>
        <v>164698.08000000002</v>
      </c>
      <c r="L467" s="2">
        <f>Table4[[#This Row],[Stock-Quantity]]*Table4[[#This Row],[Margin-Unit]]</f>
        <v>26183.52</v>
      </c>
      <c r="M467">
        <f>Table4[[#This Row],[Date-Sales]]-Table4[[#This Row],[Date-Received]]</f>
        <v>1</v>
      </c>
      <c r="N467" s="6">
        <f>Table4[[#This Row],[Margin-Unit]]/Table4[[#This Row],[Unit-Price]]</f>
        <v>0.15897890248629493</v>
      </c>
    </row>
    <row r="468" spans="1:14" x14ac:dyDescent="0.3">
      <c r="A468" t="s">
        <v>511</v>
      </c>
      <c r="B468" t="s">
        <v>65</v>
      </c>
      <c r="C468" t="s">
        <v>22</v>
      </c>
      <c r="D468" t="s">
        <v>25</v>
      </c>
      <c r="E468" t="s">
        <v>26</v>
      </c>
      <c r="F468">
        <v>301</v>
      </c>
      <c r="G468" s="3">
        <v>12.79</v>
      </c>
      <c r="H468" s="1">
        <v>45792</v>
      </c>
      <c r="I468" s="1">
        <v>45802</v>
      </c>
      <c r="J468" s="3">
        <v>2.72</v>
      </c>
      <c r="K468" s="2">
        <f>Table4[[#This Row],[Stock-Quantity]]*Table4[[#This Row],[Unit-Price]]</f>
        <v>3849.79</v>
      </c>
      <c r="L468" s="2">
        <f>Table4[[#This Row],[Stock-Quantity]]*Table4[[#This Row],[Margin-Unit]]</f>
        <v>818.72</v>
      </c>
      <c r="M468">
        <f>Table4[[#This Row],[Date-Sales]]-Table4[[#This Row],[Date-Received]]</f>
        <v>10</v>
      </c>
      <c r="N468" s="6">
        <f>Table4[[#This Row],[Margin-Unit]]/Table4[[#This Row],[Unit-Price]]</f>
        <v>0.21266614542611417</v>
      </c>
    </row>
    <row r="469" spans="1:14" x14ac:dyDescent="0.3">
      <c r="A469" t="s">
        <v>512</v>
      </c>
      <c r="B469" t="s">
        <v>94</v>
      </c>
      <c r="C469" t="s">
        <v>29</v>
      </c>
      <c r="D469" t="s">
        <v>18</v>
      </c>
      <c r="E469" t="s">
        <v>19</v>
      </c>
      <c r="F469">
        <v>380</v>
      </c>
      <c r="G469" s="3">
        <v>201.18</v>
      </c>
      <c r="H469" s="1">
        <v>45744</v>
      </c>
      <c r="I469" s="1">
        <v>45757</v>
      </c>
      <c r="J469" s="3">
        <v>53.59</v>
      </c>
      <c r="K469" s="2">
        <f>Table4[[#This Row],[Stock-Quantity]]*Table4[[#This Row],[Unit-Price]]</f>
        <v>76448.400000000009</v>
      </c>
      <c r="L469" s="2">
        <f>Table4[[#This Row],[Stock-Quantity]]*Table4[[#This Row],[Margin-Unit]]</f>
        <v>20364.2</v>
      </c>
      <c r="M469">
        <f>Table4[[#This Row],[Date-Sales]]-Table4[[#This Row],[Date-Received]]</f>
        <v>13</v>
      </c>
      <c r="N469" s="6">
        <f>Table4[[#This Row],[Margin-Unit]]/Table4[[#This Row],[Unit-Price]]</f>
        <v>0.26637836763097722</v>
      </c>
    </row>
    <row r="470" spans="1:14" x14ac:dyDescent="0.3">
      <c r="A470" t="s">
        <v>513</v>
      </c>
      <c r="B470" t="s">
        <v>28</v>
      </c>
      <c r="C470" t="s">
        <v>29</v>
      </c>
      <c r="D470" t="s">
        <v>30</v>
      </c>
      <c r="E470" t="s">
        <v>31</v>
      </c>
      <c r="F470">
        <v>345</v>
      </c>
      <c r="G470" s="3">
        <v>11.44</v>
      </c>
      <c r="H470" s="1">
        <v>45699</v>
      </c>
      <c r="I470" s="1">
        <v>45705</v>
      </c>
      <c r="J470" s="3">
        <v>3.39</v>
      </c>
      <c r="K470" s="2">
        <f>Table4[[#This Row],[Stock-Quantity]]*Table4[[#This Row],[Unit-Price]]</f>
        <v>3946.7999999999997</v>
      </c>
      <c r="L470" s="2">
        <f>Table4[[#This Row],[Stock-Quantity]]*Table4[[#This Row],[Margin-Unit]]</f>
        <v>1169.55</v>
      </c>
      <c r="M470">
        <f>Table4[[#This Row],[Date-Sales]]-Table4[[#This Row],[Date-Received]]</f>
        <v>6</v>
      </c>
      <c r="N470" s="6">
        <f>Table4[[#This Row],[Margin-Unit]]/Table4[[#This Row],[Unit-Price]]</f>
        <v>0.29632867132867136</v>
      </c>
    </row>
    <row r="471" spans="1:14" x14ac:dyDescent="0.3">
      <c r="A471" t="s">
        <v>514</v>
      </c>
      <c r="B471" t="s">
        <v>11</v>
      </c>
      <c r="C471" t="s">
        <v>12</v>
      </c>
      <c r="D471" t="s">
        <v>40</v>
      </c>
      <c r="E471" t="s">
        <v>41</v>
      </c>
      <c r="F471">
        <v>486</v>
      </c>
      <c r="G471" s="3">
        <v>478.14</v>
      </c>
      <c r="H471" s="1">
        <v>45833</v>
      </c>
      <c r="I471" s="1">
        <v>45847</v>
      </c>
      <c r="J471" s="3">
        <v>63.09</v>
      </c>
      <c r="K471" s="2">
        <f>Table4[[#This Row],[Stock-Quantity]]*Table4[[#This Row],[Unit-Price]]</f>
        <v>232376.03999999998</v>
      </c>
      <c r="L471" s="2">
        <f>Table4[[#This Row],[Stock-Quantity]]*Table4[[#This Row],[Margin-Unit]]</f>
        <v>30661.74</v>
      </c>
      <c r="M471">
        <f>Table4[[#This Row],[Date-Sales]]-Table4[[#This Row],[Date-Received]]</f>
        <v>14</v>
      </c>
      <c r="N471" s="6">
        <f>Table4[[#This Row],[Margin-Unit]]/Table4[[#This Row],[Unit-Price]]</f>
        <v>0.13194880160622413</v>
      </c>
    </row>
    <row r="472" spans="1:14" x14ac:dyDescent="0.3">
      <c r="A472" t="s">
        <v>515</v>
      </c>
      <c r="B472" t="s">
        <v>11</v>
      </c>
      <c r="C472" t="s">
        <v>12</v>
      </c>
      <c r="D472" t="s">
        <v>30</v>
      </c>
      <c r="E472" t="s">
        <v>31</v>
      </c>
      <c r="F472">
        <v>120</v>
      </c>
      <c r="G472" s="3">
        <v>68.5</v>
      </c>
      <c r="H472" s="1">
        <v>45736</v>
      </c>
      <c r="I472" s="1">
        <v>45756</v>
      </c>
      <c r="J472" s="3">
        <v>19.78</v>
      </c>
      <c r="K472" s="2">
        <f>Table4[[#This Row],[Stock-Quantity]]*Table4[[#This Row],[Unit-Price]]</f>
        <v>8220</v>
      </c>
      <c r="L472" s="2">
        <f>Table4[[#This Row],[Stock-Quantity]]*Table4[[#This Row],[Margin-Unit]]</f>
        <v>2373.6000000000004</v>
      </c>
      <c r="M472">
        <f>Table4[[#This Row],[Date-Sales]]-Table4[[#This Row],[Date-Received]]</f>
        <v>20</v>
      </c>
      <c r="N472" s="6">
        <f>Table4[[#This Row],[Margin-Unit]]/Table4[[#This Row],[Unit-Price]]</f>
        <v>0.28875912408759125</v>
      </c>
    </row>
    <row r="473" spans="1:14" x14ac:dyDescent="0.3">
      <c r="A473" t="s">
        <v>516</v>
      </c>
      <c r="B473" t="s">
        <v>94</v>
      </c>
      <c r="C473" t="s">
        <v>29</v>
      </c>
      <c r="D473" t="s">
        <v>18</v>
      </c>
      <c r="E473" t="s">
        <v>19</v>
      </c>
      <c r="F473">
        <v>467</v>
      </c>
      <c r="G473" s="3">
        <v>421.02</v>
      </c>
      <c r="H473" s="1">
        <v>45812</v>
      </c>
      <c r="I473" s="1">
        <v>45827</v>
      </c>
      <c r="J473" s="3">
        <v>81.849999999999994</v>
      </c>
      <c r="K473" s="2">
        <f>Table4[[#This Row],[Stock-Quantity]]*Table4[[#This Row],[Unit-Price]]</f>
        <v>196616.34</v>
      </c>
      <c r="L473" s="2">
        <f>Table4[[#This Row],[Stock-Quantity]]*Table4[[#This Row],[Margin-Unit]]</f>
        <v>38223.949999999997</v>
      </c>
      <c r="M473">
        <f>Table4[[#This Row],[Date-Sales]]-Table4[[#This Row],[Date-Received]]</f>
        <v>15</v>
      </c>
      <c r="N473" s="6">
        <f>Table4[[#This Row],[Margin-Unit]]/Table4[[#This Row],[Unit-Price]]</f>
        <v>0.19440881668329296</v>
      </c>
    </row>
    <row r="474" spans="1:14" x14ac:dyDescent="0.3">
      <c r="A474" t="s">
        <v>517</v>
      </c>
      <c r="B474" t="s">
        <v>70</v>
      </c>
      <c r="C474" t="s">
        <v>35</v>
      </c>
      <c r="D474" t="s">
        <v>13</v>
      </c>
      <c r="E474" t="s">
        <v>14</v>
      </c>
      <c r="F474">
        <v>150</v>
      </c>
      <c r="G474" s="3">
        <v>108.59</v>
      </c>
      <c r="H474" s="1">
        <v>45687</v>
      </c>
      <c r="I474" s="1">
        <v>45706</v>
      </c>
      <c r="J474" s="3">
        <v>22.21</v>
      </c>
      <c r="K474" s="2">
        <f>Table4[[#This Row],[Stock-Quantity]]*Table4[[#This Row],[Unit-Price]]</f>
        <v>16288.5</v>
      </c>
      <c r="L474" s="2">
        <f>Table4[[#This Row],[Stock-Quantity]]*Table4[[#This Row],[Margin-Unit]]</f>
        <v>3331.5</v>
      </c>
      <c r="M474">
        <f>Table4[[#This Row],[Date-Sales]]-Table4[[#This Row],[Date-Received]]</f>
        <v>19</v>
      </c>
      <c r="N474" s="6">
        <f>Table4[[#This Row],[Margin-Unit]]/Table4[[#This Row],[Unit-Price]]</f>
        <v>0.20453080394143108</v>
      </c>
    </row>
    <row r="475" spans="1:14" x14ac:dyDescent="0.3">
      <c r="A475" t="s">
        <v>518</v>
      </c>
      <c r="B475" t="s">
        <v>50</v>
      </c>
      <c r="C475" t="s">
        <v>17</v>
      </c>
      <c r="D475" t="s">
        <v>30</v>
      </c>
      <c r="E475" t="s">
        <v>31</v>
      </c>
      <c r="F475">
        <v>299</v>
      </c>
      <c r="G475" s="3">
        <v>370.8</v>
      </c>
      <c r="H475" s="1">
        <v>45834</v>
      </c>
      <c r="I475" s="1">
        <v>45838</v>
      </c>
      <c r="J475" s="3">
        <v>103.24</v>
      </c>
      <c r="K475" s="2">
        <f>Table4[[#This Row],[Stock-Quantity]]*Table4[[#This Row],[Unit-Price]]</f>
        <v>110869.2</v>
      </c>
      <c r="L475" s="2">
        <f>Table4[[#This Row],[Stock-Quantity]]*Table4[[#This Row],[Margin-Unit]]</f>
        <v>30868.76</v>
      </c>
      <c r="M475">
        <f>Table4[[#This Row],[Date-Sales]]-Table4[[#This Row],[Date-Received]]</f>
        <v>4</v>
      </c>
      <c r="N475" s="6">
        <f>Table4[[#This Row],[Margin-Unit]]/Table4[[#This Row],[Unit-Price]]</f>
        <v>0.27842502696871629</v>
      </c>
    </row>
    <row r="476" spans="1:14" x14ac:dyDescent="0.3">
      <c r="A476" t="s">
        <v>519</v>
      </c>
      <c r="B476" t="s">
        <v>11</v>
      </c>
      <c r="C476" t="s">
        <v>12</v>
      </c>
      <c r="D476" t="s">
        <v>13</v>
      </c>
      <c r="E476" t="s">
        <v>14</v>
      </c>
      <c r="F476">
        <v>401</v>
      </c>
      <c r="G476" s="3">
        <v>79.41</v>
      </c>
      <c r="H476" s="1">
        <v>45782</v>
      </c>
      <c r="I476" s="1">
        <v>45783</v>
      </c>
      <c r="J476" s="3">
        <v>8.89</v>
      </c>
      <c r="K476" s="2">
        <f>Table4[[#This Row],[Stock-Quantity]]*Table4[[#This Row],[Unit-Price]]</f>
        <v>31843.41</v>
      </c>
      <c r="L476" s="2">
        <f>Table4[[#This Row],[Stock-Quantity]]*Table4[[#This Row],[Margin-Unit]]</f>
        <v>3564.8900000000003</v>
      </c>
      <c r="M476">
        <f>Table4[[#This Row],[Date-Sales]]-Table4[[#This Row],[Date-Received]]</f>
        <v>1</v>
      </c>
      <c r="N476" s="6">
        <f>Table4[[#This Row],[Margin-Unit]]/Table4[[#This Row],[Unit-Price]]</f>
        <v>0.11195063594005794</v>
      </c>
    </row>
    <row r="477" spans="1:14" x14ac:dyDescent="0.3">
      <c r="A477" t="s">
        <v>520</v>
      </c>
      <c r="B477" t="s">
        <v>11</v>
      </c>
      <c r="C477" t="s">
        <v>12</v>
      </c>
      <c r="D477" t="s">
        <v>18</v>
      </c>
      <c r="E477" t="s">
        <v>19</v>
      </c>
      <c r="F477">
        <v>19</v>
      </c>
      <c r="G477" s="3">
        <v>180.83</v>
      </c>
      <c r="H477" s="1">
        <v>45664</v>
      </c>
      <c r="I477" s="1">
        <v>45676</v>
      </c>
      <c r="J477" s="3">
        <v>50.82</v>
      </c>
      <c r="K477" s="2">
        <f>Table4[[#This Row],[Stock-Quantity]]*Table4[[#This Row],[Unit-Price]]</f>
        <v>3435.7700000000004</v>
      </c>
      <c r="L477" s="2">
        <f>Table4[[#This Row],[Stock-Quantity]]*Table4[[#This Row],[Margin-Unit]]</f>
        <v>965.58</v>
      </c>
      <c r="M477">
        <f>Table4[[#This Row],[Date-Sales]]-Table4[[#This Row],[Date-Received]]</f>
        <v>12</v>
      </c>
      <c r="N477" s="6">
        <f>Table4[[#This Row],[Margin-Unit]]/Table4[[#This Row],[Unit-Price]]</f>
        <v>0.28103743847812862</v>
      </c>
    </row>
    <row r="478" spans="1:14" x14ac:dyDescent="0.3">
      <c r="A478" t="s">
        <v>521</v>
      </c>
      <c r="B478" t="s">
        <v>106</v>
      </c>
      <c r="C478" t="s">
        <v>17</v>
      </c>
      <c r="D478" t="s">
        <v>18</v>
      </c>
      <c r="E478" t="s">
        <v>19</v>
      </c>
      <c r="F478">
        <v>362</v>
      </c>
      <c r="G478" s="3">
        <v>474.51</v>
      </c>
      <c r="H478" s="1">
        <v>45727</v>
      </c>
      <c r="I478" s="1">
        <v>45748</v>
      </c>
      <c r="J478" s="3">
        <v>66.459999999999994</v>
      </c>
      <c r="K478" s="2">
        <f>Table4[[#This Row],[Stock-Quantity]]*Table4[[#This Row],[Unit-Price]]</f>
        <v>171772.62</v>
      </c>
      <c r="L478" s="2">
        <f>Table4[[#This Row],[Stock-Quantity]]*Table4[[#This Row],[Margin-Unit]]</f>
        <v>24058.519999999997</v>
      </c>
      <c r="M478">
        <f>Table4[[#This Row],[Date-Sales]]-Table4[[#This Row],[Date-Received]]</f>
        <v>21</v>
      </c>
      <c r="N478" s="6">
        <f>Table4[[#This Row],[Margin-Unit]]/Table4[[#This Row],[Unit-Price]]</f>
        <v>0.14006027270236665</v>
      </c>
    </row>
    <row r="479" spans="1:14" x14ac:dyDescent="0.3">
      <c r="A479" t="s">
        <v>522</v>
      </c>
      <c r="B479" t="s">
        <v>43</v>
      </c>
      <c r="C479" t="s">
        <v>35</v>
      </c>
      <c r="D479" t="s">
        <v>18</v>
      </c>
      <c r="E479" t="s">
        <v>19</v>
      </c>
      <c r="F479">
        <v>247</v>
      </c>
      <c r="G479" s="3">
        <v>61.03</v>
      </c>
      <c r="H479" s="1">
        <v>45723</v>
      </c>
      <c r="I479" s="1">
        <v>45728</v>
      </c>
      <c r="J479" s="3">
        <v>15.78</v>
      </c>
      <c r="K479" s="2">
        <f>Table4[[#This Row],[Stock-Quantity]]*Table4[[#This Row],[Unit-Price]]</f>
        <v>15074.41</v>
      </c>
      <c r="L479" s="2">
        <f>Table4[[#This Row],[Stock-Quantity]]*Table4[[#This Row],[Margin-Unit]]</f>
        <v>3897.66</v>
      </c>
      <c r="M479">
        <f>Table4[[#This Row],[Date-Sales]]-Table4[[#This Row],[Date-Received]]</f>
        <v>5</v>
      </c>
      <c r="N479" s="6">
        <f>Table4[[#This Row],[Margin-Unit]]/Table4[[#This Row],[Unit-Price]]</f>
        <v>0.2585613632639685</v>
      </c>
    </row>
    <row r="480" spans="1:14" x14ac:dyDescent="0.3">
      <c r="A480" t="s">
        <v>523</v>
      </c>
      <c r="B480" t="s">
        <v>52</v>
      </c>
      <c r="C480" t="s">
        <v>12</v>
      </c>
      <c r="D480" t="s">
        <v>40</v>
      </c>
      <c r="E480" t="s">
        <v>41</v>
      </c>
      <c r="F480">
        <v>264</v>
      </c>
      <c r="G480" s="3">
        <v>356.55</v>
      </c>
      <c r="H480" s="1">
        <v>45677</v>
      </c>
      <c r="I480" s="1">
        <v>45701</v>
      </c>
      <c r="J480" s="3">
        <v>43.21</v>
      </c>
      <c r="K480" s="2">
        <f>Table4[[#This Row],[Stock-Quantity]]*Table4[[#This Row],[Unit-Price]]</f>
        <v>94129.2</v>
      </c>
      <c r="L480" s="2">
        <f>Table4[[#This Row],[Stock-Quantity]]*Table4[[#This Row],[Margin-Unit]]</f>
        <v>11407.44</v>
      </c>
      <c r="M480">
        <f>Table4[[#This Row],[Date-Sales]]-Table4[[#This Row],[Date-Received]]</f>
        <v>24</v>
      </c>
      <c r="N480" s="6">
        <f>Table4[[#This Row],[Margin-Unit]]/Table4[[#This Row],[Unit-Price]]</f>
        <v>0.12118917402888796</v>
      </c>
    </row>
    <row r="481" spans="1:14" x14ac:dyDescent="0.3">
      <c r="A481" t="s">
        <v>524</v>
      </c>
      <c r="B481" t="s">
        <v>21</v>
      </c>
      <c r="C481" t="s">
        <v>22</v>
      </c>
      <c r="D481" t="s">
        <v>18</v>
      </c>
      <c r="E481" t="s">
        <v>19</v>
      </c>
      <c r="F481">
        <v>485</v>
      </c>
      <c r="G481" s="3">
        <v>302.26</v>
      </c>
      <c r="H481" s="1">
        <v>45733</v>
      </c>
      <c r="I481" s="1">
        <v>45746</v>
      </c>
      <c r="J481" s="3">
        <v>80</v>
      </c>
      <c r="K481" s="2">
        <f>Table4[[#This Row],[Stock-Quantity]]*Table4[[#This Row],[Unit-Price]]</f>
        <v>146596.1</v>
      </c>
      <c r="L481" s="2">
        <f>Table4[[#This Row],[Stock-Quantity]]*Table4[[#This Row],[Margin-Unit]]</f>
        <v>38800</v>
      </c>
      <c r="M481">
        <f>Table4[[#This Row],[Date-Sales]]-Table4[[#This Row],[Date-Received]]</f>
        <v>13</v>
      </c>
      <c r="N481" s="6">
        <f>Table4[[#This Row],[Margin-Unit]]/Table4[[#This Row],[Unit-Price]]</f>
        <v>0.26467279825315954</v>
      </c>
    </row>
    <row r="482" spans="1:14" x14ac:dyDescent="0.3">
      <c r="A482" t="s">
        <v>525</v>
      </c>
      <c r="B482" t="s">
        <v>94</v>
      </c>
      <c r="C482" t="s">
        <v>29</v>
      </c>
      <c r="D482" t="s">
        <v>13</v>
      </c>
      <c r="E482" t="s">
        <v>14</v>
      </c>
      <c r="F482">
        <v>14</v>
      </c>
      <c r="G482" s="3">
        <v>390.33</v>
      </c>
      <c r="H482" s="1">
        <v>45667</v>
      </c>
      <c r="I482" s="1">
        <v>45677</v>
      </c>
      <c r="J482" s="3">
        <v>70.2</v>
      </c>
      <c r="K482" s="2">
        <f>Table4[[#This Row],[Stock-Quantity]]*Table4[[#This Row],[Unit-Price]]</f>
        <v>5464.62</v>
      </c>
      <c r="L482" s="2">
        <f>Table4[[#This Row],[Stock-Quantity]]*Table4[[#This Row],[Margin-Unit]]</f>
        <v>982.80000000000007</v>
      </c>
      <c r="M482">
        <f>Table4[[#This Row],[Date-Sales]]-Table4[[#This Row],[Date-Received]]</f>
        <v>10</v>
      </c>
      <c r="N482" s="6">
        <f>Table4[[#This Row],[Margin-Unit]]/Table4[[#This Row],[Unit-Price]]</f>
        <v>0.17984782107447544</v>
      </c>
    </row>
    <row r="483" spans="1:14" x14ac:dyDescent="0.3">
      <c r="A483" t="s">
        <v>526</v>
      </c>
      <c r="B483" t="s">
        <v>63</v>
      </c>
      <c r="C483" t="s">
        <v>35</v>
      </c>
      <c r="D483" t="s">
        <v>13</v>
      </c>
      <c r="E483" t="s">
        <v>14</v>
      </c>
      <c r="F483">
        <v>134</v>
      </c>
      <c r="G483" s="3">
        <v>495.15</v>
      </c>
      <c r="H483" s="1">
        <v>45800</v>
      </c>
      <c r="I483" s="1">
        <v>45826</v>
      </c>
      <c r="J483" s="3">
        <v>76.28</v>
      </c>
      <c r="K483" s="2">
        <f>Table4[[#This Row],[Stock-Quantity]]*Table4[[#This Row],[Unit-Price]]</f>
        <v>66350.099999999991</v>
      </c>
      <c r="L483" s="2">
        <f>Table4[[#This Row],[Stock-Quantity]]*Table4[[#This Row],[Margin-Unit]]</f>
        <v>10221.52</v>
      </c>
      <c r="M483">
        <f>Table4[[#This Row],[Date-Sales]]-Table4[[#This Row],[Date-Received]]</f>
        <v>26</v>
      </c>
      <c r="N483" s="6">
        <f>Table4[[#This Row],[Margin-Unit]]/Table4[[#This Row],[Unit-Price]]</f>
        <v>0.15405432697162477</v>
      </c>
    </row>
    <row r="484" spans="1:14" x14ac:dyDescent="0.3">
      <c r="A484" t="s">
        <v>527</v>
      </c>
      <c r="B484" t="s">
        <v>63</v>
      </c>
      <c r="C484" t="s">
        <v>35</v>
      </c>
      <c r="D484" t="s">
        <v>40</v>
      </c>
      <c r="E484" t="s">
        <v>41</v>
      </c>
      <c r="F484">
        <v>363</v>
      </c>
      <c r="G484" s="3">
        <v>141.28</v>
      </c>
      <c r="H484" s="1">
        <v>45796</v>
      </c>
      <c r="I484" s="1">
        <v>45804</v>
      </c>
      <c r="J484" s="3">
        <v>24.69</v>
      </c>
      <c r="K484" s="2">
        <f>Table4[[#This Row],[Stock-Quantity]]*Table4[[#This Row],[Unit-Price]]</f>
        <v>51284.639999999999</v>
      </c>
      <c r="L484" s="2">
        <f>Table4[[#This Row],[Stock-Quantity]]*Table4[[#This Row],[Margin-Unit]]</f>
        <v>8962.4700000000012</v>
      </c>
      <c r="M484">
        <f>Table4[[#This Row],[Date-Sales]]-Table4[[#This Row],[Date-Received]]</f>
        <v>8</v>
      </c>
      <c r="N484" s="6">
        <f>Table4[[#This Row],[Margin-Unit]]/Table4[[#This Row],[Unit-Price]]</f>
        <v>0.17475934314835787</v>
      </c>
    </row>
    <row r="485" spans="1:14" x14ac:dyDescent="0.3">
      <c r="A485" t="s">
        <v>528</v>
      </c>
      <c r="B485" t="s">
        <v>39</v>
      </c>
      <c r="C485" t="s">
        <v>12</v>
      </c>
      <c r="D485" t="s">
        <v>13</v>
      </c>
      <c r="E485" t="s">
        <v>14</v>
      </c>
      <c r="F485">
        <v>208</v>
      </c>
      <c r="G485" s="3">
        <v>134.72999999999999</v>
      </c>
      <c r="H485" s="1">
        <v>45674</v>
      </c>
      <c r="I485" s="1">
        <v>45681</v>
      </c>
      <c r="J485" s="3">
        <v>23.47</v>
      </c>
      <c r="K485" s="2">
        <f>Table4[[#This Row],[Stock-Quantity]]*Table4[[#This Row],[Unit-Price]]</f>
        <v>28023.839999999997</v>
      </c>
      <c r="L485" s="2">
        <f>Table4[[#This Row],[Stock-Quantity]]*Table4[[#This Row],[Margin-Unit]]</f>
        <v>4881.76</v>
      </c>
      <c r="M485">
        <f>Table4[[#This Row],[Date-Sales]]-Table4[[#This Row],[Date-Received]]</f>
        <v>7</v>
      </c>
      <c r="N485" s="6">
        <f>Table4[[#This Row],[Margin-Unit]]/Table4[[#This Row],[Unit-Price]]</f>
        <v>0.174200252356565</v>
      </c>
    </row>
    <row r="486" spans="1:14" x14ac:dyDescent="0.3">
      <c r="A486" t="s">
        <v>529</v>
      </c>
      <c r="B486" t="s">
        <v>63</v>
      </c>
      <c r="C486" t="s">
        <v>35</v>
      </c>
      <c r="D486" t="s">
        <v>40</v>
      </c>
      <c r="E486" t="s">
        <v>41</v>
      </c>
      <c r="F486">
        <v>484</v>
      </c>
      <c r="G486" s="3">
        <v>489.46</v>
      </c>
      <c r="H486" s="1">
        <v>45666</v>
      </c>
      <c r="I486" s="1">
        <v>45676</v>
      </c>
      <c r="J486" s="3">
        <v>123.17</v>
      </c>
      <c r="K486" s="2">
        <f>Table4[[#This Row],[Stock-Quantity]]*Table4[[#This Row],[Unit-Price]]</f>
        <v>236898.63999999998</v>
      </c>
      <c r="L486" s="2">
        <f>Table4[[#This Row],[Stock-Quantity]]*Table4[[#This Row],[Margin-Unit]]</f>
        <v>59614.28</v>
      </c>
      <c r="M486">
        <f>Table4[[#This Row],[Date-Sales]]-Table4[[#This Row],[Date-Received]]</f>
        <v>10</v>
      </c>
      <c r="N486" s="6">
        <f>Table4[[#This Row],[Margin-Unit]]/Table4[[#This Row],[Unit-Price]]</f>
        <v>0.2516446696359253</v>
      </c>
    </row>
    <row r="487" spans="1:14" x14ac:dyDescent="0.3">
      <c r="A487" t="s">
        <v>530</v>
      </c>
      <c r="B487" t="s">
        <v>52</v>
      </c>
      <c r="C487" t="s">
        <v>12</v>
      </c>
      <c r="D487" t="s">
        <v>13</v>
      </c>
      <c r="E487" t="s">
        <v>14</v>
      </c>
      <c r="F487">
        <v>195</v>
      </c>
      <c r="G487" s="3">
        <v>304.02999999999997</v>
      </c>
      <c r="H487" s="1">
        <v>45691</v>
      </c>
      <c r="I487" s="1">
        <v>45697</v>
      </c>
      <c r="J487" s="3">
        <v>72.52</v>
      </c>
      <c r="K487" s="2">
        <f>Table4[[#This Row],[Stock-Quantity]]*Table4[[#This Row],[Unit-Price]]</f>
        <v>59285.849999999991</v>
      </c>
      <c r="L487" s="2">
        <f>Table4[[#This Row],[Stock-Quantity]]*Table4[[#This Row],[Margin-Unit]]</f>
        <v>14141.4</v>
      </c>
      <c r="M487">
        <f>Table4[[#This Row],[Date-Sales]]-Table4[[#This Row],[Date-Received]]</f>
        <v>6</v>
      </c>
      <c r="N487" s="6">
        <f>Table4[[#This Row],[Margin-Unit]]/Table4[[#This Row],[Unit-Price]]</f>
        <v>0.23852909252376411</v>
      </c>
    </row>
    <row r="488" spans="1:14" x14ac:dyDescent="0.3">
      <c r="A488" t="s">
        <v>531</v>
      </c>
      <c r="B488" t="s">
        <v>39</v>
      </c>
      <c r="C488" t="s">
        <v>12</v>
      </c>
      <c r="D488" t="s">
        <v>13</v>
      </c>
      <c r="E488" t="s">
        <v>14</v>
      </c>
      <c r="F488">
        <v>393</v>
      </c>
      <c r="G488" s="3">
        <v>264.76</v>
      </c>
      <c r="H488" s="1">
        <v>45727</v>
      </c>
      <c r="I488" s="1">
        <v>45729</v>
      </c>
      <c r="J488" s="3">
        <v>75.28</v>
      </c>
      <c r="K488" s="2">
        <f>Table4[[#This Row],[Stock-Quantity]]*Table4[[#This Row],[Unit-Price]]</f>
        <v>104050.68</v>
      </c>
      <c r="L488" s="2">
        <f>Table4[[#This Row],[Stock-Quantity]]*Table4[[#This Row],[Margin-Unit]]</f>
        <v>29585.040000000001</v>
      </c>
      <c r="M488">
        <f>Table4[[#This Row],[Date-Sales]]-Table4[[#This Row],[Date-Received]]</f>
        <v>2</v>
      </c>
      <c r="N488" s="6">
        <f>Table4[[#This Row],[Margin-Unit]]/Table4[[#This Row],[Unit-Price]]</f>
        <v>0.28433298081281161</v>
      </c>
    </row>
    <row r="489" spans="1:14" x14ac:dyDescent="0.3">
      <c r="A489" t="s">
        <v>532</v>
      </c>
      <c r="B489" t="s">
        <v>50</v>
      </c>
      <c r="C489" t="s">
        <v>17</v>
      </c>
      <c r="D489" t="s">
        <v>18</v>
      </c>
      <c r="E489" t="s">
        <v>19</v>
      </c>
      <c r="F489">
        <v>416</v>
      </c>
      <c r="G489" s="3">
        <v>76</v>
      </c>
      <c r="H489" s="1">
        <v>45743</v>
      </c>
      <c r="I489" s="1">
        <v>45768</v>
      </c>
      <c r="J489" s="3">
        <v>21.48</v>
      </c>
      <c r="K489" s="2">
        <f>Table4[[#This Row],[Stock-Quantity]]*Table4[[#This Row],[Unit-Price]]</f>
        <v>31616</v>
      </c>
      <c r="L489" s="2">
        <f>Table4[[#This Row],[Stock-Quantity]]*Table4[[#This Row],[Margin-Unit]]</f>
        <v>8935.68</v>
      </c>
      <c r="M489">
        <f>Table4[[#This Row],[Date-Sales]]-Table4[[#This Row],[Date-Received]]</f>
        <v>25</v>
      </c>
      <c r="N489" s="6">
        <f>Table4[[#This Row],[Margin-Unit]]/Table4[[#This Row],[Unit-Price]]</f>
        <v>0.2826315789473684</v>
      </c>
    </row>
    <row r="490" spans="1:14" x14ac:dyDescent="0.3">
      <c r="A490" t="s">
        <v>533</v>
      </c>
      <c r="B490" t="s">
        <v>16</v>
      </c>
      <c r="C490" t="s">
        <v>17</v>
      </c>
      <c r="D490" t="s">
        <v>30</v>
      </c>
      <c r="E490" t="s">
        <v>31</v>
      </c>
      <c r="F490">
        <v>489</v>
      </c>
      <c r="G490" s="3">
        <v>191.18</v>
      </c>
      <c r="H490" s="1">
        <v>45714</v>
      </c>
      <c r="I490" s="1">
        <v>45733</v>
      </c>
      <c r="J490" s="3">
        <v>27.29</v>
      </c>
      <c r="K490" s="2">
        <f>Table4[[#This Row],[Stock-Quantity]]*Table4[[#This Row],[Unit-Price]]</f>
        <v>93487.02</v>
      </c>
      <c r="L490" s="2">
        <f>Table4[[#This Row],[Stock-Quantity]]*Table4[[#This Row],[Margin-Unit]]</f>
        <v>13344.81</v>
      </c>
      <c r="M490">
        <f>Table4[[#This Row],[Date-Sales]]-Table4[[#This Row],[Date-Received]]</f>
        <v>19</v>
      </c>
      <c r="N490" s="6">
        <f>Table4[[#This Row],[Margin-Unit]]/Table4[[#This Row],[Unit-Price]]</f>
        <v>0.14274505701433204</v>
      </c>
    </row>
    <row r="491" spans="1:14" x14ac:dyDescent="0.3">
      <c r="A491" t="s">
        <v>534</v>
      </c>
      <c r="B491" t="s">
        <v>70</v>
      </c>
      <c r="C491" t="s">
        <v>35</v>
      </c>
      <c r="D491" t="s">
        <v>18</v>
      </c>
      <c r="E491" t="s">
        <v>19</v>
      </c>
      <c r="F491">
        <v>407</v>
      </c>
      <c r="G491" s="3">
        <v>46.47</v>
      </c>
      <c r="H491" s="1">
        <v>45720</v>
      </c>
      <c r="I491" s="1">
        <v>45740</v>
      </c>
      <c r="J491" s="3">
        <v>13.45</v>
      </c>
      <c r="K491" s="2">
        <f>Table4[[#This Row],[Stock-Quantity]]*Table4[[#This Row],[Unit-Price]]</f>
        <v>18913.29</v>
      </c>
      <c r="L491" s="2">
        <f>Table4[[#This Row],[Stock-Quantity]]*Table4[[#This Row],[Margin-Unit]]</f>
        <v>5474.15</v>
      </c>
      <c r="M491">
        <f>Table4[[#This Row],[Date-Sales]]-Table4[[#This Row],[Date-Received]]</f>
        <v>20</v>
      </c>
      <c r="N491" s="6">
        <f>Table4[[#This Row],[Margin-Unit]]/Table4[[#This Row],[Unit-Price]]</f>
        <v>0.28943404346890467</v>
      </c>
    </row>
    <row r="492" spans="1:14" x14ac:dyDescent="0.3">
      <c r="A492" t="s">
        <v>535</v>
      </c>
      <c r="B492" t="s">
        <v>74</v>
      </c>
      <c r="C492" t="s">
        <v>29</v>
      </c>
      <c r="D492" t="s">
        <v>40</v>
      </c>
      <c r="E492" t="s">
        <v>41</v>
      </c>
      <c r="F492">
        <v>159</v>
      </c>
      <c r="G492" s="3">
        <v>96.15</v>
      </c>
      <c r="H492" s="1">
        <v>45755</v>
      </c>
      <c r="I492" s="1">
        <v>45781</v>
      </c>
      <c r="J492" s="3">
        <v>17.05</v>
      </c>
      <c r="K492" s="2">
        <f>Table4[[#This Row],[Stock-Quantity]]*Table4[[#This Row],[Unit-Price]]</f>
        <v>15287.85</v>
      </c>
      <c r="L492" s="2">
        <f>Table4[[#This Row],[Stock-Quantity]]*Table4[[#This Row],[Margin-Unit]]</f>
        <v>2710.9500000000003</v>
      </c>
      <c r="M492">
        <f>Table4[[#This Row],[Date-Sales]]-Table4[[#This Row],[Date-Received]]</f>
        <v>26</v>
      </c>
      <c r="N492" s="6">
        <f>Table4[[#This Row],[Margin-Unit]]/Table4[[#This Row],[Unit-Price]]</f>
        <v>0.17732709308372335</v>
      </c>
    </row>
    <row r="493" spans="1:14" x14ac:dyDescent="0.3">
      <c r="A493" t="s">
        <v>536</v>
      </c>
      <c r="B493" t="s">
        <v>94</v>
      </c>
      <c r="C493" t="s">
        <v>29</v>
      </c>
      <c r="D493" t="s">
        <v>13</v>
      </c>
      <c r="E493" t="s">
        <v>14</v>
      </c>
      <c r="F493">
        <v>387</v>
      </c>
      <c r="G493" s="3">
        <v>79.2</v>
      </c>
      <c r="H493" s="1">
        <v>45708</v>
      </c>
      <c r="I493" s="1">
        <v>45718</v>
      </c>
      <c r="J493" s="3">
        <v>19.86</v>
      </c>
      <c r="K493" s="2">
        <f>Table4[[#This Row],[Stock-Quantity]]*Table4[[#This Row],[Unit-Price]]</f>
        <v>30650.400000000001</v>
      </c>
      <c r="L493" s="2">
        <f>Table4[[#This Row],[Stock-Quantity]]*Table4[[#This Row],[Margin-Unit]]</f>
        <v>7685.82</v>
      </c>
      <c r="M493">
        <f>Table4[[#This Row],[Date-Sales]]-Table4[[#This Row],[Date-Received]]</f>
        <v>10</v>
      </c>
      <c r="N493" s="6">
        <f>Table4[[#This Row],[Margin-Unit]]/Table4[[#This Row],[Unit-Price]]</f>
        <v>0.25075757575757573</v>
      </c>
    </row>
    <row r="494" spans="1:14" x14ac:dyDescent="0.3">
      <c r="A494" t="s">
        <v>537</v>
      </c>
      <c r="B494" t="s">
        <v>74</v>
      </c>
      <c r="C494" t="s">
        <v>29</v>
      </c>
      <c r="D494" t="s">
        <v>13</v>
      </c>
      <c r="E494" t="s">
        <v>14</v>
      </c>
      <c r="F494">
        <v>148</v>
      </c>
      <c r="G494" s="3">
        <v>256.61</v>
      </c>
      <c r="H494" s="1">
        <v>45804</v>
      </c>
      <c r="I494" s="1">
        <v>45808</v>
      </c>
      <c r="J494" s="3">
        <v>75.95</v>
      </c>
      <c r="K494" s="2">
        <f>Table4[[#This Row],[Stock-Quantity]]*Table4[[#This Row],[Unit-Price]]</f>
        <v>37978.28</v>
      </c>
      <c r="L494" s="2">
        <f>Table4[[#This Row],[Stock-Quantity]]*Table4[[#This Row],[Margin-Unit]]</f>
        <v>11240.6</v>
      </c>
      <c r="M494">
        <f>Table4[[#This Row],[Date-Sales]]-Table4[[#This Row],[Date-Received]]</f>
        <v>4</v>
      </c>
      <c r="N494" s="6">
        <f>Table4[[#This Row],[Margin-Unit]]/Table4[[#This Row],[Unit-Price]]</f>
        <v>0.29597443591442268</v>
      </c>
    </row>
    <row r="495" spans="1:14" x14ac:dyDescent="0.3">
      <c r="A495" t="s">
        <v>538</v>
      </c>
      <c r="B495" t="s">
        <v>47</v>
      </c>
      <c r="C495" t="s">
        <v>17</v>
      </c>
      <c r="D495" t="s">
        <v>30</v>
      </c>
      <c r="E495" t="s">
        <v>31</v>
      </c>
      <c r="F495">
        <v>395</v>
      </c>
      <c r="G495" s="3">
        <v>247.77</v>
      </c>
      <c r="H495" s="1">
        <v>45737</v>
      </c>
      <c r="I495" s="1">
        <v>45763</v>
      </c>
      <c r="J495" s="3">
        <v>58.79</v>
      </c>
      <c r="K495" s="2">
        <f>Table4[[#This Row],[Stock-Quantity]]*Table4[[#This Row],[Unit-Price]]</f>
        <v>97869.150000000009</v>
      </c>
      <c r="L495" s="2">
        <f>Table4[[#This Row],[Stock-Quantity]]*Table4[[#This Row],[Margin-Unit]]</f>
        <v>23222.05</v>
      </c>
      <c r="M495">
        <f>Table4[[#This Row],[Date-Sales]]-Table4[[#This Row],[Date-Received]]</f>
        <v>26</v>
      </c>
      <c r="N495" s="6">
        <f>Table4[[#This Row],[Margin-Unit]]/Table4[[#This Row],[Unit-Price]]</f>
        <v>0.23727650643742179</v>
      </c>
    </row>
    <row r="496" spans="1:14" x14ac:dyDescent="0.3">
      <c r="A496" t="s">
        <v>539</v>
      </c>
      <c r="B496" t="s">
        <v>39</v>
      </c>
      <c r="C496" t="s">
        <v>12</v>
      </c>
      <c r="D496" t="s">
        <v>25</v>
      </c>
      <c r="E496" t="s">
        <v>26</v>
      </c>
      <c r="F496">
        <v>147</v>
      </c>
      <c r="G496" s="3">
        <v>420.31</v>
      </c>
      <c r="H496" s="1">
        <v>45765</v>
      </c>
      <c r="I496" s="1">
        <v>45792</v>
      </c>
      <c r="J496" s="3">
        <v>84.44</v>
      </c>
      <c r="K496" s="2">
        <f>Table4[[#This Row],[Stock-Quantity]]*Table4[[#This Row],[Unit-Price]]</f>
        <v>61785.57</v>
      </c>
      <c r="L496" s="2">
        <f>Table4[[#This Row],[Stock-Quantity]]*Table4[[#This Row],[Margin-Unit]]</f>
        <v>12412.68</v>
      </c>
      <c r="M496">
        <f>Table4[[#This Row],[Date-Sales]]-Table4[[#This Row],[Date-Received]]</f>
        <v>27</v>
      </c>
      <c r="N496" s="6">
        <f>Table4[[#This Row],[Margin-Unit]]/Table4[[#This Row],[Unit-Price]]</f>
        <v>0.2008993362042302</v>
      </c>
    </row>
    <row r="497" spans="1:14" x14ac:dyDescent="0.3">
      <c r="A497" t="s">
        <v>540</v>
      </c>
      <c r="B497" t="s">
        <v>65</v>
      </c>
      <c r="C497" t="s">
        <v>22</v>
      </c>
      <c r="D497" t="s">
        <v>13</v>
      </c>
      <c r="E497" t="s">
        <v>14</v>
      </c>
      <c r="F497">
        <v>398</v>
      </c>
      <c r="G497" s="3">
        <v>366.75</v>
      </c>
      <c r="H497" s="1">
        <v>45826</v>
      </c>
      <c r="I497" s="1">
        <v>45827</v>
      </c>
      <c r="J497" s="3">
        <v>56.75</v>
      </c>
      <c r="K497" s="2">
        <f>Table4[[#This Row],[Stock-Quantity]]*Table4[[#This Row],[Unit-Price]]</f>
        <v>145966.5</v>
      </c>
      <c r="L497" s="2">
        <f>Table4[[#This Row],[Stock-Quantity]]*Table4[[#This Row],[Margin-Unit]]</f>
        <v>22586.5</v>
      </c>
      <c r="M497">
        <f>Table4[[#This Row],[Date-Sales]]-Table4[[#This Row],[Date-Received]]</f>
        <v>1</v>
      </c>
      <c r="N497" s="6">
        <f>Table4[[#This Row],[Margin-Unit]]/Table4[[#This Row],[Unit-Price]]</f>
        <v>0.15473755964553509</v>
      </c>
    </row>
    <row r="498" spans="1:14" x14ac:dyDescent="0.3">
      <c r="A498" t="s">
        <v>541</v>
      </c>
      <c r="B498" t="s">
        <v>39</v>
      </c>
      <c r="C498" t="s">
        <v>12</v>
      </c>
      <c r="D498" t="s">
        <v>13</v>
      </c>
      <c r="E498" t="s">
        <v>14</v>
      </c>
      <c r="F498">
        <v>339</v>
      </c>
      <c r="G498" s="3">
        <v>90.73</v>
      </c>
      <c r="H498" s="1">
        <v>45811</v>
      </c>
      <c r="I498" s="1">
        <v>45824</v>
      </c>
      <c r="J498" s="3">
        <v>9.2799999999999994</v>
      </c>
      <c r="K498" s="2">
        <f>Table4[[#This Row],[Stock-Quantity]]*Table4[[#This Row],[Unit-Price]]</f>
        <v>30757.47</v>
      </c>
      <c r="L498" s="2">
        <f>Table4[[#This Row],[Stock-Quantity]]*Table4[[#This Row],[Margin-Unit]]</f>
        <v>3145.9199999999996</v>
      </c>
      <c r="M498">
        <f>Table4[[#This Row],[Date-Sales]]-Table4[[#This Row],[Date-Received]]</f>
        <v>13</v>
      </c>
      <c r="N498" s="6">
        <f>Table4[[#This Row],[Margin-Unit]]/Table4[[#This Row],[Unit-Price]]</f>
        <v>0.10228149454425217</v>
      </c>
    </row>
    <row r="499" spans="1:14" x14ac:dyDescent="0.3">
      <c r="A499" t="s">
        <v>542</v>
      </c>
      <c r="B499" t="s">
        <v>16</v>
      </c>
      <c r="C499" t="s">
        <v>17</v>
      </c>
      <c r="D499" t="s">
        <v>30</v>
      </c>
      <c r="E499" t="s">
        <v>31</v>
      </c>
      <c r="F499">
        <v>466</v>
      </c>
      <c r="G499" s="3">
        <v>103</v>
      </c>
      <c r="H499" s="1">
        <v>45665</v>
      </c>
      <c r="I499" s="1">
        <v>45674</v>
      </c>
      <c r="J499" s="3">
        <v>30.75</v>
      </c>
      <c r="K499" s="2">
        <f>Table4[[#This Row],[Stock-Quantity]]*Table4[[#This Row],[Unit-Price]]</f>
        <v>47998</v>
      </c>
      <c r="L499" s="2">
        <f>Table4[[#This Row],[Stock-Quantity]]*Table4[[#This Row],[Margin-Unit]]</f>
        <v>14329.5</v>
      </c>
      <c r="M499">
        <f>Table4[[#This Row],[Date-Sales]]-Table4[[#This Row],[Date-Received]]</f>
        <v>9</v>
      </c>
      <c r="N499" s="6">
        <f>Table4[[#This Row],[Margin-Unit]]/Table4[[#This Row],[Unit-Price]]</f>
        <v>0.29854368932038833</v>
      </c>
    </row>
    <row r="500" spans="1:14" x14ac:dyDescent="0.3">
      <c r="A500" t="s">
        <v>543</v>
      </c>
      <c r="B500" t="s">
        <v>24</v>
      </c>
      <c r="C500" t="s">
        <v>22</v>
      </c>
      <c r="D500" t="s">
        <v>40</v>
      </c>
      <c r="E500" t="s">
        <v>41</v>
      </c>
      <c r="F500">
        <v>394</v>
      </c>
      <c r="G500" s="3">
        <v>49.43</v>
      </c>
      <c r="H500" s="1">
        <v>45784</v>
      </c>
      <c r="I500" s="1">
        <v>45799</v>
      </c>
      <c r="J500" s="3">
        <v>9.5500000000000007</v>
      </c>
      <c r="K500" s="2">
        <f>Table4[[#This Row],[Stock-Quantity]]*Table4[[#This Row],[Unit-Price]]</f>
        <v>19475.419999999998</v>
      </c>
      <c r="L500" s="2">
        <f>Table4[[#This Row],[Stock-Quantity]]*Table4[[#This Row],[Margin-Unit]]</f>
        <v>3762.7000000000003</v>
      </c>
      <c r="M500">
        <f>Table4[[#This Row],[Date-Sales]]-Table4[[#This Row],[Date-Received]]</f>
        <v>15</v>
      </c>
      <c r="N500" s="6">
        <f>Table4[[#This Row],[Margin-Unit]]/Table4[[#This Row],[Unit-Price]]</f>
        <v>0.19320250859801741</v>
      </c>
    </row>
    <row r="501" spans="1:14" x14ac:dyDescent="0.3">
      <c r="A501" t="s">
        <v>544</v>
      </c>
      <c r="B501" t="s">
        <v>37</v>
      </c>
      <c r="C501" t="s">
        <v>22</v>
      </c>
      <c r="D501" t="s">
        <v>30</v>
      </c>
      <c r="E501" t="s">
        <v>31</v>
      </c>
      <c r="F501">
        <v>71</v>
      </c>
      <c r="G501" s="3">
        <v>264.48</v>
      </c>
      <c r="H501" s="1">
        <v>45745</v>
      </c>
      <c r="I501" s="1">
        <v>45757</v>
      </c>
      <c r="J501" s="3">
        <v>33.619999999999997</v>
      </c>
      <c r="K501" s="2">
        <f>Table4[[#This Row],[Stock-Quantity]]*Table4[[#This Row],[Unit-Price]]</f>
        <v>18778.080000000002</v>
      </c>
      <c r="L501" s="2">
        <f>Table4[[#This Row],[Stock-Quantity]]*Table4[[#This Row],[Margin-Unit]]</f>
        <v>2387.02</v>
      </c>
      <c r="M501">
        <f>Table4[[#This Row],[Date-Sales]]-Table4[[#This Row],[Date-Received]]</f>
        <v>12</v>
      </c>
      <c r="N501" s="6">
        <f>Table4[[#This Row],[Margin-Unit]]/Table4[[#This Row],[Unit-Price]]</f>
        <v>0.12711736237144583</v>
      </c>
    </row>
    <row r="502" spans="1:14" x14ac:dyDescent="0.3">
      <c r="A502" t="s">
        <v>545</v>
      </c>
      <c r="B502" t="s">
        <v>28</v>
      </c>
      <c r="C502" t="s">
        <v>29</v>
      </c>
      <c r="D502" t="s">
        <v>40</v>
      </c>
      <c r="E502" t="s">
        <v>41</v>
      </c>
      <c r="F502">
        <v>494</v>
      </c>
      <c r="G502" s="3">
        <v>298.39</v>
      </c>
      <c r="H502" s="1">
        <v>45767</v>
      </c>
      <c r="I502" s="1">
        <v>45772</v>
      </c>
      <c r="J502" s="3">
        <v>36.200000000000003</v>
      </c>
      <c r="K502" s="2">
        <f>Table4[[#This Row],[Stock-Quantity]]*Table4[[#This Row],[Unit-Price]]</f>
        <v>147404.66</v>
      </c>
      <c r="L502" s="2">
        <f>Table4[[#This Row],[Stock-Quantity]]*Table4[[#This Row],[Margin-Unit]]</f>
        <v>17882.800000000003</v>
      </c>
      <c r="M502">
        <f>Table4[[#This Row],[Date-Sales]]-Table4[[#This Row],[Date-Received]]</f>
        <v>5</v>
      </c>
      <c r="N502" s="6">
        <f>Table4[[#This Row],[Margin-Unit]]/Table4[[#This Row],[Unit-Price]]</f>
        <v>0.12131773853011162</v>
      </c>
    </row>
    <row r="503" spans="1:14" x14ac:dyDescent="0.3">
      <c r="A503" t="s">
        <v>546</v>
      </c>
      <c r="B503" t="s">
        <v>65</v>
      </c>
      <c r="C503" t="s">
        <v>22</v>
      </c>
      <c r="D503" t="s">
        <v>18</v>
      </c>
      <c r="E503" t="s">
        <v>19</v>
      </c>
      <c r="F503">
        <v>296</v>
      </c>
      <c r="G503" s="3">
        <v>205.49</v>
      </c>
      <c r="H503" s="1">
        <v>45758</v>
      </c>
      <c r="I503" s="1">
        <v>45772</v>
      </c>
      <c r="J503" s="3">
        <v>38.36</v>
      </c>
      <c r="K503" s="2">
        <f>Table4[[#This Row],[Stock-Quantity]]*Table4[[#This Row],[Unit-Price]]</f>
        <v>60825.04</v>
      </c>
      <c r="L503" s="2">
        <f>Table4[[#This Row],[Stock-Quantity]]*Table4[[#This Row],[Margin-Unit]]</f>
        <v>11354.56</v>
      </c>
      <c r="M503">
        <f>Table4[[#This Row],[Date-Sales]]-Table4[[#This Row],[Date-Received]]</f>
        <v>14</v>
      </c>
      <c r="N503" s="6">
        <f>Table4[[#This Row],[Margin-Unit]]/Table4[[#This Row],[Unit-Price]]</f>
        <v>0.18667575064480021</v>
      </c>
    </row>
    <row r="504" spans="1:14" x14ac:dyDescent="0.3">
      <c r="A504" t="s">
        <v>547</v>
      </c>
      <c r="B504" t="s">
        <v>106</v>
      </c>
      <c r="C504" t="s">
        <v>17</v>
      </c>
      <c r="D504" t="s">
        <v>18</v>
      </c>
      <c r="E504" t="s">
        <v>19</v>
      </c>
      <c r="F504">
        <v>214</v>
      </c>
      <c r="G504" s="3">
        <v>174.47</v>
      </c>
      <c r="H504" s="1">
        <v>45718</v>
      </c>
      <c r="I504" s="1">
        <v>45735</v>
      </c>
      <c r="J504" s="3">
        <v>44.3</v>
      </c>
      <c r="K504" s="2">
        <f>Table4[[#This Row],[Stock-Quantity]]*Table4[[#This Row],[Unit-Price]]</f>
        <v>37336.58</v>
      </c>
      <c r="L504" s="2">
        <f>Table4[[#This Row],[Stock-Quantity]]*Table4[[#This Row],[Margin-Unit]]</f>
        <v>9480.1999999999989</v>
      </c>
      <c r="M504">
        <f>Table4[[#This Row],[Date-Sales]]-Table4[[#This Row],[Date-Received]]</f>
        <v>17</v>
      </c>
      <c r="N504" s="6">
        <f>Table4[[#This Row],[Margin-Unit]]/Table4[[#This Row],[Unit-Price]]</f>
        <v>0.25391184730899291</v>
      </c>
    </row>
    <row r="505" spans="1:14" x14ac:dyDescent="0.3">
      <c r="A505" t="s">
        <v>548</v>
      </c>
      <c r="B505" t="s">
        <v>63</v>
      </c>
      <c r="C505" t="s">
        <v>35</v>
      </c>
      <c r="D505" t="s">
        <v>25</v>
      </c>
      <c r="E505" t="s">
        <v>26</v>
      </c>
      <c r="F505">
        <v>487</v>
      </c>
      <c r="G505" s="3">
        <v>444.07</v>
      </c>
      <c r="H505" s="1">
        <v>45826</v>
      </c>
      <c r="I505" s="1">
        <v>45827</v>
      </c>
      <c r="J505" s="3">
        <v>45.77</v>
      </c>
      <c r="K505" s="2">
        <f>Table4[[#This Row],[Stock-Quantity]]*Table4[[#This Row],[Unit-Price]]</f>
        <v>216262.09</v>
      </c>
      <c r="L505" s="2">
        <f>Table4[[#This Row],[Stock-Quantity]]*Table4[[#This Row],[Margin-Unit]]</f>
        <v>22289.99</v>
      </c>
      <c r="M505">
        <f>Table4[[#This Row],[Date-Sales]]-Table4[[#This Row],[Date-Received]]</f>
        <v>1</v>
      </c>
      <c r="N505" s="6">
        <f>Table4[[#This Row],[Margin-Unit]]/Table4[[#This Row],[Unit-Price]]</f>
        <v>0.10306933591550882</v>
      </c>
    </row>
    <row r="506" spans="1:14" x14ac:dyDescent="0.3">
      <c r="A506" t="s">
        <v>549</v>
      </c>
      <c r="B506" t="s">
        <v>37</v>
      </c>
      <c r="C506" t="s">
        <v>22</v>
      </c>
      <c r="D506" t="s">
        <v>25</v>
      </c>
      <c r="E506" t="s">
        <v>26</v>
      </c>
      <c r="F506">
        <v>111</v>
      </c>
      <c r="G506" s="3">
        <v>150.99</v>
      </c>
      <c r="H506" s="1">
        <v>45684</v>
      </c>
      <c r="I506" s="1">
        <v>45705</v>
      </c>
      <c r="J506" s="3">
        <v>44.76</v>
      </c>
      <c r="K506" s="2">
        <f>Table4[[#This Row],[Stock-Quantity]]*Table4[[#This Row],[Unit-Price]]</f>
        <v>16759.89</v>
      </c>
      <c r="L506" s="2">
        <f>Table4[[#This Row],[Stock-Quantity]]*Table4[[#This Row],[Margin-Unit]]</f>
        <v>4968.3599999999997</v>
      </c>
      <c r="M506">
        <f>Table4[[#This Row],[Date-Sales]]-Table4[[#This Row],[Date-Received]]</f>
        <v>21</v>
      </c>
      <c r="N506" s="6">
        <f>Table4[[#This Row],[Margin-Unit]]/Table4[[#This Row],[Unit-Price]]</f>
        <v>0.29644347307768726</v>
      </c>
    </row>
    <row r="507" spans="1:14" x14ac:dyDescent="0.3">
      <c r="A507" t="s">
        <v>550</v>
      </c>
      <c r="B507" t="s">
        <v>50</v>
      </c>
      <c r="C507" t="s">
        <v>17</v>
      </c>
      <c r="D507" t="s">
        <v>30</v>
      </c>
      <c r="E507" t="s">
        <v>31</v>
      </c>
      <c r="F507">
        <v>369</v>
      </c>
      <c r="G507" s="3">
        <v>432.52</v>
      </c>
      <c r="H507" s="1">
        <v>45822</v>
      </c>
      <c r="I507" s="1">
        <v>45850</v>
      </c>
      <c r="J507" s="3">
        <v>110.55</v>
      </c>
      <c r="K507" s="2">
        <f>Table4[[#This Row],[Stock-Quantity]]*Table4[[#This Row],[Unit-Price]]</f>
        <v>159599.88</v>
      </c>
      <c r="L507" s="2">
        <f>Table4[[#This Row],[Stock-Quantity]]*Table4[[#This Row],[Margin-Unit]]</f>
        <v>40792.949999999997</v>
      </c>
      <c r="M507">
        <f>Table4[[#This Row],[Date-Sales]]-Table4[[#This Row],[Date-Received]]</f>
        <v>28</v>
      </c>
      <c r="N507" s="6">
        <f>Table4[[#This Row],[Margin-Unit]]/Table4[[#This Row],[Unit-Price]]</f>
        <v>0.25559511698880977</v>
      </c>
    </row>
    <row r="508" spans="1:14" x14ac:dyDescent="0.3">
      <c r="A508" t="s">
        <v>551</v>
      </c>
      <c r="B508" t="s">
        <v>21</v>
      </c>
      <c r="C508" t="s">
        <v>22</v>
      </c>
      <c r="D508" t="s">
        <v>13</v>
      </c>
      <c r="E508" t="s">
        <v>14</v>
      </c>
      <c r="F508">
        <v>403</v>
      </c>
      <c r="G508" s="3">
        <v>289.01</v>
      </c>
      <c r="H508" s="1">
        <v>45694</v>
      </c>
      <c r="I508" s="1">
        <v>45696</v>
      </c>
      <c r="J508" s="3">
        <v>70.319999999999993</v>
      </c>
      <c r="K508" s="2">
        <f>Table4[[#This Row],[Stock-Quantity]]*Table4[[#This Row],[Unit-Price]]</f>
        <v>116471.03</v>
      </c>
      <c r="L508" s="2">
        <f>Table4[[#This Row],[Stock-Quantity]]*Table4[[#This Row],[Margin-Unit]]</f>
        <v>28338.959999999995</v>
      </c>
      <c r="M508">
        <f>Table4[[#This Row],[Date-Sales]]-Table4[[#This Row],[Date-Received]]</f>
        <v>2</v>
      </c>
      <c r="N508" s="6">
        <f>Table4[[#This Row],[Margin-Unit]]/Table4[[#This Row],[Unit-Price]]</f>
        <v>0.24331338015985604</v>
      </c>
    </row>
    <row r="509" spans="1:14" x14ac:dyDescent="0.3">
      <c r="A509" t="s">
        <v>552</v>
      </c>
      <c r="B509" t="s">
        <v>70</v>
      </c>
      <c r="C509" t="s">
        <v>35</v>
      </c>
      <c r="D509" t="s">
        <v>25</v>
      </c>
      <c r="E509" t="s">
        <v>26</v>
      </c>
      <c r="F509">
        <v>33</v>
      </c>
      <c r="G509" s="3">
        <v>341.57</v>
      </c>
      <c r="H509" s="1">
        <v>45695</v>
      </c>
      <c r="I509" s="1">
        <v>45717</v>
      </c>
      <c r="J509" s="3">
        <v>45.16</v>
      </c>
      <c r="K509" s="2">
        <f>Table4[[#This Row],[Stock-Quantity]]*Table4[[#This Row],[Unit-Price]]</f>
        <v>11271.81</v>
      </c>
      <c r="L509" s="2">
        <f>Table4[[#This Row],[Stock-Quantity]]*Table4[[#This Row],[Margin-Unit]]</f>
        <v>1490.28</v>
      </c>
      <c r="M509">
        <f>Table4[[#This Row],[Date-Sales]]-Table4[[#This Row],[Date-Received]]</f>
        <v>22</v>
      </c>
      <c r="N509" s="6">
        <f>Table4[[#This Row],[Margin-Unit]]/Table4[[#This Row],[Unit-Price]]</f>
        <v>0.13221301636560587</v>
      </c>
    </row>
    <row r="510" spans="1:14" x14ac:dyDescent="0.3">
      <c r="A510" t="s">
        <v>553</v>
      </c>
      <c r="B510" t="s">
        <v>43</v>
      </c>
      <c r="C510" t="s">
        <v>35</v>
      </c>
      <c r="D510" t="s">
        <v>13</v>
      </c>
      <c r="E510" t="s">
        <v>14</v>
      </c>
      <c r="F510">
        <v>302</v>
      </c>
      <c r="G510" s="3">
        <v>257.55</v>
      </c>
      <c r="H510" s="1">
        <v>45732</v>
      </c>
      <c r="I510" s="1">
        <v>45741</v>
      </c>
      <c r="J510" s="3">
        <v>71.03</v>
      </c>
      <c r="K510" s="2">
        <f>Table4[[#This Row],[Stock-Quantity]]*Table4[[#This Row],[Unit-Price]]</f>
        <v>77780.100000000006</v>
      </c>
      <c r="L510" s="2">
        <f>Table4[[#This Row],[Stock-Quantity]]*Table4[[#This Row],[Margin-Unit]]</f>
        <v>21451.06</v>
      </c>
      <c r="M510">
        <f>Table4[[#This Row],[Date-Sales]]-Table4[[#This Row],[Date-Received]]</f>
        <v>9</v>
      </c>
      <c r="N510" s="6">
        <f>Table4[[#This Row],[Margin-Unit]]/Table4[[#This Row],[Unit-Price]]</f>
        <v>0.27579110852261696</v>
      </c>
    </row>
    <row r="511" spans="1:14" x14ac:dyDescent="0.3">
      <c r="A511" t="s">
        <v>554</v>
      </c>
      <c r="B511" t="s">
        <v>52</v>
      </c>
      <c r="C511" t="s">
        <v>12</v>
      </c>
      <c r="D511" t="s">
        <v>18</v>
      </c>
      <c r="E511" t="s">
        <v>19</v>
      </c>
      <c r="F511">
        <v>271</v>
      </c>
      <c r="G511" s="3">
        <v>285.69</v>
      </c>
      <c r="H511" s="1">
        <v>45730</v>
      </c>
      <c r="I511" s="1">
        <v>45750</v>
      </c>
      <c r="J511" s="3">
        <v>30.12</v>
      </c>
      <c r="K511" s="2">
        <f>Table4[[#This Row],[Stock-Quantity]]*Table4[[#This Row],[Unit-Price]]</f>
        <v>77421.990000000005</v>
      </c>
      <c r="L511" s="2">
        <f>Table4[[#This Row],[Stock-Quantity]]*Table4[[#This Row],[Margin-Unit]]</f>
        <v>8162.52</v>
      </c>
      <c r="M511">
        <f>Table4[[#This Row],[Date-Sales]]-Table4[[#This Row],[Date-Received]]</f>
        <v>20</v>
      </c>
      <c r="N511" s="6">
        <f>Table4[[#This Row],[Margin-Unit]]/Table4[[#This Row],[Unit-Price]]</f>
        <v>0.10542896146172426</v>
      </c>
    </row>
    <row r="512" spans="1:14" x14ac:dyDescent="0.3">
      <c r="A512" t="s">
        <v>555</v>
      </c>
      <c r="B512" t="s">
        <v>16</v>
      </c>
      <c r="C512" t="s">
        <v>17</v>
      </c>
      <c r="D512" t="s">
        <v>13</v>
      </c>
      <c r="E512" t="s">
        <v>14</v>
      </c>
      <c r="F512">
        <v>488</v>
      </c>
      <c r="G512" s="3">
        <v>122.32</v>
      </c>
      <c r="H512" s="1">
        <v>45784</v>
      </c>
      <c r="I512" s="1">
        <v>45808</v>
      </c>
      <c r="J512" s="3">
        <v>18.79</v>
      </c>
      <c r="K512" s="2">
        <f>Table4[[#This Row],[Stock-Quantity]]*Table4[[#This Row],[Unit-Price]]</f>
        <v>59692.159999999996</v>
      </c>
      <c r="L512" s="2">
        <f>Table4[[#This Row],[Stock-Quantity]]*Table4[[#This Row],[Margin-Unit]]</f>
        <v>9169.52</v>
      </c>
      <c r="M512">
        <f>Table4[[#This Row],[Date-Sales]]-Table4[[#This Row],[Date-Received]]</f>
        <v>24</v>
      </c>
      <c r="N512" s="6">
        <f>Table4[[#This Row],[Margin-Unit]]/Table4[[#This Row],[Unit-Price]]</f>
        <v>0.15361347285807717</v>
      </c>
    </row>
    <row r="513" spans="1:14" x14ac:dyDescent="0.3">
      <c r="A513" t="s">
        <v>556</v>
      </c>
      <c r="B513" t="s">
        <v>24</v>
      </c>
      <c r="C513" t="s">
        <v>22</v>
      </c>
      <c r="D513" t="s">
        <v>25</v>
      </c>
      <c r="E513" t="s">
        <v>26</v>
      </c>
      <c r="F513">
        <v>494</v>
      </c>
      <c r="G513" s="3">
        <v>111.13</v>
      </c>
      <c r="H513" s="1">
        <v>45806</v>
      </c>
      <c r="I513" s="1">
        <v>45826</v>
      </c>
      <c r="J513" s="3">
        <v>26.65</v>
      </c>
      <c r="K513" s="2">
        <f>Table4[[#This Row],[Stock-Quantity]]*Table4[[#This Row],[Unit-Price]]</f>
        <v>54898.22</v>
      </c>
      <c r="L513" s="2">
        <f>Table4[[#This Row],[Stock-Quantity]]*Table4[[#This Row],[Margin-Unit]]</f>
        <v>13165.099999999999</v>
      </c>
      <c r="M513">
        <f>Table4[[#This Row],[Date-Sales]]-Table4[[#This Row],[Date-Received]]</f>
        <v>20</v>
      </c>
      <c r="N513" s="6">
        <f>Table4[[#This Row],[Margin-Unit]]/Table4[[#This Row],[Unit-Price]]</f>
        <v>0.23980923243048682</v>
      </c>
    </row>
    <row r="514" spans="1:14" x14ac:dyDescent="0.3">
      <c r="A514" t="s">
        <v>557</v>
      </c>
      <c r="B514" t="s">
        <v>43</v>
      </c>
      <c r="C514" t="s">
        <v>35</v>
      </c>
      <c r="D514" t="s">
        <v>25</v>
      </c>
      <c r="E514" t="s">
        <v>26</v>
      </c>
      <c r="F514">
        <v>224</v>
      </c>
      <c r="G514" s="3">
        <v>400.73</v>
      </c>
      <c r="H514" s="1">
        <v>45828</v>
      </c>
      <c r="I514" s="1">
        <v>45855</v>
      </c>
      <c r="J514" s="3">
        <v>40.840000000000003</v>
      </c>
      <c r="K514" s="2">
        <f>Table4[[#This Row],[Stock-Quantity]]*Table4[[#This Row],[Unit-Price]]</f>
        <v>89763.520000000004</v>
      </c>
      <c r="L514" s="2">
        <f>Table4[[#This Row],[Stock-Quantity]]*Table4[[#This Row],[Margin-Unit]]</f>
        <v>9148.16</v>
      </c>
      <c r="M514">
        <f>Table4[[#This Row],[Date-Sales]]-Table4[[#This Row],[Date-Received]]</f>
        <v>27</v>
      </c>
      <c r="N514" s="6">
        <f>Table4[[#This Row],[Margin-Unit]]/Table4[[#This Row],[Unit-Price]]</f>
        <v>0.10191400693733936</v>
      </c>
    </row>
    <row r="515" spans="1:14" x14ac:dyDescent="0.3">
      <c r="A515" t="s">
        <v>558</v>
      </c>
      <c r="B515" t="s">
        <v>52</v>
      </c>
      <c r="C515" t="s">
        <v>12</v>
      </c>
      <c r="D515" t="s">
        <v>40</v>
      </c>
      <c r="E515" t="s">
        <v>41</v>
      </c>
      <c r="F515">
        <v>86</v>
      </c>
      <c r="G515" s="3">
        <v>426.04</v>
      </c>
      <c r="H515" s="1">
        <v>45671</v>
      </c>
      <c r="I515" s="1">
        <v>45688</v>
      </c>
      <c r="J515" s="3">
        <v>94.51</v>
      </c>
      <c r="K515" s="2">
        <f>Table4[[#This Row],[Stock-Quantity]]*Table4[[#This Row],[Unit-Price]]</f>
        <v>36639.440000000002</v>
      </c>
      <c r="L515" s="2">
        <f>Table4[[#This Row],[Stock-Quantity]]*Table4[[#This Row],[Margin-Unit]]</f>
        <v>8127.8600000000006</v>
      </c>
      <c r="M515">
        <f>Table4[[#This Row],[Date-Sales]]-Table4[[#This Row],[Date-Received]]</f>
        <v>17</v>
      </c>
      <c r="N515" s="6">
        <f>Table4[[#This Row],[Margin-Unit]]/Table4[[#This Row],[Unit-Price]]</f>
        <v>0.22183363064500985</v>
      </c>
    </row>
    <row r="516" spans="1:14" x14ac:dyDescent="0.3">
      <c r="A516" t="s">
        <v>559</v>
      </c>
      <c r="B516" t="s">
        <v>50</v>
      </c>
      <c r="C516" t="s">
        <v>17</v>
      </c>
      <c r="D516" t="s">
        <v>30</v>
      </c>
      <c r="E516" t="s">
        <v>31</v>
      </c>
      <c r="F516">
        <v>327</v>
      </c>
      <c r="G516" s="3">
        <v>484.99</v>
      </c>
      <c r="H516" s="1">
        <v>45797</v>
      </c>
      <c r="I516" s="1">
        <v>45826</v>
      </c>
      <c r="J516" s="3">
        <v>70.25</v>
      </c>
      <c r="K516" s="2">
        <f>Table4[[#This Row],[Stock-Quantity]]*Table4[[#This Row],[Unit-Price]]</f>
        <v>158591.73000000001</v>
      </c>
      <c r="L516" s="2">
        <f>Table4[[#This Row],[Stock-Quantity]]*Table4[[#This Row],[Margin-Unit]]</f>
        <v>22971.75</v>
      </c>
      <c r="M516">
        <f>Table4[[#This Row],[Date-Sales]]-Table4[[#This Row],[Date-Received]]</f>
        <v>29</v>
      </c>
      <c r="N516" s="6">
        <f>Table4[[#This Row],[Margin-Unit]]/Table4[[#This Row],[Unit-Price]]</f>
        <v>0.14484834738860594</v>
      </c>
    </row>
    <row r="517" spans="1:14" x14ac:dyDescent="0.3">
      <c r="A517" t="s">
        <v>560</v>
      </c>
      <c r="B517" t="s">
        <v>43</v>
      </c>
      <c r="C517" t="s">
        <v>35</v>
      </c>
      <c r="D517" t="s">
        <v>30</v>
      </c>
      <c r="E517" t="s">
        <v>31</v>
      </c>
      <c r="F517">
        <v>396</v>
      </c>
      <c r="G517" s="3">
        <v>231.09</v>
      </c>
      <c r="H517" s="1">
        <v>45723</v>
      </c>
      <c r="I517" s="1">
        <v>45740</v>
      </c>
      <c r="J517" s="3">
        <v>69.239999999999995</v>
      </c>
      <c r="K517" s="2">
        <f>Table4[[#This Row],[Stock-Quantity]]*Table4[[#This Row],[Unit-Price]]</f>
        <v>91511.64</v>
      </c>
      <c r="L517" s="2">
        <f>Table4[[#This Row],[Stock-Quantity]]*Table4[[#This Row],[Margin-Unit]]</f>
        <v>27419.039999999997</v>
      </c>
      <c r="M517">
        <f>Table4[[#This Row],[Date-Sales]]-Table4[[#This Row],[Date-Received]]</f>
        <v>17</v>
      </c>
      <c r="N517" s="6">
        <f>Table4[[#This Row],[Margin-Unit]]/Table4[[#This Row],[Unit-Price]]</f>
        <v>0.29962352330260933</v>
      </c>
    </row>
    <row r="518" spans="1:14" x14ac:dyDescent="0.3">
      <c r="A518" t="s">
        <v>561</v>
      </c>
      <c r="B518" t="s">
        <v>28</v>
      </c>
      <c r="C518" t="s">
        <v>29</v>
      </c>
      <c r="D518" t="s">
        <v>18</v>
      </c>
      <c r="E518" t="s">
        <v>19</v>
      </c>
      <c r="F518">
        <v>171</v>
      </c>
      <c r="G518" s="3">
        <v>139.97</v>
      </c>
      <c r="H518" s="1">
        <v>45693</v>
      </c>
      <c r="I518" s="1">
        <v>45712</v>
      </c>
      <c r="J518" s="3">
        <v>27.41</v>
      </c>
      <c r="K518" s="2">
        <f>Table4[[#This Row],[Stock-Quantity]]*Table4[[#This Row],[Unit-Price]]</f>
        <v>23934.87</v>
      </c>
      <c r="L518" s="2">
        <f>Table4[[#This Row],[Stock-Quantity]]*Table4[[#This Row],[Margin-Unit]]</f>
        <v>4687.1099999999997</v>
      </c>
      <c r="M518">
        <f>Table4[[#This Row],[Date-Sales]]-Table4[[#This Row],[Date-Received]]</f>
        <v>19</v>
      </c>
      <c r="N518" s="6">
        <f>Table4[[#This Row],[Margin-Unit]]/Table4[[#This Row],[Unit-Price]]</f>
        <v>0.19582767735943415</v>
      </c>
    </row>
    <row r="519" spans="1:14" x14ac:dyDescent="0.3">
      <c r="A519" t="s">
        <v>562</v>
      </c>
      <c r="B519" t="s">
        <v>116</v>
      </c>
      <c r="C519" t="s">
        <v>12</v>
      </c>
      <c r="D519" t="s">
        <v>25</v>
      </c>
      <c r="E519" t="s">
        <v>26</v>
      </c>
      <c r="F519">
        <v>242</v>
      </c>
      <c r="G519" s="3">
        <v>480.6</v>
      </c>
      <c r="H519" s="1">
        <v>45763</v>
      </c>
      <c r="I519" s="1">
        <v>45769</v>
      </c>
      <c r="J519" s="3">
        <v>59.49</v>
      </c>
      <c r="K519" s="2">
        <f>Table4[[#This Row],[Stock-Quantity]]*Table4[[#This Row],[Unit-Price]]</f>
        <v>116305.20000000001</v>
      </c>
      <c r="L519" s="2">
        <f>Table4[[#This Row],[Stock-Quantity]]*Table4[[#This Row],[Margin-Unit]]</f>
        <v>14396.58</v>
      </c>
      <c r="M519">
        <f>Table4[[#This Row],[Date-Sales]]-Table4[[#This Row],[Date-Received]]</f>
        <v>6</v>
      </c>
      <c r="N519" s="6">
        <f>Table4[[#This Row],[Margin-Unit]]/Table4[[#This Row],[Unit-Price]]</f>
        <v>0.12378277153558052</v>
      </c>
    </row>
    <row r="520" spans="1:14" x14ac:dyDescent="0.3">
      <c r="A520" t="s">
        <v>563</v>
      </c>
      <c r="B520" t="s">
        <v>94</v>
      </c>
      <c r="C520" t="s">
        <v>29</v>
      </c>
      <c r="D520" t="s">
        <v>40</v>
      </c>
      <c r="E520" t="s">
        <v>41</v>
      </c>
      <c r="F520">
        <v>239</v>
      </c>
      <c r="G520" s="3">
        <v>499.25</v>
      </c>
      <c r="H520" s="1">
        <v>45814</v>
      </c>
      <c r="I520" s="1">
        <v>45817</v>
      </c>
      <c r="J520" s="3">
        <v>146.88</v>
      </c>
      <c r="K520" s="2">
        <f>Table4[[#This Row],[Stock-Quantity]]*Table4[[#This Row],[Unit-Price]]</f>
        <v>119320.75</v>
      </c>
      <c r="L520" s="2">
        <f>Table4[[#This Row],[Stock-Quantity]]*Table4[[#This Row],[Margin-Unit]]</f>
        <v>35104.32</v>
      </c>
      <c r="M520">
        <f>Table4[[#This Row],[Date-Sales]]-Table4[[#This Row],[Date-Received]]</f>
        <v>3</v>
      </c>
      <c r="N520" s="6">
        <f>Table4[[#This Row],[Margin-Unit]]/Table4[[#This Row],[Unit-Price]]</f>
        <v>0.29420130195292937</v>
      </c>
    </row>
    <row r="521" spans="1:14" x14ac:dyDescent="0.3">
      <c r="A521" t="s">
        <v>564</v>
      </c>
      <c r="B521" t="s">
        <v>80</v>
      </c>
      <c r="C521" t="s">
        <v>29</v>
      </c>
      <c r="D521" t="s">
        <v>25</v>
      </c>
      <c r="E521" t="s">
        <v>26</v>
      </c>
      <c r="F521">
        <v>369</v>
      </c>
      <c r="G521" s="3">
        <v>28.34</v>
      </c>
      <c r="H521" s="1">
        <v>45789</v>
      </c>
      <c r="I521" s="1">
        <v>45814</v>
      </c>
      <c r="J521" s="3">
        <v>3.67</v>
      </c>
      <c r="K521" s="2">
        <f>Table4[[#This Row],[Stock-Quantity]]*Table4[[#This Row],[Unit-Price]]</f>
        <v>10457.459999999999</v>
      </c>
      <c r="L521" s="2">
        <f>Table4[[#This Row],[Stock-Quantity]]*Table4[[#This Row],[Margin-Unit]]</f>
        <v>1354.23</v>
      </c>
      <c r="M521">
        <f>Table4[[#This Row],[Date-Sales]]-Table4[[#This Row],[Date-Received]]</f>
        <v>25</v>
      </c>
      <c r="N521" s="6">
        <f>Table4[[#This Row],[Margin-Unit]]/Table4[[#This Row],[Unit-Price]]</f>
        <v>0.12949894142554694</v>
      </c>
    </row>
    <row r="522" spans="1:14" x14ac:dyDescent="0.3">
      <c r="A522" t="s">
        <v>565</v>
      </c>
      <c r="B522" t="s">
        <v>34</v>
      </c>
      <c r="C522" t="s">
        <v>35</v>
      </c>
      <c r="D522" t="s">
        <v>40</v>
      </c>
      <c r="E522" t="s">
        <v>41</v>
      </c>
      <c r="F522">
        <v>56</v>
      </c>
      <c r="G522" s="3">
        <v>166.1</v>
      </c>
      <c r="H522" s="1">
        <v>45799</v>
      </c>
      <c r="I522" s="1">
        <v>45827</v>
      </c>
      <c r="J522" s="3">
        <v>17.37</v>
      </c>
      <c r="K522" s="2">
        <f>Table4[[#This Row],[Stock-Quantity]]*Table4[[#This Row],[Unit-Price]]</f>
        <v>9301.6</v>
      </c>
      <c r="L522" s="2">
        <f>Table4[[#This Row],[Stock-Quantity]]*Table4[[#This Row],[Margin-Unit]]</f>
        <v>972.72</v>
      </c>
      <c r="M522">
        <f>Table4[[#This Row],[Date-Sales]]-Table4[[#This Row],[Date-Received]]</f>
        <v>28</v>
      </c>
      <c r="N522" s="6">
        <f>Table4[[#This Row],[Margin-Unit]]/Table4[[#This Row],[Unit-Price]]</f>
        <v>0.1045755568934377</v>
      </c>
    </row>
    <row r="523" spans="1:14" x14ac:dyDescent="0.3">
      <c r="A523" t="s">
        <v>566</v>
      </c>
      <c r="B523" t="s">
        <v>34</v>
      </c>
      <c r="C523" t="s">
        <v>35</v>
      </c>
      <c r="D523" t="s">
        <v>40</v>
      </c>
      <c r="E523" t="s">
        <v>41</v>
      </c>
      <c r="F523">
        <v>107</v>
      </c>
      <c r="G523" s="3">
        <v>107.23</v>
      </c>
      <c r="H523" s="1">
        <v>45743</v>
      </c>
      <c r="I523" s="1">
        <v>45768</v>
      </c>
      <c r="J523" s="3">
        <v>24.7</v>
      </c>
      <c r="K523" s="2">
        <f>Table4[[#This Row],[Stock-Quantity]]*Table4[[#This Row],[Unit-Price]]</f>
        <v>11473.61</v>
      </c>
      <c r="L523" s="2">
        <f>Table4[[#This Row],[Stock-Quantity]]*Table4[[#This Row],[Margin-Unit]]</f>
        <v>2642.9</v>
      </c>
      <c r="M523">
        <f>Table4[[#This Row],[Date-Sales]]-Table4[[#This Row],[Date-Received]]</f>
        <v>25</v>
      </c>
      <c r="N523" s="6">
        <f>Table4[[#This Row],[Margin-Unit]]/Table4[[#This Row],[Unit-Price]]</f>
        <v>0.23034598526531752</v>
      </c>
    </row>
    <row r="524" spans="1:14" x14ac:dyDescent="0.3">
      <c r="A524" t="s">
        <v>567</v>
      </c>
      <c r="B524" t="s">
        <v>94</v>
      </c>
      <c r="C524" t="s">
        <v>29</v>
      </c>
      <c r="D524" t="s">
        <v>18</v>
      </c>
      <c r="E524" t="s">
        <v>19</v>
      </c>
      <c r="F524">
        <v>431</v>
      </c>
      <c r="G524" s="3">
        <v>491.34</v>
      </c>
      <c r="H524" s="1">
        <v>45764</v>
      </c>
      <c r="I524" s="1">
        <v>45784</v>
      </c>
      <c r="J524" s="3">
        <v>116.97</v>
      </c>
      <c r="K524" s="2">
        <f>Table4[[#This Row],[Stock-Quantity]]*Table4[[#This Row],[Unit-Price]]</f>
        <v>211767.53999999998</v>
      </c>
      <c r="L524" s="2">
        <f>Table4[[#This Row],[Stock-Quantity]]*Table4[[#This Row],[Margin-Unit]]</f>
        <v>50414.07</v>
      </c>
      <c r="M524">
        <f>Table4[[#This Row],[Date-Sales]]-Table4[[#This Row],[Date-Received]]</f>
        <v>20</v>
      </c>
      <c r="N524" s="6">
        <f>Table4[[#This Row],[Margin-Unit]]/Table4[[#This Row],[Unit-Price]]</f>
        <v>0.23806325558676275</v>
      </c>
    </row>
    <row r="525" spans="1:14" x14ac:dyDescent="0.3">
      <c r="A525" t="s">
        <v>568</v>
      </c>
      <c r="B525" t="s">
        <v>28</v>
      </c>
      <c r="C525" t="s">
        <v>29</v>
      </c>
      <c r="D525" t="s">
        <v>25</v>
      </c>
      <c r="E525" t="s">
        <v>26</v>
      </c>
      <c r="F525">
        <v>413</v>
      </c>
      <c r="G525" s="3">
        <v>428.25</v>
      </c>
      <c r="H525" s="1">
        <v>45751</v>
      </c>
      <c r="I525" s="1">
        <v>45775</v>
      </c>
      <c r="J525" s="3">
        <v>95.22</v>
      </c>
      <c r="K525" s="2">
        <f>Table4[[#This Row],[Stock-Quantity]]*Table4[[#This Row],[Unit-Price]]</f>
        <v>176867.25</v>
      </c>
      <c r="L525" s="2">
        <f>Table4[[#This Row],[Stock-Quantity]]*Table4[[#This Row],[Margin-Unit]]</f>
        <v>39325.86</v>
      </c>
      <c r="M525">
        <f>Table4[[#This Row],[Date-Sales]]-Table4[[#This Row],[Date-Received]]</f>
        <v>24</v>
      </c>
      <c r="N525" s="6">
        <f>Table4[[#This Row],[Margin-Unit]]/Table4[[#This Row],[Unit-Price]]</f>
        <v>0.22234676007005252</v>
      </c>
    </row>
    <row r="526" spans="1:14" x14ac:dyDescent="0.3">
      <c r="A526" t="s">
        <v>569</v>
      </c>
      <c r="B526" t="s">
        <v>43</v>
      </c>
      <c r="C526" t="s">
        <v>35</v>
      </c>
      <c r="D526" t="s">
        <v>13</v>
      </c>
      <c r="E526" t="s">
        <v>14</v>
      </c>
      <c r="F526">
        <v>279</v>
      </c>
      <c r="G526" s="3">
        <v>360.32</v>
      </c>
      <c r="H526" s="1">
        <v>45660</v>
      </c>
      <c r="I526" s="1">
        <v>45680</v>
      </c>
      <c r="J526" s="3">
        <v>61.74</v>
      </c>
      <c r="K526" s="2">
        <f>Table4[[#This Row],[Stock-Quantity]]*Table4[[#This Row],[Unit-Price]]</f>
        <v>100529.28</v>
      </c>
      <c r="L526" s="2">
        <f>Table4[[#This Row],[Stock-Quantity]]*Table4[[#This Row],[Margin-Unit]]</f>
        <v>17225.46</v>
      </c>
      <c r="M526">
        <f>Table4[[#This Row],[Date-Sales]]-Table4[[#This Row],[Date-Received]]</f>
        <v>20</v>
      </c>
      <c r="N526" s="6">
        <f>Table4[[#This Row],[Margin-Unit]]/Table4[[#This Row],[Unit-Price]]</f>
        <v>0.17134769094138544</v>
      </c>
    </row>
    <row r="527" spans="1:14" x14ac:dyDescent="0.3">
      <c r="A527" t="s">
        <v>570</v>
      </c>
      <c r="B527" t="s">
        <v>70</v>
      </c>
      <c r="C527" t="s">
        <v>35</v>
      </c>
      <c r="D527" t="s">
        <v>18</v>
      </c>
      <c r="E527" t="s">
        <v>19</v>
      </c>
      <c r="F527">
        <v>141</v>
      </c>
      <c r="G527" s="3">
        <v>192.61</v>
      </c>
      <c r="H527" s="1">
        <v>45705</v>
      </c>
      <c r="I527" s="1">
        <v>45711</v>
      </c>
      <c r="J527" s="3">
        <v>23.35</v>
      </c>
      <c r="K527" s="2">
        <f>Table4[[#This Row],[Stock-Quantity]]*Table4[[#This Row],[Unit-Price]]</f>
        <v>27158.010000000002</v>
      </c>
      <c r="L527" s="2">
        <f>Table4[[#This Row],[Stock-Quantity]]*Table4[[#This Row],[Margin-Unit]]</f>
        <v>3292.3500000000004</v>
      </c>
      <c r="M527">
        <f>Table4[[#This Row],[Date-Sales]]-Table4[[#This Row],[Date-Received]]</f>
        <v>6</v>
      </c>
      <c r="N527" s="6">
        <f>Table4[[#This Row],[Margin-Unit]]/Table4[[#This Row],[Unit-Price]]</f>
        <v>0.12122942734022117</v>
      </c>
    </row>
    <row r="528" spans="1:14" x14ac:dyDescent="0.3">
      <c r="A528" t="s">
        <v>571</v>
      </c>
      <c r="B528" t="s">
        <v>39</v>
      </c>
      <c r="C528" t="s">
        <v>12</v>
      </c>
      <c r="D528" t="s">
        <v>40</v>
      </c>
      <c r="E528" t="s">
        <v>41</v>
      </c>
      <c r="F528">
        <v>299</v>
      </c>
      <c r="G528" s="3">
        <v>180.82</v>
      </c>
      <c r="H528" s="1">
        <v>45774</v>
      </c>
      <c r="I528" s="1">
        <v>45791</v>
      </c>
      <c r="J528" s="3">
        <v>21.01</v>
      </c>
      <c r="K528" s="2">
        <f>Table4[[#This Row],[Stock-Quantity]]*Table4[[#This Row],[Unit-Price]]</f>
        <v>54065.18</v>
      </c>
      <c r="L528" s="2">
        <f>Table4[[#This Row],[Stock-Quantity]]*Table4[[#This Row],[Margin-Unit]]</f>
        <v>6281.9900000000007</v>
      </c>
      <c r="M528">
        <f>Table4[[#This Row],[Date-Sales]]-Table4[[#This Row],[Date-Received]]</f>
        <v>17</v>
      </c>
      <c r="N528" s="6">
        <f>Table4[[#This Row],[Margin-Unit]]/Table4[[#This Row],[Unit-Price]]</f>
        <v>0.11619289901559564</v>
      </c>
    </row>
    <row r="529" spans="1:14" x14ac:dyDescent="0.3">
      <c r="A529" t="s">
        <v>572</v>
      </c>
      <c r="B529" t="s">
        <v>39</v>
      </c>
      <c r="C529" t="s">
        <v>12</v>
      </c>
      <c r="D529" t="s">
        <v>25</v>
      </c>
      <c r="E529" t="s">
        <v>26</v>
      </c>
      <c r="F529">
        <v>34</v>
      </c>
      <c r="G529" s="3">
        <v>25.25</v>
      </c>
      <c r="H529" s="1">
        <v>45698</v>
      </c>
      <c r="I529" s="1">
        <v>45716</v>
      </c>
      <c r="J529" s="3">
        <v>4.3499999999999996</v>
      </c>
      <c r="K529" s="2">
        <f>Table4[[#This Row],[Stock-Quantity]]*Table4[[#This Row],[Unit-Price]]</f>
        <v>858.5</v>
      </c>
      <c r="L529" s="2">
        <f>Table4[[#This Row],[Stock-Quantity]]*Table4[[#This Row],[Margin-Unit]]</f>
        <v>147.89999999999998</v>
      </c>
      <c r="M529">
        <f>Table4[[#This Row],[Date-Sales]]-Table4[[#This Row],[Date-Received]]</f>
        <v>18</v>
      </c>
      <c r="N529" s="6">
        <f>Table4[[#This Row],[Margin-Unit]]/Table4[[#This Row],[Unit-Price]]</f>
        <v>0.17227722772277226</v>
      </c>
    </row>
    <row r="530" spans="1:14" x14ac:dyDescent="0.3">
      <c r="A530" t="s">
        <v>573</v>
      </c>
      <c r="B530" t="s">
        <v>39</v>
      </c>
      <c r="C530" t="s">
        <v>12</v>
      </c>
      <c r="D530" t="s">
        <v>13</v>
      </c>
      <c r="E530" t="s">
        <v>14</v>
      </c>
      <c r="F530">
        <v>59</v>
      </c>
      <c r="G530" s="3">
        <v>300.45</v>
      </c>
      <c r="H530" s="1">
        <v>45707</v>
      </c>
      <c r="I530" s="1">
        <v>45712</v>
      </c>
      <c r="J530" s="3">
        <v>47.02</v>
      </c>
      <c r="K530" s="2">
        <f>Table4[[#This Row],[Stock-Quantity]]*Table4[[#This Row],[Unit-Price]]</f>
        <v>17726.55</v>
      </c>
      <c r="L530" s="2">
        <f>Table4[[#This Row],[Stock-Quantity]]*Table4[[#This Row],[Margin-Unit]]</f>
        <v>2774.1800000000003</v>
      </c>
      <c r="M530">
        <f>Table4[[#This Row],[Date-Sales]]-Table4[[#This Row],[Date-Received]]</f>
        <v>5</v>
      </c>
      <c r="N530" s="6">
        <f>Table4[[#This Row],[Margin-Unit]]/Table4[[#This Row],[Unit-Price]]</f>
        <v>0.15649858545515064</v>
      </c>
    </row>
    <row r="531" spans="1:14" x14ac:dyDescent="0.3">
      <c r="A531" t="s">
        <v>574</v>
      </c>
      <c r="B531" t="s">
        <v>106</v>
      </c>
      <c r="C531" t="s">
        <v>17</v>
      </c>
      <c r="D531" t="s">
        <v>40</v>
      </c>
      <c r="E531" t="s">
        <v>41</v>
      </c>
      <c r="F531">
        <v>433</v>
      </c>
      <c r="G531" s="3">
        <v>497.73</v>
      </c>
      <c r="H531" s="1">
        <v>45781</v>
      </c>
      <c r="I531" s="1">
        <v>45782</v>
      </c>
      <c r="J531" s="3">
        <v>59.6</v>
      </c>
      <c r="K531" s="2">
        <f>Table4[[#This Row],[Stock-Quantity]]*Table4[[#This Row],[Unit-Price]]</f>
        <v>215517.09</v>
      </c>
      <c r="L531" s="2">
        <f>Table4[[#This Row],[Stock-Quantity]]*Table4[[#This Row],[Margin-Unit]]</f>
        <v>25806.799999999999</v>
      </c>
      <c r="M531">
        <f>Table4[[#This Row],[Date-Sales]]-Table4[[#This Row],[Date-Received]]</f>
        <v>1</v>
      </c>
      <c r="N531" s="6">
        <f>Table4[[#This Row],[Margin-Unit]]/Table4[[#This Row],[Unit-Price]]</f>
        <v>0.11974363610793</v>
      </c>
    </row>
    <row r="532" spans="1:14" x14ac:dyDescent="0.3">
      <c r="A532" t="s">
        <v>575</v>
      </c>
      <c r="B532" t="s">
        <v>34</v>
      </c>
      <c r="C532" t="s">
        <v>35</v>
      </c>
      <c r="D532" t="s">
        <v>18</v>
      </c>
      <c r="E532" t="s">
        <v>19</v>
      </c>
      <c r="F532">
        <v>21</v>
      </c>
      <c r="G532" s="3">
        <v>109.29</v>
      </c>
      <c r="H532" s="1">
        <v>45813</v>
      </c>
      <c r="I532" s="1">
        <v>45821</v>
      </c>
      <c r="J532" s="3">
        <v>22.75</v>
      </c>
      <c r="K532" s="2">
        <f>Table4[[#This Row],[Stock-Quantity]]*Table4[[#This Row],[Unit-Price]]</f>
        <v>2295.09</v>
      </c>
      <c r="L532" s="2">
        <f>Table4[[#This Row],[Stock-Quantity]]*Table4[[#This Row],[Margin-Unit]]</f>
        <v>477.75</v>
      </c>
      <c r="M532">
        <f>Table4[[#This Row],[Date-Sales]]-Table4[[#This Row],[Date-Received]]</f>
        <v>8</v>
      </c>
      <c r="N532" s="6">
        <f>Table4[[#This Row],[Margin-Unit]]/Table4[[#This Row],[Unit-Price]]</f>
        <v>0.20816177143379996</v>
      </c>
    </row>
    <row r="533" spans="1:14" x14ac:dyDescent="0.3">
      <c r="A533" t="s">
        <v>576</v>
      </c>
      <c r="B533" t="s">
        <v>50</v>
      </c>
      <c r="C533" t="s">
        <v>17</v>
      </c>
      <c r="D533" t="s">
        <v>40</v>
      </c>
      <c r="E533" t="s">
        <v>41</v>
      </c>
      <c r="F533">
        <v>279</v>
      </c>
      <c r="G533" s="3">
        <v>194.62</v>
      </c>
      <c r="H533" s="1">
        <v>45822</v>
      </c>
      <c r="I533" s="1">
        <v>45825</v>
      </c>
      <c r="J533" s="3">
        <v>50.41</v>
      </c>
      <c r="K533" s="2">
        <f>Table4[[#This Row],[Stock-Quantity]]*Table4[[#This Row],[Unit-Price]]</f>
        <v>54298.98</v>
      </c>
      <c r="L533" s="2">
        <f>Table4[[#This Row],[Stock-Quantity]]*Table4[[#This Row],[Margin-Unit]]</f>
        <v>14064.39</v>
      </c>
      <c r="M533">
        <f>Table4[[#This Row],[Date-Sales]]-Table4[[#This Row],[Date-Received]]</f>
        <v>3</v>
      </c>
      <c r="N533" s="6">
        <f>Table4[[#This Row],[Margin-Unit]]/Table4[[#This Row],[Unit-Price]]</f>
        <v>0.25901757270578563</v>
      </c>
    </row>
    <row r="534" spans="1:14" x14ac:dyDescent="0.3">
      <c r="A534" t="s">
        <v>577</v>
      </c>
      <c r="B534" t="s">
        <v>43</v>
      </c>
      <c r="C534" t="s">
        <v>35</v>
      </c>
      <c r="D534" t="s">
        <v>30</v>
      </c>
      <c r="E534" t="s">
        <v>31</v>
      </c>
      <c r="F534">
        <v>426</v>
      </c>
      <c r="G534" s="3">
        <v>337.91</v>
      </c>
      <c r="H534" s="1">
        <v>45786</v>
      </c>
      <c r="I534" s="1">
        <v>45791</v>
      </c>
      <c r="J534" s="3">
        <v>87.18</v>
      </c>
      <c r="K534" s="2">
        <f>Table4[[#This Row],[Stock-Quantity]]*Table4[[#This Row],[Unit-Price]]</f>
        <v>143949.66</v>
      </c>
      <c r="L534" s="2">
        <f>Table4[[#This Row],[Stock-Quantity]]*Table4[[#This Row],[Margin-Unit]]</f>
        <v>37138.68</v>
      </c>
      <c r="M534">
        <f>Table4[[#This Row],[Date-Sales]]-Table4[[#This Row],[Date-Received]]</f>
        <v>5</v>
      </c>
      <c r="N534" s="6">
        <f>Table4[[#This Row],[Margin-Unit]]/Table4[[#This Row],[Unit-Price]]</f>
        <v>0.25799769169305437</v>
      </c>
    </row>
    <row r="535" spans="1:14" x14ac:dyDescent="0.3">
      <c r="A535" t="s">
        <v>578</v>
      </c>
      <c r="B535" t="s">
        <v>80</v>
      </c>
      <c r="C535" t="s">
        <v>29</v>
      </c>
      <c r="D535" t="s">
        <v>18</v>
      </c>
      <c r="E535" t="s">
        <v>19</v>
      </c>
      <c r="F535">
        <v>477</v>
      </c>
      <c r="G535" s="3">
        <v>38.01</v>
      </c>
      <c r="H535" s="1">
        <v>45772</v>
      </c>
      <c r="I535" s="1">
        <v>45796</v>
      </c>
      <c r="J535" s="3">
        <v>6.02</v>
      </c>
      <c r="K535" s="2">
        <f>Table4[[#This Row],[Stock-Quantity]]*Table4[[#This Row],[Unit-Price]]</f>
        <v>18130.77</v>
      </c>
      <c r="L535" s="2">
        <f>Table4[[#This Row],[Stock-Quantity]]*Table4[[#This Row],[Margin-Unit]]</f>
        <v>2871.54</v>
      </c>
      <c r="M535">
        <f>Table4[[#This Row],[Date-Sales]]-Table4[[#This Row],[Date-Received]]</f>
        <v>24</v>
      </c>
      <c r="N535" s="6">
        <f>Table4[[#This Row],[Margin-Unit]]/Table4[[#This Row],[Unit-Price]]</f>
        <v>0.15837937384898709</v>
      </c>
    </row>
    <row r="536" spans="1:14" x14ac:dyDescent="0.3">
      <c r="A536" t="s">
        <v>579</v>
      </c>
      <c r="B536" t="s">
        <v>39</v>
      </c>
      <c r="C536" t="s">
        <v>12</v>
      </c>
      <c r="D536" t="s">
        <v>25</v>
      </c>
      <c r="E536" t="s">
        <v>26</v>
      </c>
      <c r="F536">
        <v>357</v>
      </c>
      <c r="G536" s="3">
        <v>167.5</v>
      </c>
      <c r="H536" s="1">
        <v>45696</v>
      </c>
      <c r="I536" s="1">
        <v>45700</v>
      </c>
      <c r="J536" s="3">
        <v>31.49</v>
      </c>
      <c r="K536" s="2">
        <f>Table4[[#This Row],[Stock-Quantity]]*Table4[[#This Row],[Unit-Price]]</f>
        <v>59797.5</v>
      </c>
      <c r="L536" s="2">
        <f>Table4[[#This Row],[Stock-Quantity]]*Table4[[#This Row],[Margin-Unit]]</f>
        <v>11241.93</v>
      </c>
      <c r="M536">
        <f>Table4[[#This Row],[Date-Sales]]-Table4[[#This Row],[Date-Received]]</f>
        <v>4</v>
      </c>
      <c r="N536" s="6">
        <f>Table4[[#This Row],[Margin-Unit]]/Table4[[#This Row],[Unit-Price]]</f>
        <v>0.188</v>
      </c>
    </row>
    <row r="537" spans="1:14" x14ac:dyDescent="0.3">
      <c r="A537" t="s">
        <v>580</v>
      </c>
      <c r="B537" t="s">
        <v>11</v>
      </c>
      <c r="C537" t="s">
        <v>12</v>
      </c>
      <c r="D537" t="s">
        <v>13</v>
      </c>
      <c r="E537" t="s">
        <v>14</v>
      </c>
      <c r="F537">
        <v>412</v>
      </c>
      <c r="G537" s="3">
        <v>130.79</v>
      </c>
      <c r="H537" s="1">
        <v>45793</v>
      </c>
      <c r="I537" s="1">
        <v>45804</v>
      </c>
      <c r="J537" s="3">
        <v>38.6</v>
      </c>
      <c r="K537" s="2">
        <f>Table4[[#This Row],[Stock-Quantity]]*Table4[[#This Row],[Unit-Price]]</f>
        <v>53885.479999999996</v>
      </c>
      <c r="L537" s="2">
        <f>Table4[[#This Row],[Stock-Quantity]]*Table4[[#This Row],[Margin-Unit]]</f>
        <v>15903.2</v>
      </c>
      <c r="M537">
        <f>Table4[[#This Row],[Date-Sales]]-Table4[[#This Row],[Date-Received]]</f>
        <v>11</v>
      </c>
      <c r="N537" s="6">
        <f>Table4[[#This Row],[Margin-Unit]]/Table4[[#This Row],[Unit-Price]]</f>
        <v>0.29512959706399577</v>
      </c>
    </row>
    <row r="538" spans="1:14" x14ac:dyDescent="0.3">
      <c r="A538" t="s">
        <v>581</v>
      </c>
      <c r="B538" t="s">
        <v>106</v>
      </c>
      <c r="C538" t="s">
        <v>17</v>
      </c>
      <c r="D538" t="s">
        <v>40</v>
      </c>
      <c r="E538" t="s">
        <v>41</v>
      </c>
      <c r="F538">
        <v>87</v>
      </c>
      <c r="G538" s="3">
        <v>358.36</v>
      </c>
      <c r="H538" s="1">
        <v>45713</v>
      </c>
      <c r="I538" s="1">
        <v>45733</v>
      </c>
      <c r="J538" s="3">
        <v>103.23</v>
      </c>
      <c r="K538" s="2">
        <f>Table4[[#This Row],[Stock-Quantity]]*Table4[[#This Row],[Unit-Price]]</f>
        <v>31177.32</v>
      </c>
      <c r="L538" s="2">
        <f>Table4[[#This Row],[Stock-Quantity]]*Table4[[#This Row],[Margin-Unit]]</f>
        <v>8981.01</v>
      </c>
      <c r="M538">
        <f>Table4[[#This Row],[Date-Sales]]-Table4[[#This Row],[Date-Received]]</f>
        <v>20</v>
      </c>
      <c r="N538" s="6">
        <f>Table4[[#This Row],[Margin-Unit]]/Table4[[#This Row],[Unit-Price]]</f>
        <v>0.28806228373702419</v>
      </c>
    </row>
    <row r="539" spans="1:14" x14ac:dyDescent="0.3">
      <c r="A539" t="s">
        <v>582</v>
      </c>
      <c r="B539" t="s">
        <v>80</v>
      </c>
      <c r="C539" t="s">
        <v>29</v>
      </c>
      <c r="D539" t="s">
        <v>40</v>
      </c>
      <c r="E539" t="s">
        <v>41</v>
      </c>
      <c r="F539">
        <v>452</v>
      </c>
      <c r="G539" s="3">
        <v>475.1</v>
      </c>
      <c r="H539" s="1">
        <v>45693</v>
      </c>
      <c r="I539" s="1">
        <v>45707</v>
      </c>
      <c r="J539" s="3">
        <v>97.51</v>
      </c>
      <c r="K539" s="2">
        <f>Table4[[#This Row],[Stock-Quantity]]*Table4[[#This Row],[Unit-Price]]</f>
        <v>214745.2</v>
      </c>
      <c r="L539" s="2">
        <f>Table4[[#This Row],[Stock-Quantity]]*Table4[[#This Row],[Margin-Unit]]</f>
        <v>44074.520000000004</v>
      </c>
      <c r="M539">
        <f>Table4[[#This Row],[Date-Sales]]-Table4[[#This Row],[Date-Received]]</f>
        <v>14</v>
      </c>
      <c r="N539" s="6">
        <f>Table4[[#This Row],[Margin-Unit]]/Table4[[#This Row],[Unit-Price]]</f>
        <v>0.20524100189433803</v>
      </c>
    </row>
    <row r="540" spans="1:14" x14ac:dyDescent="0.3">
      <c r="A540" t="s">
        <v>583</v>
      </c>
      <c r="B540" t="s">
        <v>70</v>
      </c>
      <c r="C540" t="s">
        <v>35</v>
      </c>
      <c r="D540" t="s">
        <v>40</v>
      </c>
      <c r="E540" t="s">
        <v>41</v>
      </c>
      <c r="F540">
        <v>358</v>
      </c>
      <c r="G540" s="3">
        <v>351.43</v>
      </c>
      <c r="H540" s="1">
        <v>45810</v>
      </c>
      <c r="I540" s="1">
        <v>45820</v>
      </c>
      <c r="J540" s="3">
        <v>64.72</v>
      </c>
      <c r="K540" s="2">
        <f>Table4[[#This Row],[Stock-Quantity]]*Table4[[#This Row],[Unit-Price]]</f>
        <v>125811.94</v>
      </c>
      <c r="L540" s="2">
        <f>Table4[[#This Row],[Stock-Quantity]]*Table4[[#This Row],[Margin-Unit]]</f>
        <v>23169.759999999998</v>
      </c>
      <c r="M540">
        <f>Table4[[#This Row],[Date-Sales]]-Table4[[#This Row],[Date-Received]]</f>
        <v>10</v>
      </c>
      <c r="N540" s="6">
        <f>Table4[[#This Row],[Margin-Unit]]/Table4[[#This Row],[Unit-Price]]</f>
        <v>0.18416185300059756</v>
      </c>
    </row>
    <row r="541" spans="1:14" x14ac:dyDescent="0.3">
      <c r="A541" t="s">
        <v>584</v>
      </c>
      <c r="B541" t="s">
        <v>52</v>
      </c>
      <c r="C541" t="s">
        <v>12</v>
      </c>
      <c r="D541" t="s">
        <v>18</v>
      </c>
      <c r="E541" t="s">
        <v>19</v>
      </c>
      <c r="F541">
        <v>351</v>
      </c>
      <c r="G541" s="3">
        <v>104.31</v>
      </c>
      <c r="H541" s="1">
        <v>45792</v>
      </c>
      <c r="I541" s="1">
        <v>45811</v>
      </c>
      <c r="J541" s="3">
        <v>26.7</v>
      </c>
      <c r="K541" s="2">
        <f>Table4[[#This Row],[Stock-Quantity]]*Table4[[#This Row],[Unit-Price]]</f>
        <v>36612.81</v>
      </c>
      <c r="L541" s="2">
        <f>Table4[[#This Row],[Stock-Quantity]]*Table4[[#This Row],[Margin-Unit]]</f>
        <v>9371.6999999999989</v>
      </c>
      <c r="M541">
        <f>Table4[[#This Row],[Date-Sales]]-Table4[[#This Row],[Date-Received]]</f>
        <v>19</v>
      </c>
      <c r="N541" s="6">
        <f>Table4[[#This Row],[Margin-Unit]]/Table4[[#This Row],[Unit-Price]]</f>
        <v>0.25596778832326716</v>
      </c>
    </row>
    <row r="542" spans="1:14" x14ac:dyDescent="0.3">
      <c r="A542" t="s">
        <v>585</v>
      </c>
      <c r="B542" t="s">
        <v>21</v>
      </c>
      <c r="C542" t="s">
        <v>22</v>
      </c>
      <c r="D542" t="s">
        <v>40</v>
      </c>
      <c r="E542" t="s">
        <v>41</v>
      </c>
      <c r="F542">
        <v>307</v>
      </c>
      <c r="G542" s="3">
        <v>154.22</v>
      </c>
      <c r="H542" s="1">
        <v>45724</v>
      </c>
      <c r="I542" s="1">
        <v>45754</v>
      </c>
      <c r="J542" s="3">
        <v>31.71</v>
      </c>
      <c r="K542" s="2">
        <f>Table4[[#This Row],[Stock-Quantity]]*Table4[[#This Row],[Unit-Price]]</f>
        <v>47345.54</v>
      </c>
      <c r="L542" s="2">
        <f>Table4[[#This Row],[Stock-Quantity]]*Table4[[#This Row],[Margin-Unit]]</f>
        <v>9734.9700000000012</v>
      </c>
      <c r="M542">
        <f>Table4[[#This Row],[Date-Sales]]-Table4[[#This Row],[Date-Received]]</f>
        <v>30</v>
      </c>
      <c r="N542" s="6">
        <f>Table4[[#This Row],[Margin-Unit]]/Table4[[#This Row],[Unit-Price]]</f>
        <v>0.2056153546881079</v>
      </c>
    </row>
    <row r="543" spans="1:14" x14ac:dyDescent="0.3">
      <c r="A543" t="s">
        <v>586</v>
      </c>
      <c r="B543" t="s">
        <v>94</v>
      </c>
      <c r="C543" t="s">
        <v>29</v>
      </c>
      <c r="D543" t="s">
        <v>40</v>
      </c>
      <c r="E543" t="s">
        <v>41</v>
      </c>
      <c r="F543">
        <v>141</v>
      </c>
      <c r="G543" s="3">
        <v>254.32</v>
      </c>
      <c r="H543" s="1">
        <v>45682</v>
      </c>
      <c r="I543" s="1">
        <v>45686</v>
      </c>
      <c r="J543" s="3">
        <v>53.77</v>
      </c>
      <c r="K543" s="2">
        <f>Table4[[#This Row],[Stock-Quantity]]*Table4[[#This Row],[Unit-Price]]</f>
        <v>35859.120000000003</v>
      </c>
      <c r="L543" s="2">
        <f>Table4[[#This Row],[Stock-Quantity]]*Table4[[#This Row],[Margin-Unit]]</f>
        <v>7581.5700000000006</v>
      </c>
      <c r="M543">
        <f>Table4[[#This Row],[Date-Sales]]-Table4[[#This Row],[Date-Received]]</f>
        <v>4</v>
      </c>
      <c r="N543" s="6">
        <f>Table4[[#This Row],[Margin-Unit]]/Table4[[#This Row],[Unit-Price]]</f>
        <v>0.21142654922931742</v>
      </c>
    </row>
    <row r="544" spans="1:14" x14ac:dyDescent="0.3">
      <c r="A544" t="s">
        <v>587</v>
      </c>
      <c r="B544" t="s">
        <v>16</v>
      </c>
      <c r="C544" t="s">
        <v>17</v>
      </c>
      <c r="D544" t="s">
        <v>25</v>
      </c>
      <c r="E544" t="s">
        <v>26</v>
      </c>
      <c r="F544">
        <v>255</v>
      </c>
      <c r="G544" s="3">
        <v>7.9</v>
      </c>
      <c r="H544" s="1">
        <v>45692</v>
      </c>
      <c r="I544" s="1">
        <v>45709</v>
      </c>
      <c r="J544" s="3">
        <v>1.52</v>
      </c>
      <c r="K544" s="2">
        <f>Table4[[#This Row],[Stock-Quantity]]*Table4[[#This Row],[Unit-Price]]</f>
        <v>2014.5</v>
      </c>
      <c r="L544" s="2">
        <f>Table4[[#This Row],[Stock-Quantity]]*Table4[[#This Row],[Margin-Unit]]</f>
        <v>387.6</v>
      </c>
      <c r="M544">
        <f>Table4[[#This Row],[Date-Sales]]-Table4[[#This Row],[Date-Received]]</f>
        <v>17</v>
      </c>
      <c r="N544" s="6">
        <f>Table4[[#This Row],[Margin-Unit]]/Table4[[#This Row],[Unit-Price]]</f>
        <v>0.19240506329113924</v>
      </c>
    </row>
    <row r="545" spans="1:14" x14ac:dyDescent="0.3">
      <c r="A545" t="s">
        <v>588</v>
      </c>
      <c r="B545" t="s">
        <v>16</v>
      </c>
      <c r="C545" t="s">
        <v>17</v>
      </c>
      <c r="D545" t="s">
        <v>25</v>
      </c>
      <c r="E545" t="s">
        <v>26</v>
      </c>
      <c r="F545">
        <v>249</v>
      </c>
      <c r="G545" s="3">
        <v>425.62</v>
      </c>
      <c r="H545" s="1">
        <v>45711</v>
      </c>
      <c r="I545" s="1">
        <v>45732</v>
      </c>
      <c r="J545" s="3">
        <v>62.79</v>
      </c>
      <c r="K545" s="2">
        <f>Table4[[#This Row],[Stock-Quantity]]*Table4[[#This Row],[Unit-Price]]</f>
        <v>105979.38</v>
      </c>
      <c r="L545" s="2">
        <f>Table4[[#This Row],[Stock-Quantity]]*Table4[[#This Row],[Margin-Unit]]</f>
        <v>15634.71</v>
      </c>
      <c r="M545">
        <f>Table4[[#This Row],[Date-Sales]]-Table4[[#This Row],[Date-Received]]</f>
        <v>21</v>
      </c>
      <c r="N545" s="6">
        <f>Table4[[#This Row],[Margin-Unit]]/Table4[[#This Row],[Unit-Price]]</f>
        <v>0.14752596212583996</v>
      </c>
    </row>
    <row r="546" spans="1:14" x14ac:dyDescent="0.3">
      <c r="A546" t="s">
        <v>589</v>
      </c>
      <c r="B546" t="s">
        <v>11</v>
      </c>
      <c r="C546" t="s">
        <v>12</v>
      </c>
      <c r="D546" t="s">
        <v>13</v>
      </c>
      <c r="E546" t="s">
        <v>14</v>
      </c>
      <c r="F546">
        <v>362</v>
      </c>
      <c r="G546" s="3">
        <v>425.5</v>
      </c>
      <c r="H546" s="1">
        <v>45674</v>
      </c>
      <c r="I546" s="1">
        <v>45680</v>
      </c>
      <c r="J546" s="3">
        <v>119.59</v>
      </c>
      <c r="K546" s="2">
        <f>Table4[[#This Row],[Stock-Quantity]]*Table4[[#This Row],[Unit-Price]]</f>
        <v>154031</v>
      </c>
      <c r="L546" s="2">
        <f>Table4[[#This Row],[Stock-Quantity]]*Table4[[#This Row],[Margin-Unit]]</f>
        <v>43291.58</v>
      </c>
      <c r="M546">
        <f>Table4[[#This Row],[Date-Sales]]-Table4[[#This Row],[Date-Received]]</f>
        <v>6</v>
      </c>
      <c r="N546" s="6">
        <f>Table4[[#This Row],[Margin-Unit]]/Table4[[#This Row],[Unit-Price]]</f>
        <v>0.28105757931844888</v>
      </c>
    </row>
    <row r="547" spans="1:14" x14ac:dyDescent="0.3">
      <c r="A547" t="s">
        <v>590</v>
      </c>
      <c r="B547" t="s">
        <v>24</v>
      </c>
      <c r="C547" t="s">
        <v>22</v>
      </c>
      <c r="D547" t="s">
        <v>18</v>
      </c>
      <c r="E547" t="s">
        <v>19</v>
      </c>
      <c r="F547">
        <v>375</v>
      </c>
      <c r="G547" s="3">
        <v>182.69</v>
      </c>
      <c r="H547" s="1">
        <v>45799</v>
      </c>
      <c r="I547" s="1">
        <v>45825</v>
      </c>
      <c r="J547" s="3">
        <v>21.01</v>
      </c>
      <c r="K547" s="2">
        <f>Table4[[#This Row],[Stock-Quantity]]*Table4[[#This Row],[Unit-Price]]</f>
        <v>68508.75</v>
      </c>
      <c r="L547" s="2">
        <f>Table4[[#This Row],[Stock-Quantity]]*Table4[[#This Row],[Margin-Unit]]</f>
        <v>7878.7500000000009</v>
      </c>
      <c r="M547">
        <f>Table4[[#This Row],[Date-Sales]]-Table4[[#This Row],[Date-Received]]</f>
        <v>26</v>
      </c>
      <c r="N547" s="6">
        <f>Table4[[#This Row],[Margin-Unit]]/Table4[[#This Row],[Unit-Price]]</f>
        <v>0.11500355793967924</v>
      </c>
    </row>
    <row r="548" spans="1:14" x14ac:dyDescent="0.3">
      <c r="A548" t="s">
        <v>591</v>
      </c>
      <c r="B548" t="s">
        <v>65</v>
      </c>
      <c r="C548" t="s">
        <v>22</v>
      </c>
      <c r="D548" t="s">
        <v>25</v>
      </c>
      <c r="E548" t="s">
        <v>26</v>
      </c>
      <c r="F548">
        <v>128</v>
      </c>
      <c r="G548" s="3">
        <v>424.62</v>
      </c>
      <c r="H548" s="1">
        <v>45805</v>
      </c>
      <c r="I548" s="1">
        <v>45821</v>
      </c>
      <c r="J548" s="3">
        <v>90.37</v>
      </c>
      <c r="K548" s="2">
        <f>Table4[[#This Row],[Stock-Quantity]]*Table4[[#This Row],[Unit-Price]]</f>
        <v>54351.360000000001</v>
      </c>
      <c r="L548" s="2">
        <f>Table4[[#This Row],[Stock-Quantity]]*Table4[[#This Row],[Margin-Unit]]</f>
        <v>11567.36</v>
      </c>
      <c r="M548">
        <f>Table4[[#This Row],[Date-Sales]]-Table4[[#This Row],[Date-Received]]</f>
        <v>16</v>
      </c>
      <c r="N548" s="6">
        <f>Table4[[#This Row],[Margin-Unit]]/Table4[[#This Row],[Unit-Price]]</f>
        <v>0.21282558522914607</v>
      </c>
    </row>
    <row r="549" spans="1:14" x14ac:dyDescent="0.3">
      <c r="A549" t="s">
        <v>592</v>
      </c>
      <c r="B549" t="s">
        <v>37</v>
      </c>
      <c r="C549" t="s">
        <v>22</v>
      </c>
      <c r="D549" t="s">
        <v>18</v>
      </c>
      <c r="E549" t="s">
        <v>19</v>
      </c>
      <c r="F549">
        <v>223</v>
      </c>
      <c r="G549" s="3">
        <v>181.99</v>
      </c>
      <c r="H549" s="1">
        <v>45734</v>
      </c>
      <c r="I549" s="1">
        <v>45756</v>
      </c>
      <c r="J549" s="3">
        <v>20.96</v>
      </c>
      <c r="K549" s="2">
        <f>Table4[[#This Row],[Stock-Quantity]]*Table4[[#This Row],[Unit-Price]]</f>
        <v>40583.770000000004</v>
      </c>
      <c r="L549" s="2">
        <f>Table4[[#This Row],[Stock-Quantity]]*Table4[[#This Row],[Margin-Unit]]</f>
        <v>4674.08</v>
      </c>
      <c r="M549">
        <f>Table4[[#This Row],[Date-Sales]]-Table4[[#This Row],[Date-Received]]</f>
        <v>22</v>
      </c>
      <c r="N549" s="6">
        <f>Table4[[#This Row],[Margin-Unit]]/Table4[[#This Row],[Unit-Price]]</f>
        <v>0.11517116325072806</v>
      </c>
    </row>
    <row r="550" spans="1:14" x14ac:dyDescent="0.3">
      <c r="A550" t="s">
        <v>593</v>
      </c>
      <c r="B550" t="s">
        <v>74</v>
      </c>
      <c r="C550" t="s">
        <v>29</v>
      </c>
      <c r="D550" t="s">
        <v>13</v>
      </c>
      <c r="E550" t="s">
        <v>14</v>
      </c>
      <c r="F550">
        <v>85</v>
      </c>
      <c r="G550" s="3">
        <v>219.85</v>
      </c>
      <c r="H550" s="1">
        <v>45750</v>
      </c>
      <c r="I550" s="1">
        <v>45775</v>
      </c>
      <c r="J550" s="3">
        <v>52.16</v>
      </c>
      <c r="K550" s="2">
        <f>Table4[[#This Row],[Stock-Quantity]]*Table4[[#This Row],[Unit-Price]]</f>
        <v>18687.25</v>
      </c>
      <c r="L550" s="2">
        <f>Table4[[#This Row],[Stock-Quantity]]*Table4[[#This Row],[Margin-Unit]]</f>
        <v>4433.5999999999995</v>
      </c>
      <c r="M550">
        <f>Table4[[#This Row],[Date-Sales]]-Table4[[#This Row],[Date-Received]]</f>
        <v>25</v>
      </c>
      <c r="N550" s="6">
        <f>Table4[[#This Row],[Margin-Unit]]/Table4[[#This Row],[Unit-Price]]</f>
        <v>0.2372526722765522</v>
      </c>
    </row>
    <row r="551" spans="1:14" x14ac:dyDescent="0.3">
      <c r="A551" t="s">
        <v>594</v>
      </c>
      <c r="B551" t="s">
        <v>80</v>
      </c>
      <c r="C551" t="s">
        <v>29</v>
      </c>
      <c r="D551" t="s">
        <v>40</v>
      </c>
      <c r="E551" t="s">
        <v>41</v>
      </c>
      <c r="F551">
        <v>250</v>
      </c>
      <c r="G551" s="3">
        <v>488.13</v>
      </c>
      <c r="H551" s="1">
        <v>45804</v>
      </c>
      <c r="I551" s="1">
        <v>45821</v>
      </c>
      <c r="J551" s="3">
        <v>80.86</v>
      </c>
      <c r="K551" s="2">
        <f>Table4[[#This Row],[Stock-Quantity]]*Table4[[#This Row],[Unit-Price]]</f>
        <v>122032.5</v>
      </c>
      <c r="L551" s="2">
        <f>Table4[[#This Row],[Stock-Quantity]]*Table4[[#This Row],[Margin-Unit]]</f>
        <v>20215</v>
      </c>
      <c r="M551">
        <f>Table4[[#This Row],[Date-Sales]]-Table4[[#This Row],[Date-Received]]</f>
        <v>17</v>
      </c>
      <c r="N551" s="6">
        <f>Table4[[#This Row],[Margin-Unit]]/Table4[[#This Row],[Unit-Price]]</f>
        <v>0.16565259254706738</v>
      </c>
    </row>
    <row r="552" spans="1:14" x14ac:dyDescent="0.3">
      <c r="A552" t="s">
        <v>595</v>
      </c>
      <c r="B552" t="s">
        <v>11</v>
      </c>
      <c r="C552" t="s">
        <v>12</v>
      </c>
      <c r="D552" t="s">
        <v>40</v>
      </c>
      <c r="E552" t="s">
        <v>41</v>
      </c>
      <c r="F552">
        <v>481</v>
      </c>
      <c r="G552" s="3">
        <v>372.42</v>
      </c>
      <c r="H552" s="1">
        <v>45681</v>
      </c>
      <c r="I552" s="1">
        <v>45690</v>
      </c>
      <c r="J552" s="3">
        <v>42.08</v>
      </c>
      <c r="K552" s="2">
        <f>Table4[[#This Row],[Stock-Quantity]]*Table4[[#This Row],[Unit-Price]]</f>
        <v>179134.02000000002</v>
      </c>
      <c r="L552" s="2">
        <f>Table4[[#This Row],[Stock-Quantity]]*Table4[[#This Row],[Margin-Unit]]</f>
        <v>20240.48</v>
      </c>
      <c r="M552">
        <f>Table4[[#This Row],[Date-Sales]]-Table4[[#This Row],[Date-Received]]</f>
        <v>9</v>
      </c>
      <c r="N552" s="6">
        <f>Table4[[#This Row],[Margin-Unit]]/Table4[[#This Row],[Unit-Price]]</f>
        <v>0.11299070941410234</v>
      </c>
    </row>
    <row r="553" spans="1:14" x14ac:dyDescent="0.3">
      <c r="A553" t="s">
        <v>596</v>
      </c>
      <c r="B553" t="s">
        <v>11</v>
      </c>
      <c r="C553" t="s">
        <v>12</v>
      </c>
      <c r="D553" t="s">
        <v>13</v>
      </c>
      <c r="E553" t="s">
        <v>14</v>
      </c>
      <c r="F553">
        <v>304</v>
      </c>
      <c r="G553" s="3">
        <v>316.06</v>
      </c>
      <c r="H553" s="1">
        <v>45817</v>
      </c>
      <c r="I553" s="1">
        <v>45838</v>
      </c>
      <c r="J553" s="3">
        <v>65.319999999999993</v>
      </c>
      <c r="K553" s="2">
        <f>Table4[[#This Row],[Stock-Quantity]]*Table4[[#This Row],[Unit-Price]]</f>
        <v>96082.240000000005</v>
      </c>
      <c r="L553" s="2">
        <f>Table4[[#This Row],[Stock-Quantity]]*Table4[[#This Row],[Margin-Unit]]</f>
        <v>19857.28</v>
      </c>
      <c r="M553">
        <f>Table4[[#This Row],[Date-Sales]]-Table4[[#This Row],[Date-Received]]</f>
        <v>21</v>
      </c>
      <c r="N553" s="6">
        <f>Table4[[#This Row],[Margin-Unit]]/Table4[[#This Row],[Unit-Price]]</f>
        <v>0.20666961969246345</v>
      </c>
    </row>
    <row r="554" spans="1:14" x14ac:dyDescent="0.3">
      <c r="A554" t="s">
        <v>597</v>
      </c>
      <c r="B554" t="s">
        <v>50</v>
      </c>
      <c r="C554" t="s">
        <v>17</v>
      </c>
      <c r="D554" t="s">
        <v>25</v>
      </c>
      <c r="E554" t="s">
        <v>26</v>
      </c>
      <c r="F554">
        <v>229</v>
      </c>
      <c r="G554" s="3">
        <v>357.25</v>
      </c>
      <c r="H554" s="1">
        <v>45812</v>
      </c>
      <c r="I554" s="1">
        <v>45833</v>
      </c>
      <c r="J554" s="3">
        <v>85.69</v>
      </c>
      <c r="K554" s="2">
        <f>Table4[[#This Row],[Stock-Quantity]]*Table4[[#This Row],[Unit-Price]]</f>
        <v>81810.25</v>
      </c>
      <c r="L554" s="2">
        <f>Table4[[#This Row],[Stock-Quantity]]*Table4[[#This Row],[Margin-Unit]]</f>
        <v>19623.009999999998</v>
      </c>
      <c r="M554">
        <f>Table4[[#This Row],[Date-Sales]]-Table4[[#This Row],[Date-Received]]</f>
        <v>21</v>
      </c>
      <c r="N554" s="6">
        <f>Table4[[#This Row],[Margin-Unit]]/Table4[[#This Row],[Unit-Price]]</f>
        <v>0.23986004198740377</v>
      </c>
    </row>
    <row r="555" spans="1:14" x14ac:dyDescent="0.3">
      <c r="A555" t="s">
        <v>598</v>
      </c>
      <c r="B555" t="s">
        <v>94</v>
      </c>
      <c r="C555" t="s">
        <v>29</v>
      </c>
      <c r="D555" t="s">
        <v>30</v>
      </c>
      <c r="E555" t="s">
        <v>31</v>
      </c>
      <c r="F555">
        <v>149</v>
      </c>
      <c r="G555" s="3">
        <v>352.66</v>
      </c>
      <c r="H555" s="1">
        <v>45699</v>
      </c>
      <c r="I555" s="1">
        <v>45716</v>
      </c>
      <c r="J555" s="3">
        <v>102.24</v>
      </c>
      <c r="K555" s="2">
        <f>Table4[[#This Row],[Stock-Quantity]]*Table4[[#This Row],[Unit-Price]]</f>
        <v>52546.340000000004</v>
      </c>
      <c r="L555" s="2">
        <f>Table4[[#This Row],[Stock-Quantity]]*Table4[[#This Row],[Margin-Unit]]</f>
        <v>15233.759999999998</v>
      </c>
      <c r="M555">
        <f>Table4[[#This Row],[Date-Sales]]-Table4[[#This Row],[Date-Received]]</f>
        <v>17</v>
      </c>
      <c r="N555" s="6">
        <f>Table4[[#This Row],[Margin-Unit]]/Table4[[#This Row],[Unit-Price]]</f>
        <v>0.28991096240004532</v>
      </c>
    </row>
    <row r="556" spans="1:14" x14ac:dyDescent="0.3">
      <c r="A556" t="s">
        <v>599</v>
      </c>
      <c r="B556" t="s">
        <v>24</v>
      </c>
      <c r="C556" t="s">
        <v>22</v>
      </c>
      <c r="D556" t="s">
        <v>18</v>
      </c>
      <c r="E556" t="s">
        <v>19</v>
      </c>
      <c r="F556">
        <v>194</v>
      </c>
      <c r="G556" s="3">
        <v>316.49</v>
      </c>
      <c r="H556" s="1">
        <v>45674</v>
      </c>
      <c r="I556" s="1">
        <v>45682</v>
      </c>
      <c r="J556" s="3">
        <v>73.61</v>
      </c>
      <c r="K556" s="2">
        <f>Table4[[#This Row],[Stock-Quantity]]*Table4[[#This Row],[Unit-Price]]</f>
        <v>61399.060000000005</v>
      </c>
      <c r="L556" s="2">
        <f>Table4[[#This Row],[Stock-Quantity]]*Table4[[#This Row],[Margin-Unit]]</f>
        <v>14280.34</v>
      </c>
      <c r="M556">
        <f>Table4[[#This Row],[Date-Sales]]-Table4[[#This Row],[Date-Received]]</f>
        <v>8</v>
      </c>
      <c r="N556" s="6">
        <f>Table4[[#This Row],[Margin-Unit]]/Table4[[#This Row],[Unit-Price]]</f>
        <v>0.23258238806913331</v>
      </c>
    </row>
    <row r="557" spans="1:14" x14ac:dyDescent="0.3">
      <c r="A557" t="s">
        <v>600</v>
      </c>
      <c r="B557" t="s">
        <v>28</v>
      </c>
      <c r="C557" t="s">
        <v>29</v>
      </c>
      <c r="D557" t="s">
        <v>25</v>
      </c>
      <c r="E557" t="s">
        <v>26</v>
      </c>
      <c r="F557">
        <v>292</v>
      </c>
      <c r="G557" s="3">
        <v>412.7</v>
      </c>
      <c r="H557" s="1">
        <v>45711</v>
      </c>
      <c r="I557" s="1">
        <v>45728</v>
      </c>
      <c r="J557" s="3">
        <v>59.82</v>
      </c>
      <c r="K557" s="2">
        <f>Table4[[#This Row],[Stock-Quantity]]*Table4[[#This Row],[Unit-Price]]</f>
        <v>120508.4</v>
      </c>
      <c r="L557" s="2">
        <f>Table4[[#This Row],[Stock-Quantity]]*Table4[[#This Row],[Margin-Unit]]</f>
        <v>17467.439999999999</v>
      </c>
      <c r="M557">
        <f>Table4[[#This Row],[Date-Sales]]-Table4[[#This Row],[Date-Received]]</f>
        <v>17</v>
      </c>
      <c r="N557" s="6">
        <f>Table4[[#This Row],[Margin-Unit]]/Table4[[#This Row],[Unit-Price]]</f>
        <v>0.14494790404652291</v>
      </c>
    </row>
    <row r="558" spans="1:14" x14ac:dyDescent="0.3">
      <c r="A558" t="s">
        <v>601</v>
      </c>
      <c r="B558" t="s">
        <v>39</v>
      </c>
      <c r="C558" t="s">
        <v>12</v>
      </c>
      <c r="D558" t="s">
        <v>30</v>
      </c>
      <c r="E558" t="s">
        <v>31</v>
      </c>
      <c r="F558">
        <v>451</v>
      </c>
      <c r="G558" s="3">
        <v>6.1</v>
      </c>
      <c r="H558" s="1">
        <v>45730</v>
      </c>
      <c r="I558" s="1">
        <v>45750</v>
      </c>
      <c r="J558" s="3">
        <v>0.88</v>
      </c>
      <c r="K558" s="2">
        <f>Table4[[#This Row],[Stock-Quantity]]*Table4[[#This Row],[Unit-Price]]</f>
        <v>2751.1</v>
      </c>
      <c r="L558" s="2">
        <f>Table4[[#This Row],[Stock-Quantity]]*Table4[[#This Row],[Margin-Unit]]</f>
        <v>396.88</v>
      </c>
      <c r="M558">
        <f>Table4[[#This Row],[Date-Sales]]-Table4[[#This Row],[Date-Received]]</f>
        <v>20</v>
      </c>
      <c r="N558" s="6">
        <f>Table4[[#This Row],[Margin-Unit]]/Table4[[#This Row],[Unit-Price]]</f>
        <v>0.14426229508196722</v>
      </c>
    </row>
    <row r="559" spans="1:14" x14ac:dyDescent="0.3">
      <c r="A559" t="s">
        <v>602</v>
      </c>
      <c r="B559" t="s">
        <v>39</v>
      </c>
      <c r="C559" t="s">
        <v>12</v>
      </c>
      <c r="D559" t="s">
        <v>25</v>
      </c>
      <c r="E559" t="s">
        <v>26</v>
      </c>
      <c r="F559">
        <v>346</v>
      </c>
      <c r="G559" s="3">
        <v>406.48</v>
      </c>
      <c r="H559" s="1">
        <v>45711</v>
      </c>
      <c r="I559" s="1">
        <v>45727</v>
      </c>
      <c r="J559" s="3">
        <v>48.57</v>
      </c>
      <c r="K559" s="2">
        <f>Table4[[#This Row],[Stock-Quantity]]*Table4[[#This Row],[Unit-Price]]</f>
        <v>140642.08000000002</v>
      </c>
      <c r="L559" s="2">
        <f>Table4[[#This Row],[Stock-Quantity]]*Table4[[#This Row],[Margin-Unit]]</f>
        <v>16805.22</v>
      </c>
      <c r="M559">
        <f>Table4[[#This Row],[Date-Sales]]-Table4[[#This Row],[Date-Received]]</f>
        <v>16</v>
      </c>
      <c r="N559" s="6">
        <f>Table4[[#This Row],[Margin-Unit]]/Table4[[#This Row],[Unit-Price]]</f>
        <v>0.11948927376500688</v>
      </c>
    </row>
    <row r="560" spans="1:14" x14ac:dyDescent="0.3">
      <c r="A560" t="s">
        <v>603</v>
      </c>
      <c r="B560" t="s">
        <v>94</v>
      </c>
      <c r="C560" t="s">
        <v>29</v>
      </c>
      <c r="D560" t="s">
        <v>13</v>
      </c>
      <c r="E560" t="s">
        <v>14</v>
      </c>
      <c r="F560">
        <v>120</v>
      </c>
      <c r="G560" s="3">
        <v>229.36</v>
      </c>
      <c r="H560" s="1">
        <v>45829</v>
      </c>
      <c r="I560" s="1">
        <v>45830</v>
      </c>
      <c r="J560" s="3">
        <v>46.8</v>
      </c>
      <c r="K560" s="2">
        <f>Table4[[#This Row],[Stock-Quantity]]*Table4[[#This Row],[Unit-Price]]</f>
        <v>27523.200000000001</v>
      </c>
      <c r="L560" s="2">
        <f>Table4[[#This Row],[Stock-Quantity]]*Table4[[#This Row],[Margin-Unit]]</f>
        <v>5616</v>
      </c>
      <c r="M560">
        <f>Table4[[#This Row],[Date-Sales]]-Table4[[#This Row],[Date-Received]]</f>
        <v>1</v>
      </c>
      <c r="N560" s="6">
        <f>Table4[[#This Row],[Margin-Unit]]/Table4[[#This Row],[Unit-Price]]</f>
        <v>0.20404604115800487</v>
      </c>
    </row>
    <row r="561" spans="1:14" x14ac:dyDescent="0.3">
      <c r="A561" t="s">
        <v>604</v>
      </c>
      <c r="B561" t="s">
        <v>50</v>
      </c>
      <c r="C561" t="s">
        <v>17</v>
      </c>
      <c r="D561" t="s">
        <v>40</v>
      </c>
      <c r="E561" t="s">
        <v>41</v>
      </c>
      <c r="F561">
        <v>98</v>
      </c>
      <c r="G561" s="3">
        <v>483.95</v>
      </c>
      <c r="H561" s="1">
        <v>45755</v>
      </c>
      <c r="I561" s="1">
        <v>45777</v>
      </c>
      <c r="J561" s="3">
        <v>59.28</v>
      </c>
      <c r="K561" s="2">
        <f>Table4[[#This Row],[Stock-Quantity]]*Table4[[#This Row],[Unit-Price]]</f>
        <v>47427.1</v>
      </c>
      <c r="L561" s="2">
        <f>Table4[[#This Row],[Stock-Quantity]]*Table4[[#This Row],[Margin-Unit]]</f>
        <v>5809.4400000000005</v>
      </c>
      <c r="M561">
        <f>Table4[[#This Row],[Date-Sales]]-Table4[[#This Row],[Date-Received]]</f>
        <v>22</v>
      </c>
      <c r="N561" s="6">
        <f>Table4[[#This Row],[Margin-Unit]]/Table4[[#This Row],[Unit-Price]]</f>
        <v>0.12249199297448084</v>
      </c>
    </row>
    <row r="562" spans="1:14" x14ac:dyDescent="0.3">
      <c r="A562" t="s">
        <v>605</v>
      </c>
      <c r="B562" t="s">
        <v>43</v>
      </c>
      <c r="C562" t="s">
        <v>35</v>
      </c>
      <c r="D562" t="s">
        <v>40</v>
      </c>
      <c r="E562" t="s">
        <v>41</v>
      </c>
      <c r="F562">
        <v>30</v>
      </c>
      <c r="G562" s="3">
        <v>282.06</v>
      </c>
      <c r="H562" s="1">
        <v>45676</v>
      </c>
      <c r="I562" s="1">
        <v>45694</v>
      </c>
      <c r="J562" s="3">
        <v>82.67</v>
      </c>
      <c r="K562" s="2">
        <f>Table4[[#This Row],[Stock-Quantity]]*Table4[[#This Row],[Unit-Price]]</f>
        <v>8461.7999999999993</v>
      </c>
      <c r="L562" s="2">
        <f>Table4[[#This Row],[Stock-Quantity]]*Table4[[#This Row],[Margin-Unit]]</f>
        <v>2480.1</v>
      </c>
      <c r="M562">
        <f>Table4[[#This Row],[Date-Sales]]-Table4[[#This Row],[Date-Received]]</f>
        <v>18</v>
      </c>
      <c r="N562" s="6">
        <f>Table4[[#This Row],[Margin-Unit]]/Table4[[#This Row],[Unit-Price]]</f>
        <v>0.29309366801389775</v>
      </c>
    </row>
    <row r="563" spans="1:14" x14ac:dyDescent="0.3">
      <c r="A563" t="s">
        <v>606</v>
      </c>
      <c r="B563" t="s">
        <v>80</v>
      </c>
      <c r="C563" t="s">
        <v>29</v>
      </c>
      <c r="D563" t="s">
        <v>18</v>
      </c>
      <c r="E563" t="s">
        <v>19</v>
      </c>
      <c r="F563">
        <v>426</v>
      </c>
      <c r="G563" s="3">
        <v>40.159999999999997</v>
      </c>
      <c r="H563" s="1">
        <v>45691</v>
      </c>
      <c r="I563" s="1">
        <v>45703</v>
      </c>
      <c r="J563" s="3">
        <v>9.18</v>
      </c>
      <c r="K563" s="2">
        <f>Table4[[#This Row],[Stock-Quantity]]*Table4[[#This Row],[Unit-Price]]</f>
        <v>17108.16</v>
      </c>
      <c r="L563" s="2">
        <f>Table4[[#This Row],[Stock-Quantity]]*Table4[[#This Row],[Margin-Unit]]</f>
        <v>3910.68</v>
      </c>
      <c r="M563">
        <f>Table4[[#This Row],[Date-Sales]]-Table4[[#This Row],[Date-Received]]</f>
        <v>12</v>
      </c>
      <c r="N563" s="6">
        <f>Table4[[#This Row],[Margin-Unit]]/Table4[[#This Row],[Unit-Price]]</f>
        <v>0.22858565737051795</v>
      </c>
    </row>
    <row r="564" spans="1:14" x14ac:dyDescent="0.3">
      <c r="A564" t="s">
        <v>607</v>
      </c>
      <c r="B564" t="s">
        <v>116</v>
      </c>
      <c r="C564" t="s">
        <v>12</v>
      </c>
      <c r="D564" t="s">
        <v>40</v>
      </c>
      <c r="E564" t="s">
        <v>41</v>
      </c>
      <c r="F564">
        <v>390</v>
      </c>
      <c r="G564" s="3">
        <v>314.87</v>
      </c>
      <c r="H564" s="1">
        <v>45697</v>
      </c>
      <c r="I564" s="1">
        <v>45721</v>
      </c>
      <c r="J564" s="3">
        <v>77.489999999999995</v>
      </c>
      <c r="K564" s="2">
        <f>Table4[[#This Row],[Stock-Quantity]]*Table4[[#This Row],[Unit-Price]]</f>
        <v>122799.3</v>
      </c>
      <c r="L564" s="2">
        <f>Table4[[#This Row],[Stock-Quantity]]*Table4[[#This Row],[Margin-Unit]]</f>
        <v>30221.1</v>
      </c>
      <c r="M564">
        <f>Table4[[#This Row],[Date-Sales]]-Table4[[#This Row],[Date-Received]]</f>
        <v>24</v>
      </c>
      <c r="N564" s="6">
        <f>Table4[[#This Row],[Margin-Unit]]/Table4[[#This Row],[Unit-Price]]</f>
        <v>0.24610156572553751</v>
      </c>
    </row>
    <row r="565" spans="1:14" x14ac:dyDescent="0.3">
      <c r="A565" t="s">
        <v>608</v>
      </c>
      <c r="B565" t="s">
        <v>116</v>
      </c>
      <c r="C565" t="s">
        <v>12</v>
      </c>
      <c r="D565" t="s">
        <v>25</v>
      </c>
      <c r="E565" t="s">
        <v>26</v>
      </c>
      <c r="F565">
        <v>182</v>
      </c>
      <c r="G565" s="3">
        <v>351.87</v>
      </c>
      <c r="H565" s="1">
        <v>45760</v>
      </c>
      <c r="I565" s="1">
        <v>45770</v>
      </c>
      <c r="J565" s="3">
        <v>102.03</v>
      </c>
      <c r="K565" s="2">
        <f>Table4[[#This Row],[Stock-Quantity]]*Table4[[#This Row],[Unit-Price]]</f>
        <v>64040.340000000004</v>
      </c>
      <c r="L565" s="2">
        <f>Table4[[#This Row],[Stock-Quantity]]*Table4[[#This Row],[Margin-Unit]]</f>
        <v>18569.46</v>
      </c>
      <c r="M565">
        <f>Table4[[#This Row],[Date-Sales]]-Table4[[#This Row],[Date-Received]]</f>
        <v>10</v>
      </c>
      <c r="N565" s="6">
        <f>Table4[[#This Row],[Margin-Unit]]/Table4[[#This Row],[Unit-Price]]</f>
        <v>0.28996504390826155</v>
      </c>
    </row>
    <row r="566" spans="1:14" x14ac:dyDescent="0.3">
      <c r="A566" t="s">
        <v>609</v>
      </c>
      <c r="B566" t="s">
        <v>63</v>
      </c>
      <c r="C566" t="s">
        <v>35</v>
      </c>
      <c r="D566" t="s">
        <v>40</v>
      </c>
      <c r="E566" t="s">
        <v>41</v>
      </c>
      <c r="F566">
        <v>49</v>
      </c>
      <c r="G566" s="3">
        <v>440.41</v>
      </c>
      <c r="H566" s="1">
        <v>45719</v>
      </c>
      <c r="I566" s="1">
        <v>45735</v>
      </c>
      <c r="J566" s="3">
        <v>109.11</v>
      </c>
      <c r="K566" s="2">
        <f>Table4[[#This Row],[Stock-Quantity]]*Table4[[#This Row],[Unit-Price]]</f>
        <v>21580.09</v>
      </c>
      <c r="L566" s="2">
        <f>Table4[[#This Row],[Stock-Quantity]]*Table4[[#This Row],[Margin-Unit]]</f>
        <v>5346.39</v>
      </c>
      <c r="M566">
        <f>Table4[[#This Row],[Date-Sales]]-Table4[[#This Row],[Date-Received]]</f>
        <v>16</v>
      </c>
      <c r="N566" s="6">
        <f>Table4[[#This Row],[Margin-Unit]]/Table4[[#This Row],[Unit-Price]]</f>
        <v>0.2477464181103971</v>
      </c>
    </row>
    <row r="567" spans="1:14" x14ac:dyDescent="0.3">
      <c r="A567" t="s">
        <v>610</v>
      </c>
      <c r="B567" t="s">
        <v>16</v>
      </c>
      <c r="C567" t="s">
        <v>17</v>
      </c>
      <c r="D567" t="s">
        <v>13</v>
      </c>
      <c r="E567" t="s">
        <v>14</v>
      </c>
      <c r="F567">
        <v>252</v>
      </c>
      <c r="G567" s="3">
        <v>438.37</v>
      </c>
      <c r="H567" s="1">
        <v>45753</v>
      </c>
      <c r="I567" s="1">
        <v>45758</v>
      </c>
      <c r="J567" s="3">
        <v>58.02</v>
      </c>
      <c r="K567" s="2">
        <f>Table4[[#This Row],[Stock-Quantity]]*Table4[[#This Row],[Unit-Price]]</f>
        <v>110469.24</v>
      </c>
      <c r="L567" s="2">
        <f>Table4[[#This Row],[Stock-Quantity]]*Table4[[#This Row],[Margin-Unit]]</f>
        <v>14621.04</v>
      </c>
      <c r="M567">
        <f>Table4[[#This Row],[Date-Sales]]-Table4[[#This Row],[Date-Received]]</f>
        <v>5</v>
      </c>
      <c r="N567" s="6">
        <f>Table4[[#This Row],[Margin-Unit]]/Table4[[#This Row],[Unit-Price]]</f>
        <v>0.13235394757852956</v>
      </c>
    </row>
    <row r="568" spans="1:14" x14ac:dyDescent="0.3">
      <c r="A568" t="s">
        <v>611</v>
      </c>
      <c r="B568" t="s">
        <v>74</v>
      </c>
      <c r="C568" t="s">
        <v>29</v>
      </c>
      <c r="D568" t="s">
        <v>40</v>
      </c>
      <c r="E568" t="s">
        <v>41</v>
      </c>
      <c r="F568">
        <v>169</v>
      </c>
      <c r="G568" s="3">
        <v>199.09</v>
      </c>
      <c r="H568" s="1">
        <v>45711</v>
      </c>
      <c r="I568" s="1">
        <v>45713</v>
      </c>
      <c r="J568" s="3">
        <v>36.78</v>
      </c>
      <c r="K568" s="2">
        <f>Table4[[#This Row],[Stock-Quantity]]*Table4[[#This Row],[Unit-Price]]</f>
        <v>33646.21</v>
      </c>
      <c r="L568" s="2">
        <f>Table4[[#This Row],[Stock-Quantity]]*Table4[[#This Row],[Margin-Unit]]</f>
        <v>6215.8200000000006</v>
      </c>
      <c r="M568">
        <f>Table4[[#This Row],[Date-Sales]]-Table4[[#This Row],[Date-Received]]</f>
        <v>2</v>
      </c>
      <c r="N568" s="6">
        <f>Table4[[#This Row],[Margin-Unit]]/Table4[[#This Row],[Unit-Price]]</f>
        <v>0.18474056959164198</v>
      </c>
    </row>
    <row r="569" spans="1:14" x14ac:dyDescent="0.3">
      <c r="A569" t="s">
        <v>612</v>
      </c>
      <c r="B569" t="s">
        <v>70</v>
      </c>
      <c r="C569" t="s">
        <v>35</v>
      </c>
      <c r="D569" t="s">
        <v>18</v>
      </c>
      <c r="E569" t="s">
        <v>19</v>
      </c>
      <c r="F569">
        <v>65</v>
      </c>
      <c r="G569" s="3">
        <v>387.69</v>
      </c>
      <c r="H569" s="1">
        <v>45801</v>
      </c>
      <c r="I569" s="1">
        <v>45803</v>
      </c>
      <c r="J569" s="3">
        <v>55.19</v>
      </c>
      <c r="K569" s="2">
        <f>Table4[[#This Row],[Stock-Quantity]]*Table4[[#This Row],[Unit-Price]]</f>
        <v>25199.85</v>
      </c>
      <c r="L569" s="2">
        <f>Table4[[#This Row],[Stock-Quantity]]*Table4[[#This Row],[Margin-Unit]]</f>
        <v>3587.35</v>
      </c>
      <c r="M569">
        <f>Table4[[#This Row],[Date-Sales]]-Table4[[#This Row],[Date-Received]]</f>
        <v>2</v>
      </c>
      <c r="N569" s="6">
        <f>Table4[[#This Row],[Margin-Unit]]/Table4[[#This Row],[Unit-Price]]</f>
        <v>0.14235600608733781</v>
      </c>
    </row>
    <row r="570" spans="1:14" x14ac:dyDescent="0.3">
      <c r="A570" t="s">
        <v>613</v>
      </c>
      <c r="B570" t="s">
        <v>50</v>
      </c>
      <c r="C570" t="s">
        <v>17</v>
      </c>
      <c r="D570" t="s">
        <v>13</v>
      </c>
      <c r="E570" t="s">
        <v>14</v>
      </c>
      <c r="F570">
        <v>343</v>
      </c>
      <c r="G570" s="3">
        <v>484.89</v>
      </c>
      <c r="H570" s="1">
        <v>45803</v>
      </c>
      <c r="I570" s="1">
        <v>45825</v>
      </c>
      <c r="J570" s="3">
        <v>102.37</v>
      </c>
      <c r="K570" s="2">
        <f>Table4[[#This Row],[Stock-Quantity]]*Table4[[#This Row],[Unit-Price]]</f>
        <v>166317.26999999999</v>
      </c>
      <c r="L570" s="2">
        <f>Table4[[#This Row],[Stock-Quantity]]*Table4[[#This Row],[Margin-Unit]]</f>
        <v>35112.910000000003</v>
      </c>
      <c r="M570">
        <f>Table4[[#This Row],[Date-Sales]]-Table4[[#This Row],[Date-Received]]</f>
        <v>22</v>
      </c>
      <c r="N570" s="6">
        <f>Table4[[#This Row],[Margin-Unit]]/Table4[[#This Row],[Unit-Price]]</f>
        <v>0.21112004784590321</v>
      </c>
    </row>
    <row r="571" spans="1:14" x14ac:dyDescent="0.3">
      <c r="A571" t="s">
        <v>614</v>
      </c>
      <c r="B571" t="s">
        <v>106</v>
      </c>
      <c r="C571" t="s">
        <v>17</v>
      </c>
      <c r="D571" t="s">
        <v>25</v>
      </c>
      <c r="E571" t="s">
        <v>26</v>
      </c>
      <c r="F571">
        <v>410</v>
      </c>
      <c r="G571" s="3">
        <v>262.77</v>
      </c>
      <c r="H571" s="1">
        <v>45737</v>
      </c>
      <c r="I571" s="1">
        <v>45739</v>
      </c>
      <c r="J571" s="3">
        <v>45.19</v>
      </c>
      <c r="K571" s="2">
        <f>Table4[[#This Row],[Stock-Quantity]]*Table4[[#This Row],[Unit-Price]]</f>
        <v>107735.7</v>
      </c>
      <c r="L571" s="2">
        <f>Table4[[#This Row],[Stock-Quantity]]*Table4[[#This Row],[Margin-Unit]]</f>
        <v>18527.899999999998</v>
      </c>
      <c r="M571">
        <f>Table4[[#This Row],[Date-Sales]]-Table4[[#This Row],[Date-Received]]</f>
        <v>2</v>
      </c>
      <c r="N571" s="6">
        <f>Table4[[#This Row],[Margin-Unit]]/Table4[[#This Row],[Unit-Price]]</f>
        <v>0.17197549187502378</v>
      </c>
    </row>
    <row r="572" spans="1:14" x14ac:dyDescent="0.3">
      <c r="A572" t="s">
        <v>615</v>
      </c>
      <c r="B572" t="s">
        <v>70</v>
      </c>
      <c r="C572" t="s">
        <v>35</v>
      </c>
      <c r="D572" t="s">
        <v>18</v>
      </c>
      <c r="E572" t="s">
        <v>19</v>
      </c>
      <c r="F572">
        <v>387</v>
      </c>
      <c r="G572" s="3">
        <v>497.46</v>
      </c>
      <c r="H572" s="1">
        <v>45741</v>
      </c>
      <c r="I572" s="1">
        <v>45760</v>
      </c>
      <c r="J572" s="3">
        <v>132.94</v>
      </c>
      <c r="K572" s="2">
        <f>Table4[[#This Row],[Stock-Quantity]]*Table4[[#This Row],[Unit-Price]]</f>
        <v>192517.02</v>
      </c>
      <c r="L572" s="2">
        <f>Table4[[#This Row],[Stock-Quantity]]*Table4[[#This Row],[Margin-Unit]]</f>
        <v>51447.78</v>
      </c>
      <c r="M572">
        <f>Table4[[#This Row],[Date-Sales]]-Table4[[#This Row],[Date-Received]]</f>
        <v>19</v>
      </c>
      <c r="N572" s="6">
        <f>Table4[[#This Row],[Margin-Unit]]/Table4[[#This Row],[Unit-Price]]</f>
        <v>0.26723756683954492</v>
      </c>
    </row>
    <row r="573" spans="1:14" x14ac:dyDescent="0.3">
      <c r="A573" t="s">
        <v>616</v>
      </c>
      <c r="B573" t="s">
        <v>63</v>
      </c>
      <c r="C573" t="s">
        <v>35</v>
      </c>
      <c r="D573" t="s">
        <v>13</v>
      </c>
      <c r="E573" t="s">
        <v>14</v>
      </c>
      <c r="F573">
        <v>377</v>
      </c>
      <c r="G573" s="3">
        <v>268.48</v>
      </c>
      <c r="H573" s="1">
        <v>45836</v>
      </c>
      <c r="I573" s="1">
        <v>45838</v>
      </c>
      <c r="J573" s="3">
        <v>70.150000000000006</v>
      </c>
      <c r="K573" s="2">
        <f>Table4[[#This Row],[Stock-Quantity]]*Table4[[#This Row],[Unit-Price]]</f>
        <v>101216.96000000001</v>
      </c>
      <c r="L573" s="2">
        <f>Table4[[#This Row],[Stock-Quantity]]*Table4[[#This Row],[Margin-Unit]]</f>
        <v>26446.550000000003</v>
      </c>
      <c r="M573">
        <f>Table4[[#This Row],[Date-Sales]]-Table4[[#This Row],[Date-Received]]</f>
        <v>2</v>
      </c>
      <c r="N573" s="6">
        <f>Table4[[#This Row],[Margin-Unit]]/Table4[[#This Row],[Unit-Price]]</f>
        <v>0.26128575685339689</v>
      </c>
    </row>
    <row r="574" spans="1:14" x14ac:dyDescent="0.3">
      <c r="A574" t="s">
        <v>617</v>
      </c>
      <c r="B574" t="s">
        <v>24</v>
      </c>
      <c r="C574" t="s">
        <v>22</v>
      </c>
      <c r="D574" t="s">
        <v>25</v>
      </c>
      <c r="E574" t="s">
        <v>26</v>
      </c>
      <c r="F574">
        <v>453</v>
      </c>
      <c r="G574" s="3">
        <v>121.21</v>
      </c>
      <c r="H574" s="1">
        <v>45830</v>
      </c>
      <c r="I574" s="1">
        <v>45850</v>
      </c>
      <c r="J574" s="3">
        <v>28.84</v>
      </c>
      <c r="K574" s="2">
        <f>Table4[[#This Row],[Stock-Quantity]]*Table4[[#This Row],[Unit-Price]]</f>
        <v>54908.13</v>
      </c>
      <c r="L574" s="2">
        <f>Table4[[#This Row],[Stock-Quantity]]*Table4[[#This Row],[Margin-Unit]]</f>
        <v>13064.52</v>
      </c>
      <c r="M574">
        <f>Table4[[#This Row],[Date-Sales]]-Table4[[#This Row],[Date-Received]]</f>
        <v>20</v>
      </c>
      <c r="N574" s="6">
        <f>Table4[[#This Row],[Margin-Unit]]/Table4[[#This Row],[Unit-Price]]</f>
        <v>0.23793416384786734</v>
      </c>
    </row>
    <row r="575" spans="1:14" x14ac:dyDescent="0.3">
      <c r="A575" t="s">
        <v>618</v>
      </c>
      <c r="B575" t="s">
        <v>37</v>
      </c>
      <c r="C575" t="s">
        <v>22</v>
      </c>
      <c r="D575" t="s">
        <v>18</v>
      </c>
      <c r="E575" t="s">
        <v>19</v>
      </c>
      <c r="F575">
        <v>432</v>
      </c>
      <c r="G575" s="3">
        <v>70.5</v>
      </c>
      <c r="H575" s="1">
        <v>45661</v>
      </c>
      <c r="I575" s="1">
        <v>45684</v>
      </c>
      <c r="J575" s="3">
        <v>10.37</v>
      </c>
      <c r="K575" s="2">
        <f>Table4[[#This Row],[Stock-Quantity]]*Table4[[#This Row],[Unit-Price]]</f>
        <v>30456</v>
      </c>
      <c r="L575" s="2">
        <f>Table4[[#This Row],[Stock-Quantity]]*Table4[[#This Row],[Margin-Unit]]</f>
        <v>4479.8399999999992</v>
      </c>
      <c r="M575">
        <f>Table4[[#This Row],[Date-Sales]]-Table4[[#This Row],[Date-Received]]</f>
        <v>23</v>
      </c>
      <c r="N575" s="6">
        <f>Table4[[#This Row],[Margin-Unit]]/Table4[[#This Row],[Unit-Price]]</f>
        <v>0.14709219858156028</v>
      </c>
    </row>
    <row r="576" spans="1:14" x14ac:dyDescent="0.3">
      <c r="A576" t="s">
        <v>619</v>
      </c>
      <c r="B576" t="s">
        <v>63</v>
      </c>
      <c r="C576" t="s">
        <v>35</v>
      </c>
      <c r="D576" t="s">
        <v>25</v>
      </c>
      <c r="E576" t="s">
        <v>26</v>
      </c>
      <c r="F576">
        <v>205</v>
      </c>
      <c r="G576" s="3">
        <v>152.08000000000001</v>
      </c>
      <c r="H576" s="1">
        <v>45741</v>
      </c>
      <c r="I576" s="1">
        <v>45769</v>
      </c>
      <c r="J576" s="3">
        <v>26.39</v>
      </c>
      <c r="K576" s="2">
        <f>Table4[[#This Row],[Stock-Quantity]]*Table4[[#This Row],[Unit-Price]]</f>
        <v>31176.400000000001</v>
      </c>
      <c r="L576" s="2">
        <f>Table4[[#This Row],[Stock-Quantity]]*Table4[[#This Row],[Margin-Unit]]</f>
        <v>5409.95</v>
      </c>
      <c r="M576">
        <f>Table4[[#This Row],[Date-Sales]]-Table4[[#This Row],[Date-Received]]</f>
        <v>28</v>
      </c>
      <c r="N576" s="6">
        <f>Table4[[#This Row],[Margin-Unit]]/Table4[[#This Row],[Unit-Price]]</f>
        <v>0.17352709100473435</v>
      </c>
    </row>
    <row r="577" spans="1:14" x14ac:dyDescent="0.3">
      <c r="A577" t="s">
        <v>620</v>
      </c>
      <c r="B577" t="s">
        <v>52</v>
      </c>
      <c r="C577" t="s">
        <v>12</v>
      </c>
      <c r="D577" t="s">
        <v>13</v>
      </c>
      <c r="E577" t="s">
        <v>14</v>
      </c>
      <c r="F577">
        <v>150</v>
      </c>
      <c r="G577" s="3">
        <v>461.73</v>
      </c>
      <c r="H577" s="1">
        <v>45807</v>
      </c>
      <c r="I577" s="1">
        <v>45824</v>
      </c>
      <c r="J577" s="3">
        <v>67.5</v>
      </c>
      <c r="K577" s="2">
        <f>Table4[[#This Row],[Stock-Quantity]]*Table4[[#This Row],[Unit-Price]]</f>
        <v>69259.5</v>
      </c>
      <c r="L577" s="2">
        <f>Table4[[#This Row],[Stock-Quantity]]*Table4[[#This Row],[Margin-Unit]]</f>
        <v>10125</v>
      </c>
      <c r="M577">
        <f>Table4[[#This Row],[Date-Sales]]-Table4[[#This Row],[Date-Received]]</f>
        <v>17</v>
      </c>
      <c r="N577" s="6">
        <f>Table4[[#This Row],[Margin-Unit]]/Table4[[#This Row],[Unit-Price]]</f>
        <v>0.1461893314274576</v>
      </c>
    </row>
    <row r="578" spans="1:14" x14ac:dyDescent="0.3">
      <c r="A578" t="s">
        <v>621</v>
      </c>
      <c r="B578" t="s">
        <v>94</v>
      </c>
      <c r="C578" t="s">
        <v>29</v>
      </c>
      <c r="D578" t="s">
        <v>30</v>
      </c>
      <c r="E578" t="s">
        <v>31</v>
      </c>
      <c r="F578">
        <v>266</v>
      </c>
      <c r="G578" s="3">
        <v>9.74</v>
      </c>
      <c r="H578" s="1">
        <v>45688</v>
      </c>
      <c r="I578" s="1">
        <v>45695</v>
      </c>
      <c r="J578" s="3">
        <v>1.8</v>
      </c>
      <c r="K578" s="2">
        <f>Table4[[#This Row],[Stock-Quantity]]*Table4[[#This Row],[Unit-Price]]</f>
        <v>2590.84</v>
      </c>
      <c r="L578" s="2">
        <f>Table4[[#This Row],[Stock-Quantity]]*Table4[[#This Row],[Margin-Unit]]</f>
        <v>478.8</v>
      </c>
      <c r="M578">
        <f>Table4[[#This Row],[Date-Sales]]-Table4[[#This Row],[Date-Received]]</f>
        <v>7</v>
      </c>
      <c r="N578" s="6">
        <f>Table4[[#This Row],[Margin-Unit]]/Table4[[#This Row],[Unit-Price]]</f>
        <v>0.18480492813141683</v>
      </c>
    </row>
    <row r="579" spans="1:14" x14ac:dyDescent="0.3">
      <c r="A579" t="s">
        <v>622</v>
      </c>
      <c r="B579" t="s">
        <v>34</v>
      </c>
      <c r="C579" t="s">
        <v>35</v>
      </c>
      <c r="D579" t="s">
        <v>30</v>
      </c>
      <c r="E579" t="s">
        <v>31</v>
      </c>
      <c r="F579">
        <v>136</v>
      </c>
      <c r="G579" s="3">
        <v>184.4</v>
      </c>
      <c r="H579" s="1">
        <v>45721</v>
      </c>
      <c r="I579" s="1">
        <v>45741</v>
      </c>
      <c r="J579" s="3">
        <v>32.729999999999997</v>
      </c>
      <c r="K579" s="2">
        <f>Table4[[#This Row],[Stock-Quantity]]*Table4[[#This Row],[Unit-Price]]</f>
        <v>25078.400000000001</v>
      </c>
      <c r="L579" s="2">
        <f>Table4[[#This Row],[Stock-Quantity]]*Table4[[#This Row],[Margin-Unit]]</f>
        <v>4451.28</v>
      </c>
      <c r="M579">
        <f>Table4[[#This Row],[Date-Sales]]-Table4[[#This Row],[Date-Received]]</f>
        <v>20</v>
      </c>
      <c r="N579" s="6">
        <f>Table4[[#This Row],[Margin-Unit]]/Table4[[#This Row],[Unit-Price]]</f>
        <v>0.17749457700650756</v>
      </c>
    </row>
    <row r="580" spans="1:14" x14ac:dyDescent="0.3">
      <c r="A580" t="s">
        <v>623</v>
      </c>
      <c r="B580" t="s">
        <v>70</v>
      </c>
      <c r="C580" t="s">
        <v>35</v>
      </c>
      <c r="D580" t="s">
        <v>40</v>
      </c>
      <c r="E580" t="s">
        <v>41</v>
      </c>
      <c r="F580">
        <v>103</v>
      </c>
      <c r="G580" s="3">
        <v>84.97</v>
      </c>
      <c r="H580" s="1">
        <v>45667</v>
      </c>
      <c r="I580" s="1">
        <v>45687</v>
      </c>
      <c r="J580" s="3">
        <v>13.24</v>
      </c>
      <c r="K580" s="2">
        <f>Table4[[#This Row],[Stock-Quantity]]*Table4[[#This Row],[Unit-Price]]</f>
        <v>8751.91</v>
      </c>
      <c r="L580" s="2">
        <f>Table4[[#This Row],[Stock-Quantity]]*Table4[[#This Row],[Margin-Unit]]</f>
        <v>1363.72</v>
      </c>
      <c r="M580">
        <f>Table4[[#This Row],[Date-Sales]]-Table4[[#This Row],[Date-Received]]</f>
        <v>20</v>
      </c>
      <c r="N580" s="6">
        <f>Table4[[#This Row],[Margin-Unit]]/Table4[[#This Row],[Unit-Price]]</f>
        <v>0.15581970107096624</v>
      </c>
    </row>
    <row r="581" spans="1:14" x14ac:dyDescent="0.3">
      <c r="A581" t="s">
        <v>624</v>
      </c>
      <c r="B581" t="s">
        <v>63</v>
      </c>
      <c r="C581" t="s">
        <v>35</v>
      </c>
      <c r="D581" t="s">
        <v>13</v>
      </c>
      <c r="E581" t="s">
        <v>14</v>
      </c>
      <c r="F581">
        <v>199</v>
      </c>
      <c r="G581" s="3">
        <v>33.32</v>
      </c>
      <c r="H581" s="1">
        <v>45659</v>
      </c>
      <c r="I581" s="1">
        <v>45681</v>
      </c>
      <c r="J581" s="3">
        <v>8.92</v>
      </c>
      <c r="K581" s="2">
        <f>Table4[[#This Row],[Stock-Quantity]]*Table4[[#This Row],[Unit-Price]]</f>
        <v>6630.68</v>
      </c>
      <c r="L581" s="2">
        <f>Table4[[#This Row],[Stock-Quantity]]*Table4[[#This Row],[Margin-Unit]]</f>
        <v>1775.08</v>
      </c>
      <c r="M581">
        <f>Table4[[#This Row],[Date-Sales]]-Table4[[#This Row],[Date-Received]]</f>
        <v>22</v>
      </c>
      <c r="N581" s="6">
        <f>Table4[[#This Row],[Margin-Unit]]/Table4[[#This Row],[Unit-Price]]</f>
        <v>0.26770708283313327</v>
      </c>
    </row>
    <row r="582" spans="1:14" x14ac:dyDescent="0.3">
      <c r="A582" t="s">
        <v>625</v>
      </c>
      <c r="B582" t="s">
        <v>24</v>
      </c>
      <c r="C582" t="s">
        <v>22</v>
      </c>
      <c r="D582" t="s">
        <v>13</v>
      </c>
      <c r="E582" t="s">
        <v>14</v>
      </c>
      <c r="F582">
        <v>43</v>
      </c>
      <c r="G582" s="3">
        <v>106.93</v>
      </c>
      <c r="H582" s="1">
        <v>45764</v>
      </c>
      <c r="I582" s="1">
        <v>45774</v>
      </c>
      <c r="J582" s="3">
        <v>15.08</v>
      </c>
      <c r="K582" s="2">
        <f>Table4[[#This Row],[Stock-Quantity]]*Table4[[#This Row],[Unit-Price]]</f>
        <v>4597.9900000000007</v>
      </c>
      <c r="L582" s="2">
        <f>Table4[[#This Row],[Stock-Quantity]]*Table4[[#This Row],[Margin-Unit]]</f>
        <v>648.44000000000005</v>
      </c>
      <c r="M582">
        <f>Table4[[#This Row],[Date-Sales]]-Table4[[#This Row],[Date-Received]]</f>
        <v>10</v>
      </c>
      <c r="N582" s="6">
        <f>Table4[[#This Row],[Margin-Unit]]/Table4[[#This Row],[Unit-Price]]</f>
        <v>0.14102683998877769</v>
      </c>
    </row>
    <row r="583" spans="1:14" x14ac:dyDescent="0.3">
      <c r="A583" t="s">
        <v>626</v>
      </c>
      <c r="B583" t="s">
        <v>116</v>
      </c>
      <c r="C583" t="s">
        <v>12</v>
      </c>
      <c r="D583" t="s">
        <v>18</v>
      </c>
      <c r="E583" t="s">
        <v>19</v>
      </c>
      <c r="F583">
        <v>272</v>
      </c>
      <c r="G583" s="3">
        <v>263.61</v>
      </c>
      <c r="H583" s="1">
        <v>45796</v>
      </c>
      <c r="I583" s="1">
        <v>45809</v>
      </c>
      <c r="J583" s="3">
        <v>77.61</v>
      </c>
      <c r="K583" s="2">
        <f>Table4[[#This Row],[Stock-Quantity]]*Table4[[#This Row],[Unit-Price]]</f>
        <v>71701.919999999998</v>
      </c>
      <c r="L583" s="2">
        <f>Table4[[#This Row],[Stock-Quantity]]*Table4[[#This Row],[Margin-Unit]]</f>
        <v>21109.919999999998</v>
      </c>
      <c r="M583">
        <f>Table4[[#This Row],[Date-Sales]]-Table4[[#This Row],[Date-Received]]</f>
        <v>13</v>
      </c>
      <c r="N583" s="6">
        <f>Table4[[#This Row],[Margin-Unit]]/Table4[[#This Row],[Unit-Price]]</f>
        <v>0.29441219984067368</v>
      </c>
    </row>
    <row r="584" spans="1:14" x14ac:dyDescent="0.3">
      <c r="A584" t="s">
        <v>627</v>
      </c>
      <c r="B584" t="s">
        <v>43</v>
      </c>
      <c r="C584" t="s">
        <v>35</v>
      </c>
      <c r="D584" t="s">
        <v>18</v>
      </c>
      <c r="E584" t="s">
        <v>19</v>
      </c>
      <c r="F584">
        <v>57</v>
      </c>
      <c r="G584" s="3">
        <v>425.48</v>
      </c>
      <c r="H584" s="1">
        <v>45835</v>
      </c>
      <c r="I584" s="1">
        <v>45855</v>
      </c>
      <c r="J584" s="3">
        <v>65.25</v>
      </c>
      <c r="K584" s="2">
        <f>Table4[[#This Row],[Stock-Quantity]]*Table4[[#This Row],[Unit-Price]]</f>
        <v>24252.36</v>
      </c>
      <c r="L584" s="2">
        <f>Table4[[#This Row],[Stock-Quantity]]*Table4[[#This Row],[Margin-Unit]]</f>
        <v>3719.25</v>
      </c>
      <c r="M584">
        <f>Table4[[#This Row],[Date-Sales]]-Table4[[#This Row],[Date-Received]]</f>
        <v>20</v>
      </c>
      <c r="N584" s="6">
        <f>Table4[[#This Row],[Margin-Unit]]/Table4[[#This Row],[Unit-Price]]</f>
        <v>0.15335620945755382</v>
      </c>
    </row>
    <row r="585" spans="1:14" x14ac:dyDescent="0.3">
      <c r="A585" t="s">
        <v>628</v>
      </c>
      <c r="B585" t="s">
        <v>37</v>
      </c>
      <c r="C585" t="s">
        <v>22</v>
      </c>
      <c r="D585" t="s">
        <v>18</v>
      </c>
      <c r="E585" t="s">
        <v>19</v>
      </c>
      <c r="F585">
        <v>443</v>
      </c>
      <c r="G585" s="3">
        <v>7.99</v>
      </c>
      <c r="H585" s="1">
        <v>45668</v>
      </c>
      <c r="I585" s="1">
        <v>45677</v>
      </c>
      <c r="J585" s="3">
        <v>2.02</v>
      </c>
      <c r="K585" s="2">
        <f>Table4[[#This Row],[Stock-Quantity]]*Table4[[#This Row],[Unit-Price]]</f>
        <v>3539.57</v>
      </c>
      <c r="L585" s="2">
        <f>Table4[[#This Row],[Stock-Quantity]]*Table4[[#This Row],[Margin-Unit]]</f>
        <v>894.86</v>
      </c>
      <c r="M585">
        <f>Table4[[#This Row],[Date-Sales]]-Table4[[#This Row],[Date-Received]]</f>
        <v>9</v>
      </c>
      <c r="N585" s="6">
        <f>Table4[[#This Row],[Margin-Unit]]/Table4[[#This Row],[Unit-Price]]</f>
        <v>0.25281602002503129</v>
      </c>
    </row>
    <row r="586" spans="1:14" x14ac:dyDescent="0.3">
      <c r="A586" t="s">
        <v>629</v>
      </c>
      <c r="B586" t="s">
        <v>50</v>
      </c>
      <c r="C586" t="s">
        <v>17</v>
      </c>
      <c r="D586" t="s">
        <v>40</v>
      </c>
      <c r="E586" t="s">
        <v>41</v>
      </c>
      <c r="F586">
        <v>60</v>
      </c>
      <c r="G586" s="3">
        <v>348.74</v>
      </c>
      <c r="H586" s="1">
        <v>45761</v>
      </c>
      <c r="I586" s="1">
        <v>45768</v>
      </c>
      <c r="J586" s="3">
        <v>79.290000000000006</v>
      </c>
      <c r="K586" s="2">
        <f>Table4[[#This Row],[Stock-Quantity]]*Table4[[#This Row],[Unit-Price]]</f>
        <v>20924.400000000001</v>
      </c>
      <c r="L586" s="2">
        <f>Table4[[#This Row],[Stock-Quantity]]*Table4[[#This Row],[Margin-Unit]]</f>
        <v>4757.4000000000005</v>
      </c>
      <c r="M586">
        <f>Table4[[#This Row],[Date-Sales]]-Table4[[#This Row],[Date-Received]]</f>
        <v>7</v>
      </c>
      <c r="N586" s="6">
        <f>Table4[[#This Row],[Margin-Unit]]/Table4[[#This Row],[Unit-Price]]</f>
        <v>0.22736135803177154</v>
      </c>
    </row>
    <row r="587" spans="1:14" x14ac:dyDescent="0.3">
      <c r="A587" t="s">
        <v>630</v>
      </c>
      <c r="B587" t="s">
        <v>50</v>
      </c>
      <c r="C587" t="s">
        <v>17</v>
      </c>
      <c r="D587" t="s">
        <v>18</v>
      </c>
      <c r="E587" t="s">
        <v>19</v>
      </c>
      <c r="F587">
        <v>300</v>
      </c>
      <c r="G587" s="3">
        <v>371.43</v>
      </c>
      <c r="H587" s="1">
        <v>45787</v>
      </c>
      <c r="I587" s="1">
        <v>45811</v>
      </c>
      <c r="J587" s="3">
        <v>78.09</v>
      </c>
      <c r="K587" s="2">
        <f>Table4[[#This Row],[Stock-Quantity]]*Table4[[#This Row],[Unit-Price]]</f>
        <v>111429</v>
      </c>
      <c r="L587" s="2">
        <f>Table4[[#This Row],[Stock-Quantity]]*Table4[[#This Row],[Margin-Unit]]</f>
        <v>23427</v>
      </c>
      <c r="M587">
        <f>Table4[[#This Row],[Date-Sales]]-Table4[[#This Row],[Date-Received]]</f>
        <v>24</v>
      </c>
      <c r="N587" s="6">
        <f>Table4[[#This Row],[Margin-Unit]]/Table4[[#This Row],[Unit-Price]]</f>
        <v>0.21024149907115741</v>
      </c>
    </row>
    <row r="588" spans="1:14" x14ac:dyDescent="0.3">
      <c r="A588" t="s">
        <v>631</v>
      </c>
      <c r="B588" t="s">
        <v>63</v>
      </c>
      <c r="C588" t="s">
        <v>35</v>
      </c>
      <c r="D588" t="s">
        <v>13</v>
      </c>
      <c r="E588" t="s">
        <v>14</v>
      </c>
      <c r="F588">
        <v>432</v>
      </c>
      <c r="G588" s="3">
        <v>407.65</v>
      </c>
      <c r="H588" s="1">
        <v>45774</v>
      </c>
      <c r="I588" s="1">
        <v>45802</v>
      </c>
      <c r="J588" s="3">
        <v>93.19</v>
      </c>
      <c r="K588" s="2">
        <f>Table4[[#This Row],[Stock-Quantity]]*Table4[[#This Row],[Unit-Price]]</f>
        <v>176104.8</v>
      </c>
      <c r="L588" s="2">
        <f>Table4[[#This Row],[Stock-Quantity]]*Table4[[#This Row],[Margin-Unit]]</f>
        <v>40258.080000000002</v>
      </c>
      <c r="M588">
        <f>Table4[[#This Row],[Date-Sales]]-Table4[[#This Row],[Date-Received]]</f>
        <v>28</v>
      </c>
      <c r="N588" s="6">
        <f>Table4[[#This Row],[Margin-Unit]]/Table4[[#This Row],[Unit-Price]]</f>
        <v>0.22860296823255244</v>
      </c>
    </row>
    <row r="589" spans="1:14" x14ac:dyDescent="0.3">
      <c r="A589" t="s">
        <v>632</v>
      </c>
      <c r="B589" t="s">
        <v>16</v>
      </c>
      <c r="C589" t="s">
        <v>17</v>
      </c>
      <c r="D589" t="s">
        <v>18</v>
      </c>
      <c r="E589" t="s">
        <v>19</v>
      </c>
      <c r="F589">
        <v>368</v>
      </c>
      <c r="G589" s="3">
        <v>418.08</v>
      </c>
      <c r="H589" s="1">
        <v>45661</v>
      </c>
      <c r="I589" s="1">
        <v>45682</v>
      </c>
      <c r="J589" s="3">
        <v>105.44</v>
      </c>
      <c r="K589" s="2">
        <f>Table4[[#This Row],[Stock-Quantity]]*Table4[[#This Row],[Unit-Price]]</f>
        <v>153853.44</v>
      </c>
      <c r="L589" s="2">
        <f>Table4[[#This Row],[Stock-Quantity]]*Table4[[#This Row],[Margin-Unit]]</f>
        <v>38801.919999999998</v>
      </c>
      <c r="M589">
        <f>Table4[[#This Row],[Date-Sales]]-Table4[[#This Row],[Date-Received]]</f>
        <v>21</v>
      </c>
      <c r="N589" s="6">
        <f>Table4[[#This Row],[Margin-Unit]]/Table4[[#This Row],[Unit-Price]]</f>
        <v>0.25220053578262536</v>
      </c>
    </row>
    <row r="590" spans="1:14" x14ac:dyDescent="0.3">
      <c r="A590" t="s">
        <v>633</v>
      </c>
      <c r="B590" t="s">
        <v>47</v>
      </c>
      <c r="C590" t="s">
        <v>17</v>
      </c>
      <c r="D590" t="s">
        <v>18</v>
      </c>
      <c r="E590" t="s">
        <v>19</v>
      </c>
      <c r="F590">
        <v>220</v>
      </c>
      <c r="G590" s="3">
        <v>369.57</v>
      </c>
      <c r="H590" s="1">
        <v>45663</v>
      </c>
      <c r="I590" s="1">
        <v>45672</v>
      </c>
      <c r="J590" s="3">
        <v>77.040000000000006</v>
      </c>
      <c r="K590" s="2">
        <f>Table4[[#This Row],[Stock-Quantity]]*Table4[[#This Row],[Unit-Price]]</f>
        <v>81305.399999999994</v>
      </c>
      <c r="L590" s="2">
        <f>Table4[[#This Row],[Stock-Quantity]]*Table4[[#This Row],[Margin-Unit]]</f>
        <v>16948.800000000003</v>
      </c>
      <c r="M590">
        <f>Table4[[#This Row],[Date-Sales]]-Table4[[#This Row],[Date-Received]]</f>
        <v>9</v>
      </c>
      <c r="N590" s="6">
        <f>Table4[[#This Row],[Margin-Unit]]/Table4[[#This Row],[Unit-Price]]</f>
        <v>0.20845847877262766</v>
      </c>
    </row>
    <row r="591" spans="1:14" x14ac:dyDescent="0.3">
      <c r="A591" t="s">
        <v>634</v>
      </c>
      <c r="B591" t="s">
        <v>37</v>
      </c>
      <c r="C591" t="s">
        <v>22</v>
      </c>
      <c r="D591" t="s">
        <v>40</v>
      </c>
      <c r="E591" t="s">
        <v>41</v>
      </c>
      <c r="F591">
        <v>404</v>
      </c>
      <c r="G591" s="3">
        <v>413.13</v>
      </c>
      <c r="H591" s="1">
        <v>45714</v>
      </c>
      <c r="I591" s="1">
        <v>45734</v>
      </c>
      <c r="J591" s="3">
        <v>56.11</v>
      </c>
      <c r="K591" s="2">
        <f>Table4[[#This Row],[Stock-Quantity]]*Table4[[#This Row],[Unit-Price]]</f>
        <v>166904.51999999999</v>
      </c>
      <c r="L591" s="2">
        <f>Table4[[#This Row],[Stock-Quantity]]*Table4[[#This Row],[Margin-Unit]]</f>
        <v>22668.44</v>
      </c>
      <c r="M591">
        <f>Table4[[#This Row],[Date-Sales]]-Table4[[#This Row],[Date-Received]]</f>
        <v>20</v>
      </c>
      <c r="N591" s="6">
        <f>Table4[[#This Row],[Margin-Unit]]/Table4[[#This Row],[Unit-Price]]</f>
        <v>0.13581681310967492</v>
      </c>
    </row>
    <row r="592" spans="1:14" x14ac:dyDescent="0.3">
      <c r="A592" t="s">
        <v>635</v>
      </c>
      <c r="B592" t="s">
        <v>11</v>
      </c>
      <c r="C592" t="s">
        <v>12</v>
      </c>
      <c r="D592" t="s">
        <v>30</v>
      </c>
      <c r="E592" t="s">
        <v>31</v>
      </c>
      <c r="F592">
        <v>198</v>
      </c>
      <c r="G592" s="3">
        <v>135.91999999999999</v>
      </c>
      <c r="H592" s="1">
        <v>45700</v>
      </c>
      <c r="I592" s="1">
        <v>45718</v>
      </c>
      <c r="J592" s="3">
        <v>37</v>
      </c>
      <c r="K592" s="2">
        <f>Table4[[#This Row],[Stock-Quantity]]*Table4[[#This Row],[Unit-Price]]</f>
        <v>26912.159999999996</v>
      </c>
      <c r="L592" s="2">
        <f>Table4[[#This Row],[Stock-Quantity]]*Table4[[#This Row],[Margin-Unit]]</f>
        <v>7326</v>
      </c>
      <c r="M592">
        <f>Table4[[#This Row],[Date-Sales]]-Table4[[#This Row],[Date-Received]]</f>
        <v>18</v>
      </c>
      <c r="N592" s="6">
        <f>Table4[[#This Row],[Margin-Unit]]/Table4[[#This Row],[Unit-Price]]</f>
        <v>0.27221895232489701</v>
      </c>
    </row>
    <row r="593" spans="1:14" x14ac:dyDescent="0.3">
      <c r="A593" t="s">
        <v>636</v>
      </c>
      <c r="B593" t="s">
        <v>16</v>
      </c>
      <c r="C593" t="s">
        <v>17</v>
      </c>
      <c r="D593" t="s">
        <v>40</v>
      </c>
      <c r="E593" t="s">
        <v>41</v>
      </c>
      <c r="F593">
        <v>195</v>
      </c>
      <c r="G593" s="3">
        <v>484.31</v>
      </c>
      <c r="H593" s="1">
        <v>45671</v>
      </c>
      <c r="I593" s="1">
        <v>45692</v>
      </c>
      <c r="J593" s="3">
        <v>126.13</v>
      </c>
      <c r="K593" s="2">
        <f>Table4[[#This Row],[Stock-Quantity]]*Table4[[#This Row],[Unit-Price]]</f>
        <v>94440.45</v>
      </c>
      <c r="L593" s="2">
        <f>Table4[[#This Row],[Stock-Quantity]]*Table4[[#This Row],[Margin-Unit]]</f>
        <v>24595.35</v>
      </c>
      <c r="M593">
        <f>Table4[[#This Row],[Date-Sales]]-Table4[[#This Row],[Date-Received]]</f>
        <v>21</v>
      </c>
      <c r="N593" s="6">
        <f>Table4[[#This Row],[Margin-Unit]]/Table4[[#This Row],[Unit-Price]]</f>
        <v>0.26043236769837502</v>
      </c>
    </row>
    <row r="594" spans="1:14" x14ac:dyDescent="0.3">
      <c r="A594" t="s">
        <v>637</v>
      </c>
      <c r="B594" t="s">
        <v>28</v>
      </c>
      <c r="C594" t="s">
        <v>29</v>
      </c>
      <c r="D594" t="s">
        <v>25</v>
      </c>
      <c r="E594" t="s">
        <v>26</v>
      </c>
      <c r="F594">
        <v>344</v>
      </c>
      <c r="G594" s="3">
        <v>9.32</v>
      </c>
      <c r="H594" s="1">
        <v>45702</v>
      </c>
      <c r="I594" s="1">
        <v>45719</v>
      </c>
      <c r="J594" s="3">
        <v>1.97</v>
      </c>
      <c r="K594" s="2">
        <f>Table4[[#This Row],[Stock-Quantity]]*Table4[[#This Row],[Unit-Price]]</f>
        <v>3206.08</v>
      </c>
      <c r="L594" s="2">
        <f>Table4[[#This Row],[Stock-Quantity]]*Table4[[#This Row],[Margin-Unit]]</f>
        <v>677.68</v>
      </c>
      <c r="M594">
        <f>Table4[[#This Row],[Date-Sales]]-Table4[[#This Row],[Date-Received]]</f>
        <v>17</v>
      </c>
      <c r="N594" s="6">
        <f>Table4[[#This Row],[Margin-Unit]]/Table4[[#This Row],[Unit-Price]]</f>
        <v>0.21137339055793991</v>
      </c>
    </row>
    <row r="595" spans="1:14" x14ac:dyDescent="0.3">
      <c r="A595" t="s">
        <v>638</v>
      </c>
      <c r="B595" t="s">
        <v>11</v>
      </c>
      <c r="C595" t="s">
        <v>12</v>
      </c>
      <c r="D595" t="s">
        <v>18</v>
      </c>
      <c r="E595" t="s">
        <v>19</v>
      </c>
      <c r="F595">
        <v>68</v>
      </c>
      <c r="G595" s="3">
        <v>419.01</v>
      </c>
      <c r="H595" s="1">
        <v>45816</v>
      </c>
      <c r="I595" s="1">
        <v>45835</v>
      </c>
      <c r="J595" s="3">
        <v>55.56</v>
      </c>
      <c r="K595" s="2">
        <f>Table4[[#This Row],[Stock-Quantity]]*Table4[[#This Row],[Unit-Price]]</f>
        <v>28492.68</v>
      </c>
      <c r="L595" s="2">
        <f>Table4[[#This Row],[Stock-Quantity]]*Table4[[#This Row],[Margin-Unit]]</f>
        <v>3778.08</v>
      </c>
      <c r="M595">
        <f>Table4[[#This Row],[Date-Sales]]-Table4[[#This Row],[Date-Received]]</f>
        <v>19</v>
      </c>
      <c r="N595" s="6">
        <f>Table4[[#This Row],[Margin-Unit]]/Table4[[#This Row],[Unit-Price]]</f>
        <v>0.13259826734445479</v>
      </c>
    </row>
    <row r="596" spans="1:14" x14ac:dyDescent="0.3">
      <c r="A596" t="s">
        <v>639</v>
      </c>
      <c r="B596" t="s">
        <v>94</v>
      </c>
      <c r="C596" t="s">
        <v>29</v>
      </c>
      <c r="D596" t="s">
        <v>25</v>
      </c>
      <c r="E596" t="s">
        <v>26</v>
      </c>
      <c r="F596">
        <v>388</v>
      </c>
      <c r="G596" s="3">
        <v>197.07</v>
      </c>
      <c r="H596" s="1">
        <v>45820</v>
      </c>
      <c r="I596" s="1">
        <v>45837</v>
      </c>
      <c r="J596" s="3">
        <v>19.88</v>
      </c>
      <c r="K596" s="2">
        <f>Table4[[#This Row],[Stock-Quantity]]*Table4[[#This Row],[Unit-Price]]</f>
        <v>76463.16</v>
      </c>
      <c r="L596" s="2">
        <f>Table4[[#This Row],[Stock-Quantity]]*Table4[[#This Row],[Margin-Unit]]</f>
        <v>7713.44</v>
      </c>
      <c r="M596">
        <f>Table4[[#This Row],[Date-Sales]]-Table4[[#This Row],[Date-Received]]</f>
        <v>17</v>
      </c>
      <c r="N596" s="6">
        <f>Table4[[#This Row],[Margin-Unit]]/Table4[[#This Row],[Unit-Price]]</f>
        <v>0.1008778606586492</v>
      </c>
    </row>
    <row r="597" spans="1:14" x14ac:dyDescent="0.3">
      <c r="A597" t="s">
        <v>640</v>
      </c>
      <c r="B597" t="s">
        <v>24</v>
      </c>
      <c r="C597" t="s">
        <v>22</v>
      </c>
      <c r="D597" t="s">
        <v>40</v>
      </c>
      <c r="E597" t="s">
        <v>41</v>
      </c>
      <c r="F597">
        <v>45</v>
      </c>
      <c r="G597" s="3">
        <v>25.83</v>
      </c>
      <c r="H597" s="1">
        <v>45821</v>
      </c>
      <c r="I597" s="1">
        <v>45848</v>
      </c>
      <c r="J597" s="3">
        <v>6.94</v>
      </c>
      <c r="K597" s="2">
        <f>Table4[[#This Row],[Stock-Quantity]]*Table4[[#This Row],[Unit-Price]]</f>
        <v>1162.3499999999999</v>
      </c>
      <c r="L597" s="2">
        <f>Table4[[#This Row],[Stock-Quantity]]*Table4[[#This Row],[Margin-Unit]]</f>
        <v>312.3</v>
      </c>
      <c r="M597">
        <f>Table4[[#This Row],[Date-Sales]]-Table4[[#This Row],[Date-Received]]</f>
        <v>27</v>
      </c>
      <c r="N597" s="6">
        <f>Table4[[#This Row],[Margin-Unit]]/Table4[[#This Row],[Unit-Price]]</f>
        <v>0.26867982965543946</v>
      </c>
    </row>
    <row r="598" spans="1:14" x14ac:dyDescent="0.3">
      <c r="A598" t="s">
        <v>641</v>
      </c>
      <c r="B598" t="s">
        <v>74</v>
      </c>
      <c r="C598" t="s">
        <v>29</v>
      </c>
      <c r="D598" t="s">
        <v>40</v>
      </c>
      <c r="E598" t="s">
        <v>41</v>
      </c>
      <c r="F598">
        <v>335</v>
      </c>
      <c r="G598" s="3">
        <v>11</v>
      </c>
      <c r="H598" s="1">
        <v>45726</v>
      </c>
      <c r="I598" s="1">
        <v>45753</v>
      </c>
      <c r="J598" s="3">
        <v>2.19</v>
      </c>
      <c r="K598" s="2">
        <f>Table4[[#This Row],[Stock-Quantity]]*Table4[[#This Row],[Unit-Price]]</f>
        <v>3685</v>
      </c>
      <c r="L598" s="2">
        <f>Table4[[#This Row],[Stock-Quantity]]*Table4[[#This Row],[Margin-Unit]]</f>
        <v>733.65</v>
      </c>
      <c r="M598">
        <f>Table4[[#This Row],[Date-Sales]]-Table4[[#This Row],[Date-Received]]</f>
        <v>27</v>
      </c>
      <c r="N598" s="6">
        <f>Table4[[#This Row],[Margin-Unit]]/Table4[[#This Row],[Unit-Price]]</f>
        <v>0.1990909090909091</v>
      </c>
    </row>
    <row r="599" spans="1:14" x14ac:dyDescent="0.3">
      <c r="A599" t="s">
        <v>642</v>
      </c>
      <c r="B599" t="s">
        <v>39</v>
      </c>
      <c r="C599" t="s">
        <v>12</v>
      </c>
      <c r="D599" t="s">
        <v>30</v>
      </c>
      <c r="E599" t="s">
        <v>31</v>
      </c>
      <c r="F599">
        <v>81</v>
      </c>
      <c r="G599" s="3">
        <v>280.47000000000003</v>
      </c>
      <c r="H599" s="1">
        <v>45785</v>
      </c>
      <c r="I599" s="1">
        <v>45802</v>
      </c>
      <c r="J599" s="3">
        <v>57.08</v>
      </c>
      <c r="K599" s="2">
        <f>Table4[[#This Row],[Stock-Quantity]]*Table4[[#This Row],[Unit-Price]]</f>
        <v>22718.070000000003</v>
      </c>
      <c r="L599" s="2">
        <f>Table4[[#This Row],[Stock-Quantity]]*Table4[[#This Row],[Margin-Unit]]</f>
        <v>4623.4799999999996</v>
      </c>
      <c r="M599">
        <f>Table4[[#This Row],[Date-Sales]]-Table4[[#This Row],[Date-Received]]</f>
        <v>17</v>
      </c>
      <c r="N599" s="6">
        <f>Table4[[#This Row],[Margin-Unit]]/Table4[[#This Row],[Unit-Price]]</f>
        <v>0.20351552750739826</v>
      </c>
    </row>
    <row r="600" spans="1:14" x14ac:dyDescent="0.3">
      <c r="A600" t="s">
        <v>643</v>
      </c>
      <c r="B600" t="s">
        <v>34</v>
      </c>
      <c r="C600" t="s">
        <v>35</v>
      </c>
      <c r="D600" t="s">
        <v>13</v>
      </c>
      <c r="E600" t="s">
        <v>14</v>
      </c>
      <c r="F600">
        <v>357</v>
      </c>
      <c r="G600" s="3">
        <v>168.62</v>
      </c>
      <c r="H600" s="1">
        <v>45789</v>
      </c>
      <c r="I600" s="1">
        <v>45814</v>
      </c>
      <c r="J600" s="3">
        <v>37.590000000000003</v>
      </c>
      <c r="K600" s="2">
        <f>Table4[[#This Row],[Stock-Quantity]]*Table4[[#This Row],[Unit-Price]]</f>
        <v>60197.340000000004</v>
      </c>
      <c r="L600" s="2">
        <f>Table4[[#This Row],[Stock-Quantity]]*Table4[[#This Row],[Margin-Unit]]</f>
        <v>13419.630000000001</v>
      </c>
      <c r="M600">
        <f>Table4[[#This Row],[Date-Sales]]-Table4[[#This Row],[Date-Received]]</f>
        <v>25</v>
      </c>
      <c r="N600" s="6">
        <f>Table4[[#This Row],[Margin-Unit]]/Table4[[#This Row],[Unit-Price]]</f>
        <v>0.22292729213616416</v>
      </c>
    </row>
    <row r="601" spans="1:14" x14ac:dyDescent="0.3">
      <c r="A601" t="s">
        <v>644</v>
      </c>
      <c r="B601" t="s">
        <v>24</v>
      </c>
      <c r="C601" t="s">
        <v>22</v>
      </c>
      <c r="D601" t="s">
        <v>13</v>
      </c>
      <c r="E601" t="s">
        <v>14</v>
      </c>
      <c r="F601">
        <v>105</v>
      </c>
      <c r="G601" s="3">
        <v>50.79</v>
      </c>
      <c r="H601" s="1">
        <v>45694</v>
      </c>
      <c r="I601" s="1">
        <v>45717</v>
      </c>
      <c r="J601" s="3">
        <v>15.23</v>
      </c>
      <c r="K601" s="2">
        <f>Table4[[#This Row],[Stock-Quantity]]*Table4[[#This Row],[Unit-Price]]</f>
        <v>5332.95</v>
      </c>
      <c r="L601" s="2">
        <f>Table4[[#This Row],[Stock-Quantity]]*Table4[[#This Row],[Margin-Unit]]</f>
        <v>1599.15</v>
      </c>
      <c r="M601">
        <f>Table4[[#This Row],[Date-Sales]]-Table4[[#This Row],[Date-Received]]</f>
        <v>23</v>
      </c>
      <c r="N601" s="6">
        <f>Table4[[#This Row],[Margin-Unit]]/Table4[[#This Row],[Unit-Price]]</f>
        <v>0.29986217759401457</v>
      </c>
    </row>
    <row r="602" spans="1:14" x14ac:dyDescent="0.3">
      <c r="A602" t="s">
        <v>645</v>
      </c>
      <c r="B602" t="s">
        <v>65</v>
      </c>
      <c r="C602" t="s">
        <v>22</v>
      </c>
      <c r="D602" t="s">
        <v>13</v>
      </c>
      <c r="E602" t="s">
        <v>14</v>
      </c>
      <c r="F602">
        <v>159</v>
      </c>
      <c r="G602" s="3">
        <v>345.7</v>
      </c>
      <c r="H602" s="1">
        <v>45687</v>
      </c>
      <c r="I602" s="1">
        <v>45711</v>
      </c>
      <c r="J602" s="3">
        <v>53.55</v>
      </c>
      <c r="K602" s="2">
        <f>Table4[[#This Row],[Stock-Quantity]]*Table4[[#This Row],[Unit-Price]]</f>
        <v>54966.299999999996</v>
      </c>
      <c r="L602" s="2">
        <f>Table4[[#This Row],[Stock-Quantity]]*Table4[[#This Row],[Margin-Unit]]</f>
        <v>8514.4499999999989</v>
      </c>
      <c r="M602">
        <f>Table4[[#This Row],[Date-Sales]]-Table4[[#This Row],[Date-Received]]</f>
        <v>24</v>
      </c>
      <c r="N602" s="6">
        <f>Table4[[#This Row],[Margin-Unit]]/Table4[[#This Row],[Unit-Price]]</f>
        <v>0.15490309516922188</v>
      </c>
    </row>
    <row r="603" spans="1:14" x14ac:dyDescent="0.3">
      <c r="A603" t="s">
        <v>646</v>
      </c>
      <c r="B603" t="s">
        <v>24</v>
      </c>
      <c r="C603" t="s">
        <v>22</v>
      </c>
      <c r="D603" t="s">
        <v>18</v>
      </c>
      <c r="E603" t="s">
        <v>19</v>
      </c>
      <c r="F603">
        <v>346</v>
      </c>
      <c r="G603" s="3">
        <v>154.27000000000001</v>
      </c>
      <c r="H603" s="1">
        <v>45752</v>
      </c>
      <c r="I603" s="1">
        <v>45769</v>
      </c>
      <c r="J603" s="3">
        <v>41.89</v>
      </c>
      <c r="K603" s="2">
        <f>Table4[[#This Row],[Stock-Quantity]]*Table4[[#This Row],[Unit-Price]]</f>
        <v>53377.420000000006</v>
      </c>
      <c r="L603" s="2">
        <f>Table4[[#This Row],[Stock-Quantity]]*Table4[[#This Row],[Margin-Unit]]</f>
        <v>14493.94</v>
      </c>
      <c r="M603">
        <f>Table4[[#This Row],[Date-Sales]]-Table4[[#This Row],[Date-Received]]</f>
        <v>17</v>
      </c>
      <c r="N603" s="6">
        <f>Table4[[#This Row],[Margin-Unit]]/Table4[[#This Row],[Unit-Price]]</f>
        <v>0.27153691579697931</v>
      </c>
    </row>
    <row r="604" spans="1:14" x14ac:dyDescent="0.3">
      <c r="A604" t="s">
        <v>647</v>
      </c>
      <c r="B604" t="s">
        <v>43</v>
      </c>
      <c r="C604" t="s">
        <v>35</v>
      </c>
      <c r="D604" t="s">
        <v>40</v>
      </c>
      <c r="E604" t="s">
        <v>41</v>
      </c>
      <c r="F604">
        <v>115</v>
      </c>
      <c r="G604" s="3">
        <v>466.95</v>
      </c>
      <c r="H604" s="1">
        <v>45783</v>
      </c>
      <c r="I604" s="1">
        <v>45796</v>
      </c>
      <c r="J604" s="3">
        <v>53</v>
      </c>
      <c r="K604" s="2">
        <f>Table4[[#This Row],[Stock-Quantity]]*Table4[[#This Row],[Unit-Price]]</f>
        <v>53699.25</v>
      </c>
      <c r="L604" s="2">
        <f>Table4[[#This Row],[Stock-Quantity]]*Table4[[#This Row],[Margin-Unit]]</f>
        <v>6095</v>
      </c>
      <c r="M604">
        <f>Table4[[#This Row],[Date-Sales]]-Table4[[#This Row],[Date-Received]]</f>
        <v>13</v>
      </c>
      <c r="N604" s="6">
        <f>Table4[[#This Row],[Margin-Unit]]/Table4[[#This Row],[Unit-Price]]</f>
        <v>0.11350251632937146</v>
      </c>
    </row>
    <row r="605" spans="1:14" x14ac:dyDescent="0.3">
      <c r="A605" t="s">
        <v>648</v>
      </c>
      <c r="B605" t="s">
        <v>11</v>
      </c>
      <c r="C605" t="s">
        <v>12</v>
      </c>
      <c r="D605" t="s">
        <v>18</v>
      </c>
      <c r="E605" t="s">
        <v>19</v>
      </c>
      <c r="F605">
        <v>68</v>
      </c>
      <c r="G605" s="3">
        <v>261.70999999999998</v>
      </c>
      <c r="H605" s="1">
        <v>45827</v>
      </c>
      <c r="I605" s="1">
        <v>45828</v>
      </c>
      <c r="J605" s="3">
        <v>51.06</v>
      </c>
      <c r="K605" s="2">
        <f>Table4[[#This Row],[Stock-Quantity]]*Table4[[#This Row],[Unit-Price]]</f>
        <v>17796.28</v>
      </c>
      <c r="L605" s="2">
        <f>Table4[[#This Row],[Stock-Quantity]]*Table4[[#This Row],[Margin-Unit]]</f>
        <v>3472.08</v>
      </c>
      <c r="M605">
        <f>Table4[[#This Row],[Date-Sales]]-Table4[[#This Row],[Date-Received]]</f>
        <v>1</v>
      </c>
      <c r="N605" s="6">
        <f>Table4[[#This Row],[Margin-Unit]]/Table4[[#This Row],[Unit-Price]]</f>
        <v>0.19510144816781935</v>
      </c>
    </row>
    <row r="606" spans="1:14" x14ac:dyDescent="0.3">
      <c r="A606" t="s">
        <v>649</v>
      </c>
      <c r="B606" t="s">
        <v>50</v>
      </c>
      <c r="C606" t="s">
        <v>17</v>
      </c>
      <c r="D606" t="s">
        <v>13</v>
      </c>
      <c r="E606" t="s">
        <v>14</v>
      </c>
      <c r="F606">
        <v>358</v>
      </c>
      <c r="G606" s="3">
        <v>208.98</v>
      </c>
      <c r="H606" s="1">
        <v>45684</v>
      </c>
      <c r="I606" s="1">
        <v>45711</v>
      </c>
      <c r="J606" s="3">
        <v>60.4</v>
      </c>
      <c r="K606" s="2">
        <f>Table4[[#This Row],[Stock-Quantity]]*Table4[[#This Row],[Unit-Price]]</f>
        <v>74814.84</v>
      </c>
      <c r="L606" s="2">
        <f>Table4[[#This Row],[Stock-Quantity]]*Table4[[#This Row],[Margin-Unit]]</f>
        <v>21623.200000000001</v>
      </c>
      <c r="M606">
        <f>Table4[[#This Row],[Date-Sales]]-Table4[[#This Row],[Date-Received]]</f>
        <v>27</v>
      </c>
      <c r="N606" s="6">
        <f>Table4[[#This Row],[Margin-Unit]]/Table4[[#This Row],[Unit-Price]]</f>
        <v>0.2890228730022012</v>
      </c>
    </row>
    <row r="607" spans="1:14" x14ac:dyDescent="0.3">
      <c r="A607" t="s">
        <v>650</v>
      </c>
      <c r="B607" t="s">
        <v>52</v>
      </c>
      <c r="C607" t="s">
        <v>12</v>
      </c>
      <c r="D607" t="s">
        <v>30</v>
      </c>
      <c r="E607" t="s">
        <v>31</v>
      </c>
      <c r="F607">
        <v>357</v>
      </c>
      <c r="G607" s="3">
        <v>227.65</v>
      </c>
      <c r="H607" s="1">
        <v>45777</v>
      </c>
      <c r="I607" s="1">
        <v>45783</v>
      </c>
      <c r="J607" s="3">
        <v>52.36</v>
      </c>
      <c r="K607" s="2">
        <f>Table4[[#This Row],[Stock-Quantity]]*Table4[[#This Row],[Unit-Price]]</f>
        <v>81271.05</v>
      </c>
      <c r="L607" s="2">
        <f>Table4[[#This Row],[Stock-Quantity]]*Table4[[#This Row],[Margin-Unit]]</f>
        <v>18692.52</v>
      </c>
      <c r="M607">
        <f>Table4[[#This Row],[Date-Sales]]-Table4[[#This Row],[Date-Received]]</f>
        <v>6</v>
      </c>
      <c r="N607" s="6">
        <f>Table4[[#This Row],[Margin-Unit]]/Table4[[#This Row],[Unit-Price]]</f>
        <v>0.23000219635405225</v>
      </c>
    </row>
    <row r="608" spans="1:14" x14ac:dyDescent="0.3">
      <c r="A608" t="s">
        <v>651</v>
      </c>
      <c r="B608" t="s">
        <v>70</v>
      </c>
      <c r="C608" t="s">
        <v>35</v>
      </c>
      <c r="D608" t="s">
        <v>40</v>
      </c>
      <c r="E608" t="s">
        <v>41</v>
      </c>
      <c r="F608">
        <v>276</v>
      </c>
      <c r="G608" s="3">
        <v>10.76</v>
      </c>
      <c r="H608" s="1">
        <v>45808</v>
      </c>
      <c r="I608" s="1">
        <v>45824</v>
      </c>
      <c r="J608" s="3">
        <v>2.38</v>
      </c>
      <c r="K608" s="2">
        <f>Table4[[#This Row],[Stock-Quantity]]*Table4[[#This Row],[Unit-Price]]</f>
        <v>2969.7599999999998</v>
      </c>
      <c r="L608" s="2">
        <f>Table4[[#This Row],[Stock-Quantity]]*Table4[[#This Row],[Margin-Unit]]</f>
        <v>656.88</v>
      </c>
      <c r="M608">
        <f>Table4[[#This Row],[Date-Sales]]-Table4[[#This Row],[Date-Received]]</f>
        <v>16</v>
      </c>
      <c r="N608" s="6">
        <f>Table4[[#This Row],[Margin-Unit]]/Table4[[#This Row],[Unit-Price]]</f>
        <v>0.22118959107806691</v>
      </c>
    </row>
    <row r="609" spans="1:14" x14ac:dyDescent="0.3">
      <c r="A609" t="s">
        <v>652</v>
      </c>
      <c r="B609" t="s">
        <v>80</v>
      </c>
      <c r="C609" t="s">
        <v>29</v>
      </c>
      <c r="D609" t="s">
        <v>18</v>
      </c>
      <c r="E609" t="s">
        <v>19</v>
      </c>
      <c r="F609">
        <v>281</v>
      </c>
      <c r="G609" s="3">
        <v>26.21</v>
      </c>
      <c r="H609" s="1">
        <v>45696</v>
      </c>
      <c r="I609" s="1">
        <v>45699</v>
      </c>
      <c r="J609" s="3">
        <v>6.63</v>
      </c>
      <c r="K609" s="2">
        <f>Table4[[#This Row],[Stock-Quantity]]*Table4[[#This Row],[Unit-Price]]</f>
        <v>7365.01</v>
      </c>
      <c r="L609" s="2">
        <f>Table4[[#This Row],[Stock-Quantity]]*Table4[[#This Row],[Margin-Unit]]</f>
        <v>1863.03</v>
      </c>
      <c r="M609">
        <f>Table4[[#This Row],[Date-Sales]]-Table4[[#This Row],[Date-Received]]</f>
        <v>3</v>
      </c>
      <c r="N609" s="6">
        <f>Table4[[#This Row],[Margin-Unit]]/Table4[[#This Row],[Unit-Price]]</f>
        <v>0.25295688668447158</v>
      </c>
    </row>
    <row r="610" spans="1:14" x14ac:dyDescent="0.3">
      <c r="A610" t="s">
        <v>653</v>
      </c>
      <c r="B610" t="s">
        <v>47</v>
      </c>
      <c r="C610" t="s">
        <v>17</v>
      </c>
      <c r="D610" t="s">
        <v>25</v>
      </c>
      <c r="E610" t="s">
        <v>26</v>
      </c>
      <c r="F610">
        <v>398</v>
      </c>
      <c r="G610" s="3">
        <v>336.98</v>
      </c>
      <c r="H610" s="1">
        <v>45835</v>
      </c>
      <c r="I610" s="1">
        <v>45849</v>
      </c>
      <c r="J610" s="3">
        <v>40.26</v>
      </c>
      <c r="K610" s="2">
        <f>Table4[[#This Row],[Stock-Quantity]]*Table4[[#This Row],[Unit-Price]]</f>
        <v>134118.04</v>
      </c>
      <c r="L610" s="2">
        <f>Table4[[#This Row],[Stock-Quantity]]*Table4[[#This Row],[Margin-Unit]]</f>
        <v>16023.48</v>
      </c>
      <c r="M610">
        <f>Table4[[#This Row],[Date-Sales]]-Table4[[#This Row],[Date-Received]]</f>
        <v>14</v>
      </c>
      <c r="N610" s="6">
        <f>Table4[[#This Row],[Margin-Unit]]/Table4[[#This Row],[Unit-Price]]</f>
        <v>0.11947296575464418</v>
      </c>
    </row>
    <row r="611" spans="1:14" x14ac:dyDescent="0.3">
      <c r="A611" t="s">
        <v>654</v>
      </c>
      <c r="B611" t="s">
        <v>94</v>
      </c>
      <c r="C611" t="s">
        <v>29</v>
      </c>
      <c r="D611" t="s">
        <v>13</v>
      </c>
      <c r="E611" t="s">
        <v>14</v>
      </c>
      <c r="F611">
        <v>90</v>
      </c>
      <c r="G611" s="3">
        <v>213.15</v>
      </c>
      <c r="H611" s="1">
        <v>45727</v>
      </c>
      <c r="I611" s="1">
        <v>45733</v>
      </c>
      <c r="J611" s="3">
        <v>50.79</v>
      </c>
      <c r="K611" s="2">
        <f>Table4[[#This Row],[Stock-Quantity]]*Table4[[#This Row],[Unit-Price]]</f>
        <v>19183.5</v>
      </c>
      <c r="L611" s="2">
        <f>Table4[[#This Row],[Stock-Quantity]]*Table4[[#This Row],[Margin-Unit]]</f>
        <v>4571.1000000000004</v>
      </c>
      <c r="M611">
        <f>Table4[[#This Row],[Date-Sales]]-Table4[[#This Row],[Date-Received]]</f>
        <v>6</v>
      </c>
      <c r="N611" s="6">
        <f>Table4[[#This Row],[Margin-Unit]]/Table4[[#This Row],[Unit-Price]]</f>
        <v>0.23828289936664321</v>
      </c>
    </row>
    <row r="612" spans="1:14" x14ac:dyDescent="0.3">
      <c r="A612" t="s">
        <v>655</v>
      </c>
      <c r="B612" t="s">
        <v>94</v>
      </c>
      <c r="C612" t="s">
        <v>29</v>
      </c>
      <c r="D612" t="s">
        <v>25</v>
      </c>
      <c r="E612" t="s">
        <v>26</v>
      </c>
      <c r="F612">
        <v>391</v>
      </c>
      <c r="G612" s="3">
        <v>328.98</v>
      </c>
      <c r="H612" s="1">
        <v>45806</v>
      </c>
      <c r="I612" s="1">
        <v>45832</v>
      </c>
      <c r="J612" s="3">
        <v>81.150000000000006</v>
      </c>
      <c r="K612" s="2">
        <f>Table4[[#This Row],[Stock-Quantity]]*Table4[[#This Row],[Unit-Price]]</f>
        <v>128631.18000000001</v>
      </c>
      <c r="L612" s="2">
        <f>Table4[[#This Row],[Stock-Quantity]]*Table4[[#This Row],[Margin-Unit]]</f>
        <v>31729.65</v>
      </c>
      <c r="M612">
        <f>Table4[[#This Row],[Date-Sales]]-Table4[[#This Row],[Date-Received]]</f>
        <v>26</v>
      </c>
      <c r="N612" s="6">
        <f>Table4[[#This Row],[Margin-Unit]]/Table4[[#This Row],[Unit-Price]]</f>
        <v>0.24667153018420573</v>
      </c>
    </row>
    <row r="613" spans="1:14" x14ac:dyDescent="0.3">
      <c r="A613" t="s">
        <v>656</v>
      </c>
      <c r="B613" t="s">
        <v>106</v>
      </c>
      <c r="C613" t="s">
        <v>17</v>
      </c>
      <c r="D613" t="s">
        <v>13</v>
      </c>
      <c r="E613" t="s">
        <v>14</v>
      </c>
      <c r="F613">
        <v>382</v>
      </c>
      <c r="G613" s="3">
        <v>211.29</v>
      </c>
      <c r="H613" s="1">
        <v>45834</v>
      </c>
      <c r="I613" s="1">
        <v>45860</v>
      </c>
      <c r="J613" s="3">
        <v>58.47</v>
      </c>
      <c r="K613" s="2">
        <f>Table4[[#This Row],[Stock-Quantity]]*Table4[[#This Row],[Unit-Price]]</f>
        <v>80712.78</v>
      </c>
      <c r="L613" s="2">
        <f>Table4[[#This Row],[Stock-Quantity]]*Table4[[#This Row],[Margin-Unit]]</f>
        <v>22335.54</v>
      </c>
      <c r="M613">
        <f>Table4[[#This Row],[Date-Sales]]-Table4[[#This Row],[Date-Received]]</f>
        <v>26</v>
      </c>
      <c r="N613" s="6">
        <f>Table4[[#This Row],[Margin-Unit]]/Table4[[#This Row],[Unit-Price]]</f>
        <v>0.27672866676132329</v>
      </c>
    </row>
    <row r="614" spans="1:14" x14ac:dyDescent="0.3">
      <c r="A614" t="s">
        <v>657</v>
      </c>
      <c r="B614" t="s">
        <v>94</v>
      </c>
      <c r="C614" t="s">
        <v>29</v>
      </c>
      <c r="D614" t="s">
        <v>25</v>
      </c>
      <c r="E614" t="s">
        <v>26</v>
      </c>
      <c r="F614">
        <v>240</v>
      </c>
      <c r="G614" s="3">
        <v>346.55</v>
      </c>
      <c r="H614" s="1">
        <v>45833</v>
      </c>
      <c r="I614" s="1">
        <v>45845</v>
      </c>
      <c r="J614" s="3">
        <v>54.57</v>
      </c>
      <c r="K614" s="2">
        <f>Table4[[#This Row],[Stock-Quantity]]*Table4[[#This Row],[Unit-Price]]</f>
        <v>83172</v>
      </c>
      <c r="L614" s="2">
        <f>Table4[[#This Row],[Stock-Quantity]]*Table4[[#This Row],[Margin-Unit]]</f>
        <v>13096.8</v>
      </c>
      <c r="M614">
        <f>Table4[[#This Row],[Date-Sales]]-Table4[[#This Row],[Date-Received]]</f>
        <v>12</v>
      </c>
      <c r="N614" s="6">
        <f>Table4[[#This Row],[Margin-Unit]]/Table4[[#This Row],[Unit-Price]]</f>
        <v>0.15746645505699033</v>
      </c>
    </row>
    <row r="615" spans="1:14" x14ac:dyDescent="0.3">
      <c r="A615" t="s">
        <v>658</v>
      </c>
      <c r="B615" t="s">
        <v>74</v>
      </c>
      <c r="C615" t="s">
        <v>29</v>
      </c>
      <c r="D615" t="s">
        <v>30</v>
      </c>
      <c r="E615" t="s">
        <v>31</v>
      </c>
      <c r="F615">
        <v>232</v>
      </c>
      <c r="G615" s="3">
        <v>355.71</v>
      </c>
      <c r="H615" s="1">
        <v>45777</v>
      </c>
      <c r="I615" s="1">
        <v>45804</v>
      </c>
      <c r="J615" s="3">
        <v>43.72</v>
      </c>
      <c r="K615" s="2">
        <f>Table4[[#This Row],[Stock-Quantity]]*Table4[[#This Row],[Unit-Price]]</f>
        <v>82524.72</v>
      </c>
      <c r="L615" s="2">
        <f>Table4[[#This Row],[Stock-Quantity]]*Table4[[#This Row],[Margin-Unit]]</f>
        <v>10143.039999999999</v>
      </c>
      <c r="M615">
        <f>Table4[[#This Row],[Date-Sales]]-Table4[[#This Row],[Date-Received]]</f>
        <v>27</v>
      </c>
      <c r="N615" s="6">
        <f>Table4[[#This Row],[Margin-Unit]]/Table4[[#This Row],[Unit-Price]]</f>
        <v>0.12290911135475528</v>
      </c>
    </row>
    <row r="616" spans="1:14" x14ac:dyDescent="0.3">
      <c r="A616" t="s">
        <v>659</v>
      </c>
      <c r="B616" t="s">
        <v>94</v>
      </c>
      <c r="C616" t="s">
        <v>29</v>
      </c>
      <c r="D616" t="s">
        <v>25</v>
      </c>
      <c r="E616" t="s">
        <v>26</v>
      </c>
      <c r="F616">
        <v>104</v>
      </c>
      <c r="G616" s="3">
        <v>14.7</v>
      </c>
      <c r="H616" s="1">
        <v>45685</v>
      </c>
      <c r="I616" s="1">
        <v>45708</v>
      </c>
      <c r="J616" s="3">
        <v>2.19</v>
      </c>
      <c r="K616" s="2">
        <f>Table4[[#This Row],[Stock-Quantity]]*Table4[[#This Row],[Unit-Price]]</f>
        <v>1528.8</v>
      </c>
      <c r="L616" s="2">
        <f>Table4[[#This Row],[Stock-Quantity]]*Table4[[#This Row],[Margin-Unit]]</f>
        <v>227.76</v>
      </c>
      <c r="M616">
        <f>Table4[[#This Row],[Date-Sales]]-Table4[[#This Row],[Date-Received]]</f>
        <v>23</v>
      </c>
      <c r="N616" s="6">
        <f>Table4[[#This Row],[Margin-Unit]]/Table4[[#This Row],[Unit-Price]]</f>
        <v>0.1489795918367347</v>
      </c>
    </row>
    <row r="617" spans="1:14" x14ac:dyDescent="0.3">
      <c r="A617" t="s">
        <v>660</v>
      </c>
      <c r="B617" t="s">
        <v>28</v>
      </c>
      <c r="C617" t="s">
        <v>29</v>
      </c>
      <c r="D617" t="s">
        <v>25</v>
      </c>
      <c r="E617" t="s">
        <v>26</v>
      </c>
      <c r="F617">
        <v>321</v>
      </c>
      <c r="G617" s="3">
        <v>499.72</v>
      </c>
      <c r="H617" s="1">
        <v>45753</v>
      </c>
      <c r="I617" s="1">
        <v>45782</v>
      </c>
      <c r="J617" s="3">
        <v>91.14</v>
      </c>
      <c r="K617" s="2">
        <f>Table4[[#This Row],[Stock-Quantity]]*Table4[[#This Row],[Unit-Price]]</f>
        <v>160410.12</v>
      </c>
      <c r="L617" s="2">
        <f>Table4[[#This Row],[Stock-Quantity]]*Table4[[#This Row],[Margin-Unit]]</f>
        <v>29255.94</v>
      </c>
      <c r="M617">
        <f>Table4[[#This Row],[Date-Sales]]-Table4[[#This Row],[Date-Received]]</f>
        <v>29</v>
      </c>
      <c r="N617" s="6">
        <f>Table4[[#This Row],[Margin-Unit]]/Table4[[#This Row],[Unit-Price]]</f>
        <v>0.18238213399503722</v>
      </c>
    </row>
    <row r="618" spans="1:14" x14ac:dyDescent="0.3">
      <c r="A618" t="s">
        <v>661</v>
      </c>
      <c r="B618" t="s">
        <v>52</v>
      </c>
      <c r="C618" t="s">
        <v>12</v>
      </c>
      <c r="D618" t="s">
        <v>40</v>
      </c>
      <c r="E618" t="s">
        <v>41</v>
      </c>
      <c r="F618">
        <v>317</v>
      </c>
      <c r="G618" s="3">
        <v>453.56</v>
      </c>
      <c r="H618" s="1">
        <v>45745</v>
      </c>
      <c r="I618" s="1">
        <v>45757</v>
      </c>
      <c r="J618" s="3">
        <v>110.21</v>
      </c>
      <c r="K618" s="2">
        <f>Table4[[#This Row],[Stock-Quantity]]*Table4[[#This Row],[Unit-Price]]</f>
        <v>143778.51999999999</v>
      </c>
      <c r="L618" s="2">
        <f>Table4[[#This Row],[Stock-Quantity]]*Table4[[#This Row],[Margin-Unit]]</f>
        <v>34936.57</v>
      </c>
      <c r="M618">
        <f>Table4[[#This Row],[Date-Sales]]-Table4[[#This Row],[Date-Received]]</f>
        <v>12</v>
      </c>
      <c r="N618" s="6">
        <f>Table4[[#This Row],[Margin-Unit]]/Table4[[#This Row],[Unit-Price]]</f>
        <v>0.24298879971778814</v>
      </c>
    </row>
    <row r="619" spans="1:14" x14ac:dyDescent="0.3">
      <c r="A619" t="s">
        <v>662</v>
      </c>
      <c r="B619" t="s">
        <v>24</v>
      </c>
      <c r="C619" t="s">
        <v>22</v>
      </c>
      <c r="D619" t="s">
        <v>25</v>
      </c>
      <c r="E619" t="s">
        <v>26</v>
      </c>
      <c r="F619">
        <v>102</v>
      </c>
      <c r="G619" s="3">
        <v>363.98</v>
      </c>
      <c r="H619" s="1">
        <v>45773</v>
      </c>
      <c r="I619" s="1">
        <v>45791</v>
      </c>
      <c r="J619" s="3">
        <v>58.49</v>
      </c>
      <c r="K619" s="2">
        <f>Table4[[#This Row],[Stock-Quantity]]*Table4[[#This Row],[Unit-Price]]</f>
        <v>37125.96</v>
      </c>
      <c r="L619" s="2">
        <f>Table4[[#This Row],[Stock-Quantity]]*Table4[[#This Row],[Margin-Unit]]</f>
        <v>5965.9800000000005</v>
      </c>
      <c r="M619">
        <f>Table4[[#This Row],[Date-Sales]]-Table4[[#This Row],[Date-Received]]</f>
        <v>18</v>
      </c>
      <c r="N619" s="6">
        <f>Table4[[#This Row],[Margin-Unit]]/Table4[[#This Row],[Unit-Price]]</f>
        <v>0.16069564261772626</v>
      </c>
    </row>
    <row r="620" spans="1:14" x14ac:dyDescent="0.3">
      <c r="A620" t="s">
        <v>663</v>
      </c>
      <c r="B620" t="s">
        <v>24</v>
      </c>
      <c r="C620" t="s">
        <v>22</v>
      </c>
      <c r="D620" t="s">
        <v>30</v>
      </c>
      <c r="E620" t="s">
        <v>31</v>
      </c>
      <c r="F620">
        <v>101</v>
      </c>
      <c r="G620" s="3">
        <v>315.62</v>
      </c>
      <c r="H620" s="1">
        <v>45739</v>
      </c>
      <c r="I620" s="1">
        <v>45746</v>
      </c>
      <c r="J620" s="3">
        <v>70.22</v>
      </c>
      <c r="K620" s="2">
        <f>Table4[[#This Row],[Stock-Quantity]]*Table4[[#This Row],[Unit-Price]]</f>
        <v>31877.62</v>
      </c>
      <c r="L620" s="2">
        <f>Table4[[#This Row],[Stock-Quantity]]*Table4[[#This Row],[Margin-Unit]]</f>
        <v>7092.22</v>
      </c>
      <c r="M620">
        <f>Table4[[#This Row],[Date-Sales]]-Table4[[#This Row],[Date-Received]]</f>
        <v>7</v>
      </c>
      <c r="N620" s="6">
        <f>Table4[[#This Row],[Margin-Unit]]/Table4[[#This Row],[Unit-Price]]</f>
        <v>0.22248273239972119</v>
      </c>
    </row>
    <row r="621" spans="1:14" x14ac:dyDescent="0.3">
      <c r="A621" t="s">
        <v>664</v>
      </c>
      <c r="B621" t="s">
        <v>70</v>
      </c>
      <c r="C621" t="s">
        <v>35</v>
      </c>
      <c r="D621" t="s">
        <v>30</v>
      </c>
      <c r="E621" t="s">
        <v>31</v>
      </c>
      <c r="F621">
        <v>80</v>
      </c>
      <c r="G621" s="3">
        <v>26.32</v>
      </c>
      <c r="H621" s="1">
        <v>45672</v>
      </c>
      <c r="I621" s="1">
        <v>45679</v>
      </c>
      <c r="J621" s="3">
        <v>4.04</v>
      </c>
      <c r="K621" s="2">
        <f>Table4[[#This Row],[Stock-Quantity]]*Table4[[#This Row],[Unit-Price]]</f>
        <v>2105.6</v>
      </c>
      <c r="L621" s="2">
        <f>Table4[[#This Row],[Stock-Quantity]]*Table4[[#This Row],[Margin-Unit]]</f>
        <v>323.2</v>
      </c>
      <c r="M621">
        <f>Table4[[#This Row],[Date-Sales]]-Table4[[#This Row],[Date-Received]]</f>
        <v>7</v>
      </c>
      <c r="N621" s="6">
        <f>Table4[[#This Row],[Margin-Unit]]/Table4[[#This Row],[Unit-Price]]</f>
        <v>0.15349544072948329</v>
      </c>
    </row>
    <row r="622" spans="1:14" x14ac:dyDescent="0.3">
      <c r="A622" t="s">
        <v>665</v>
      </c>
      <c r="B622" t="s">
        <v>94</v>
      </c>
      <c r="C622" t="s">
        <v>29</v>
      </c>
      <c r="D622" t="s">
        <v>18</v>
      </c>
      <c r="E622" t="s">
        <v>19</v>
      </c>
      <c r="F622">
        <v>122</v>
      </c>
      <c r="G622" s="3">
        <v>454.24</v>
      </c>
      <c r="H622" s="1">
        <v>45748</v>
      </c>
      <c r="I622" s="1">
        <v>45759</v>
      </c>
      <c r="J622" s="3">
        <v>135.19999999999999</v>
      </c>
      <c r="K622" s="2">
        <f>Table4[[#This Row],[Stock-Quantity]]*Table4[[#This Row],[Unit-Price]]</f>
        <v>55417.279999999999</v>
      </c>
      <c r="L622" s="2">
        <f>Table4[[#This Row],[Stock-Quantity]]*Table4[[#This Row],[Margin-Unit]]</f>
        <v>16494.399999999998</v>
      </c>
      <c r="M622">
        <f>Table4[[#This Row],[Date-Sales]]-Table4[[#This Row],[Date-Received]]</f>
        <v>11</v>
      </c>
      <c r="N622" s="6">
        <f>Table4[[#This Row],[Margin-Unit]]/Table4[[#This Row],[Unit-Price]]</f>
        <v>0.29764001408946811</v>
      </c>
    </row>
    <row r="623" spans="1:14" x14ac:dyDescent="0.3">
      <c r="A623" t="s">
        <v>666</v>
      </c>
      <c r="B623" t="s">
        <v>37</v>
      </c>
      <c r="C623" t="s">
        <v>22</v>
      </c>
      <c r="D623" t="s">
        <v>25</v>
      </c>
      <c r="E623" t="s">
        <v>26</v>
      </c>
      <c r="F623">
        <v>11</v>
      </c>
      <c r="G623" s="3">
        <v>332.67</v>
      </c>
      <c r="H623" s="1">
        <v>45811</v>
      </c>
      <c r="I623" s="1">
        <v>45830</v>
      </c>
      <c r="J623" s="3">
        <v>41.15</v>
      </c>
      <c r="K623" s="2">
        <f>Table4[[#This Row],[Stock-Quantity]]*Table4[[#This Row],[Unit-Price]]</f>
        <v>3659.3700000000003</v>
      </c>
      <c r="L623" s="2">
        <f>Table4[[#This Row],[Stock-Quantity]]*Table4[[#This Row],[Margin-Unit]]</f>
        <v>452.65</v>
      </c>
      <c r="M623">
        <f>Table4[[#This Row],[Date-Sales]]-Table4[[#This Row],[Date-Received]]</f>
        <v>19</v>
      </c>
      <c r="N623" s="6">
        <f>Table4[[#This Row],[Margin-Unit]]/Table4[[#This Row],[Unit-Price]]</f>
        <v>0.12369615534914478</v>
      </c>
    </row>
    <row r="624" spans="1:14" x14ac:dyDescent="0.3">
      <c r="A624" t="s">
        <v>667</v>
      </c>
      <c r="B624" t="s">
        <v>106</v>
      </c>
      <c r="C624" t="s">
        <v>17</v>
      </c>
      <c r="D624" t="s">
        <v>18</v>
      </c>
      <c r="E624" t="s">
        <v>19</v>
      </c>
      <c r="F624">
        <v>346</v>
      </c>
      <c r="G624" s="3">
        <v>226.13</v>
      </c>
      <c r="H624" s="1">
        <v>45701</v>
      </c>
      <c r="I624" s="1">
        <v>45730</v>
      </c>
      <c r="J624" s="3">
        <v>25.81</v>
      </c>
      <c r="K624" s="2">
        <f>Table4[[#This Row],[Stock-Quantity]]*Table4[[#This Row],[Unit-Price]]</f>
        <v>78240.98</v>
      </c>
      <c r="L624" s="2">
        <f>Table4[[#This Row],[Stock-Quantity]]*Table4[[#This Row],[Margin-Unit]]</f>
        <v>8930.26</v>
      </c>
      <c r="M624">
        <f>Table4[[#This Row],[Date-Sales]]-Table4[[#This Row],[Date-Received]]</f>
        <v>29</v>
      </c>
      <c r="N624" s="6">
        <f>Table4[[#This Row],[Margin-Unit]]/Table4[[#This Row],[Unit-Price]]</f>
        <v>0.11413788528722416</v>
      </c>
    </row>
    <row r="625" spans="1:14" x14ac:dyDescent="0.3">
      <c r="A625" t="s">
        <v>668</v>
      </c>
      <c r="B625" t="s">
        <v>70</v>
      </c>
      <c r="C625" t="s">
        <v>35</v>
      </c>
      <c r="D625" t="s">
        <v>25</v>
      </c>
      <c r="E625" t="s">
        <v>26</v>
      </c>
      <c r="F625">
        <v>372</v>
      </c>
      <c r="G625" s="3">
        <v>231.33</v>
      </c>
      <c r="H625" s="1">
        <v>45784</v>
      </c>
      <c r="I625" s="1">
        <v>45811</v>
      </c>
      <c r="J625" s="3">
        <v>24.05</v>
      </c>
      <c r="K625" s="2">
        <f>Table4[[#This Row],[Stock-Quantity]]*Table4[[#This Row],[Unit-Price]]</f>
        <v>86054.760000000009</v>
      </c>
      <c r="L625" s="2">
        <f>Table4[[#This Row],[Stock-Quantity]]*Table4[[#This Row],[Margin-Unit]]</f>
        <v>8946.6</v>
      </c>
      <c r="M625">
        <f>Table4[[#This Row],[Date-Sales]]-Table4[[#This Row],[Date-Received]]</f>
        <v>27</v>
      </c>
      <c r="N625" s="6">
        <f>Table4[[#This Row],[Margin-Unit]]/Table4[[#This Row],[Unit-Price]]</f>
        <v>0.1039640340638914</v>
      </c>
    </row>
    <row r="626" spans="1:14" x14ac:dyDescent="0.3">
      <c r="A626" t="s">
        <v>669</v>
      </c>
      <c r="B626" t="s">
        <v>34</v>
      </c>
      <c r="C626" t="s">
        <v>35</v>
      </c>
      <c r="D626" t="s">
        <v>25</v>
      </c>
      <c r="E626" t="s">
        <v>26</v>
      </c>
      <c r="F626">
        <v>421</v>
      </c>
      <c r="G626" s="3">
        <v>144.24</v>
      </c>
      <c r="H626" s="1">
        <v>45753</v>
      </c>
      <c r="I626" s="1">
        <v>45771</v>
      </c>
      <c r="J626" s="3">
        <v>40.75</v>
      </c>
      <c r="K626" s="2">
        <f>Table4[[#This Row],[Stock-Quantity]]*Table4[[#This Row],[Unit-Price]]</f>
        <v>60725.04</v>
      </c>
      <c r="L626" s="2">
        <f>Table4[[#This Row],[Stock-Quantity]]*Table4[[#This Row],[Margin-Unit]]</f>
        <v>17155.75</v>
      </c>
      <c r="M626">
        <f>Table4[[#This Row],[Date-Sales]]-Table4[[#This Row],[Date-Received]]</f>
        <v>18</v>
      </c>
      <c r="N626" s="6">
        <f>Table4[[#This Row],[Margin-Unit]]/Table4[[#This Row],[Unit-Price]]</f>
        <v>0.28251525235718244</v>
      </c>
    </row>
    <row r="627" spans="1:14" x14ac:dyDescent="0.3">
      <c r="A627" t="s">
        <v>670</v>
      </c>
      <c r="B627" t="s">
        <v>47</v>
      </c>
      <c r="C627" t="s">
        <v>17</v>
      </c>
      <c r="D627" t="s">
        <v>13</v>
      </c>
      <c r="E627" t="s">
        <v>14</v>
      </c>
      <c r="F627">
        <v>202</v>
      </c>
      <c r="G627" s="3">
        <v>289.63</v>
      </c>
      <c r="H627" s="1">
        <v>45704</v>
      </c>
      <c r="I627" s="1">
        <v>45716</v>
      </c>
      <c r="J627" s="3">
        <v>43.72</v>
      </c>
      <c r="K627" s="2">
        <f>Table4[[#This Row],[Stock-Quantity]]*Table4[[#This Row],[Unit-Price]]</f>
        <v>58505.26</v>
      </c>
      <c r="L627" s="2">
        <f>Table4[[#This Row],[Stock-Quantity]]*Table4[[#This Row],[Margin-Unit]]</f>
        <v>8831.44</v>
      </c>
      <c r="M627">
        <f>Table4[[#This Row],[Date-Sales]]-Table4[[#This Row],[Date-Received]]</f>
        <v>12</v>
      </c>
      <c r="N627" s="6">
        <f>Table4[[#This Row],[Margin-Unit]]/Table4[[#This Row],[Unit-Price]]</f>
        <v>0.1509512136173739</v>
      </c>
    </row>
    <row r="628" spans="1:14" x14ac:dyDescent="0.3">
      <c r="A628" t="s">
        <v>671</v>
      </c>
      <c r="B628" t="s">
        <v>116</v>
      </c>
      <c r="C628" t="s">
        <v>12</v>
      </c>
      <c r="D628" t="s">
        <v>40</v>
      </c>
      <c r="E628" t="s">
        <v>41</v>
      </c>
      <c r="F628">
        <v>378</v>
      </c>
      <c r="G628" s="3">
        <v>154</v>
      </c>
      <c r="H628" s="1">
        <v>45733</v>
      </c>
      <c r="I628" s="1">
        <v>45759</v>
      </c>
      <c r="J628" s="3">
        <v>37.96</v>
      </c>
      <c r="K628" s="2">
        <f>Table4[[#This Row],[Stock-Quantity]]*Table4[[#This Row],[Unit-Price]]</f>
        <v>58212</v>
      </c>
      <c r="L628" s="2">
        <f>Table4[[#This Row],[Stock-Quantity]]*Table4[[#This Row],[Margin-Unit]]</f>
        <v>14348.880000000001</v>
      </c>
      <c r="M628">
        <f>Table4[[#This Row],[Date-Sales]]-Table4[[#This Row],[Date-Received]]</f>
        <v>26</v>
      </c>
      <c r="N628" s="6">
        <f>Table4[[#This Row],[Margin-Unit]]/Table4[[#This Row],[Unit-Price]]</f>
        <v>0.24649350649350649</v>
      </c>
    </row>
    <row r="629" spans="1:14" x14ac:dyDescent="0.3">
      <c r="A629" t="s">
        <v>672</v>
      </c>
      <c r="B629" t="s">
        <v>11</v>
      </c>
      <c r="C629" t="s">
        <v>12</v>
      </c>
      <c r="D629" t="s">
        <v>30</v>
      </c>
      <c r="E629" t="s">
        <v>31</v>
      </c>
      <c r="F629">
        <v>490</v>
      </c>
      <c r="G629" s="3">
        <v>269.92</v>
      </c>
      <c r="H629" s="1">
        <v>45671</v>
      </c>
      <c r="I629" s="1">
        <v>45692</v>
      </c>
      <c r="J629" s="3">
        <v>69.2</v>
      </c>
      <c r="K629" s="2">
        <f>Table4[[#This Row],[Stock-Quantity]]*Table4[[#This Row],[Unit-Price]]</f>
        <v>132260.80000000002</v>
      </c>
      <c r="L629" s="2">
        <f>Table4[[#This Row],[Stock-Quantity]]*Table4[[#This Row],[Margin-Unit]]</f>
        <v>33908</v>
      </c>
      <c r="M629">
        <f>Table4[[#This Row],[Date-Sales]]-Table4[[#This Row],[Date-Received]]</f>
        <v>21</v>
      </c>
      <c r="N629" s="6">
        <f>Table4[[#This Row],[Margin-Unit]]/Table4[[#This Row],[Unit-Price]]</f>
        <v>0.25637225844694722</v>
      </c>
    </row>
    <row r="630" spans="1:14" x14ac:dyDescent="0.3">
      <c r="A630" t="s">
        <v>673</v>
      </c>
      <c r="B630" t="s">
        <v>11</v>
      </c>
      <c r="C630" t="s">
        <v>12</v>
      </c>
      <c r="D630" t="s">
        <v>13</v>
      </c>
      <c r="E630" t="s">
        <v>14</v>
      </c>
      <c r="F630">
        <v>458</v>
      </c>
      <c r="G630" s="3">
        <v>468.4</v>
      </c>
      <c r="H630" s="1">
        <v>45806</v>
      </c>
      <c r="I630" s="1">
        <v>45821</v>
      </c>
      <c r="J630" s="3">
        <v>122.4</v>
      </c>
      <c r="K630" s="2">
        <f>Table4[[#This Row],[Stock-Quantity]]*Table4[[#This Row],[Unit-Price]]</f>
        <v>214527.19999999998</v>
      </c>
      <c r="L630" s="2">
        <f>Table4[[#This Row],[Stock-Quantity]]*Table4[[#This Row],[Margin-Unit]]</f>
        <v>56059.200000000004</v>
      </c>
      <c r="M630">
        <f>Table4[[#This Row],[Date-Sales]]-Table4[[#This Row],[Date-Received]]</f>
        <v>15</v>
      </c>
      <c r="N630" s="6">
        <f>Table4[[#This Row],[Margin-Unit]]/Table4[[#This Row],[Unit-Price]]</f>
        <v>0.26131511528608031</v>
      </c>
    </row>
    <row r="631" spans="1:14" x14ac:dyDescent="0.3">
      <c r="A631" t="s">
        <v>674</v>
      </c>
      <c r="B631" t="s">
        <v>21</v>
      </c>
      <c r="C631" t="s">
        <v>22</v>
      </c>
      <c r="D631" t="s">
        <v>18</v>
      </c>
      <c r="E631" t="s">
        <v>19</v>
      </c>
      <c r="F631">
        <v>242</v>
      </c>
      <c r="G631" s="3">
        <v>239.53</v>
      </c>
      <c r="H631" s="1">
        <v>45824</v>
      </c>
      <c r="I631" s="1">
        <v>45841</v>
      </c>
      <c r="J631" s="3">
        <v>61.1</v>
      </c>
      <c r="K631" s="2">
        <f>Table4[[#This Row],[Stock-Quantity]]*Table4[[#This Row],[Unit-Price]]</f>
        <v>57966.26</v>
      </c>
      <c r="L631" s="2">
        <f>Table4[[#This Row],[Stock-Quantity]]*Table4[[#This Row],[Margin-Unit]]</f>
        <v>14786.2</v>
      </c>
      <c r="M631">
        <f>Table4[[#This Row],[Date-Sales]]-Table4[[#This Row],[Date-Received]]</f>
        <v>17</v>
      </c>
      <c r="N631" s="6">
        <f>Table4[[#This Row],[Margin-Unit]]/Table4[[#This Row],[Unit-Price]]</f>
        <v>0.25508287062163404</v>
      </c>
    </row>
    <row r="632" spans="1:14" x14ac:dyDescent="0.3">
      <c r="A632" t="s">
        <v>675</v>
      </c>
      <c r="B632" t="s">
        <v>39</v>
      </c>
      <c r="C632" t="s">
        <v>12</v>
      </c>
      <c r="D632" t="s">
        <v>13</v>
      </c>
      <c r="E632" t="s">
        <v>14</v>
      </c>
      <c r="F632">
        <v>116</v>
      </c>
      <c r="G632" s="3">
        <v>380.08</v>
      </c>
      <c r="H632" s="1">
        <v>45804</v>
      </c>
      <c r="I632" s="1">
        <v>45822</v>
      </c>
      <c r="J632" s="3">
        <v>75.400000000000006</v>
      </c>
      <c r="K632" s="2">
        <f>Table4[[#This Row],[Stock-Quantity]]*Table4[[#This Row],[Unit-Price]]</f>
        <v>44089.279999999999</v>
      </c>
      <c r="L632" s="2">
        <f>Table4[[#This Row],[Stock-Quantity]]*Table4[[#This Row],[Margin-Unit]]</f>
        <v>8746.4000000000015</v>
      </c>
      <c r="M632">
        <f>Table4[[#This Row],[Date-Sales]]-Table4[[#This Row],[Date-Received]]</f>
        <v>18</v>
      </c>
      <c r="N632" s="6">
        <f>Table4[[#This Row],[Margin-Unit]]/Table4[[#This Row],[Unit-Price]]</f>
        <v>0.19837928857082721</v>
      </c>
    </row>
    <row r="633" spans="1:14" x14ac:dyDescent="0.3">
      <c r="A633" t="s">
        <v>676</v>
      </c>
      <c r="B633" t="s">
        <v>74</v>
      </c>
      <c r="C633" t="s">
        <v>29</v>
      </c>
      <c r="D633" t="s">
        <v>18</v>
      </c>
      <c r="E633" t="s">
        <v>19</v>
      </c>
      <c r="F633">
        <v>463</v>
      </c>
      <c r="G633" s="3">
        <v>199.72</v>
      </c>
      <c r="H633" s="1">
        <v>45700</v>
      </c>
      <c r="I633" s="1">
        <v>45718</v>
      </c>
      <c r="J633" s="3">
        <v>34.020000000000003</v>
      </c>
      <c r="K633" s="2">
        <f>Table4[[#This Row],[Stock-Quantity]]*Table4[[#This Row],[Unit-Price]]</f>
        <v>92470.36</v>
      </c>
      <c r="L633" s="2">
        <f>Table4[[#This Row],[Stock-Quantity]]*Table4[[#This Row],[Margin-Unit]]</f>
        <v>15751.260000000002</v>
      </c>
      <c r="M633">
        <f>Table4[[#This Row],[Date-Sales]]-Table4[[#This Row],[Date-Received]]</f>
        <v>18</v>
      </c>
      <c r="N633" s="6">
        <f>Table4[[#This Row],[Margin-Unit]]/Table4[[#This Row],[Unit-Price]]</f>
        <v>0.17033847386340878</v>
      </c>
    </row>
    <row r="634" spans="1:14" x14ac:dyDescent="0.3">
      <c r="A634" t="s">
        <v>677</v>
      </c>
      <c r="B634" t="s">
        <v>80</v>
      </c>
      <c r="C634" t="s">
        <v>29</v>
      </c>
      <c r="D634" t="s">
        <v>40</v>
      </c>
      <c r="E634" t="s">
        <v>41</v>
      </c>
      <c r="F634">
        <v>151</v>
      </c>
      <c r="G634" s="3">
        <v>394.17</v>
      </c>
      <c r="H634" s="1">
        <v>45760</v>
      </c>
      <c r="I634" s="1">
        <v>45778</v>
      </c>
      <c r="J634" s="3">
        <v>69.63</v>
      </c>
      <c r="K634" s="2">
        <f>Table4[[#This Row],[Stock-Quantity]]*Table4[[#This Row],[Unit-Price]]</f>
        <v>59519.670000000006</v>
      </c>
      <c r="L634" s="2">
        <f>Table4[[#This Row],[Stock-Quantity]]*Table4[[#This Row],[Margin-Unit]]</f>
        <v>10514.13</v>
      </c>
      <c r="M634">
        <f>Table4[[#This Row],[Date-Sales]]-Table4[[#This Row],[Date-Received]]</f>
        <v>18</v>
      </c>
      <c r="N634" s="6">
        <f>Table4[[#This Row],[Margin-Unit]]/Table4[[#This Row],[Unit-Price]]</f>
        <v>0.17664966892457568</v>
      </c>
    </row>
    <row r="635" spans="1:14" x14ac:dyDescent="0.3">
      <c r="A635" t="s">
        <v>678</v>
      </c>
      <c r="B635" t="s">
        <v>70</v>
      </c>
      <c r="C635" t="s">
        <v>35</v>
      </c>
      <c r="D635" t="s">
        <v>18</v>
      </c>
      <c r="E635" t="s">
        <v>19</v>
      </c>
      <c r="F635">
        <v>370</v>
      </c>
      <c r="G635" s="3">
        <v>274.79000000000002</v>
      </c>
      <c r="H635" s="1">
        <v>45701</v>
      </c>
      <c r="I635" s="1">
        <v>45716</v>
      </c>
      <c r="J635" s="3">
        <v>61.65</v>
      </c>
      <c r="K635" s="2">
        <f>Table4[[#This Row],[Stock-Quantity]]*Table4[[#This Row],[Unit-Price]]</f>
        <v>101672.3</v>
      </c>
      <c r="L635" s="2">
        <f>Table4[[#This Row],[Stock-Quantity]]*Table4[[#This Row],[Margin-Unit]]</f>
        <v>22810.5</v>
      </c>
      <c r="M635">
        <f>Table4[[#This Row],[Date-Sales]]-Table4[[#This Row],[Date-Received]]</f>
        <v>15</v>
      </c>
      <c r="N635" s="6">
        <f>Table4[[#This Row],[Margin-Unit]]/Table4[[#This Row],[Unit-Price]]</f>
        <v>0.22435314239965062</v>
      </c>
    </row>
    <row r="636" spans="1:14" x14ac:dyDescent="0.3">
      <c r="A636" t="s">
        <v>679</v>
      </c>
      <c r="B636" t="s">
        <v>43</v>
      </c>
      <c r="C636" t="s">
        <v>35</v>
      </c>
      <c r="D636" t="s">
        <v>40</v>
      </c>
      <c r="E636" t="s">
        <v>41</v>
      </c>
      <c r="F636">
        <v>104</v>
      </c>
      <c r="G636" s="3">
        <v>207.62</v>
      </c>
      <c r="H636" s="1">
        <v>45695</v>
      </c>
      <c r="I636" s="1">
        <v>45710</v>
      </c>
      <c r="J636" s="3">
        <v>42.03</v>
      </c>
      <c r="K636" s="2">
        <f>Table4[[#This Row],[Stock-Quantity]]*Table4[[#This Row],[Unit-Price]]</f>
        <v>21592.48</v>
      </c>
      <c r="L636" s="2">
        <f>Table4[[#This Row],[Stock-Quantity]]*Table4[[#This Row],[Margin-Unit]]</f>
        <v>4371.12</v>
      </c>
      <c r="M636">
        <f>Table4[[#This Row],[Date-Sales]]-Table4[[#This Row],[Date-Received]]</f>
        <v>15</v>
      </c>
      <c r="N636" s="6">
        <f>Table4[[#This Row],[Margin-Unit]]/Table4[[#This Row],[Unit-Price]]</f>
        <v>0.20243714478373953</v>
      </c>
    </row>
    <row r="637" spans="1:14" x14ac:dyDescent="0.3">
      <c r="A637" t="s">
        <v>680</v>
      </c>
      <c r="B637" t="s">
        <v>43</v>
      </c>
      <c r="C637" t="s">
        <v>35</v>
      </c>
      <c r="D637" t="s">
        <v>13</v>
      </c>
      <c r="E637" t="s">
        <v>14</v>
      </c>
      <c r="F637">
        <v>93</v>
      </c>
      <c r="G637" s="3">
        <v>355.82</v>
      </c>
      <c r="H637" s="1">
        <v>45832</v>
      </c>
      <c r="I637" s="1">
        <v>45859</v>
      </c>
      <c r="J637" s="3">
        <v>75.59</v>
      </c>
      <c r="K637" s="2">
        <f>Table4[[#This Row],[Stock-Quantity]]*Table4[[#This Row],[Unit-Price]]</f>
        <v>33091.26</v>
      </c>
      <c r="L637" s="2">
        <f>Table4[[#This Row],[Stock-Quantity]]*Table4[[#This Row],[Margin-Unit]]</f>
        <v>7029.87</v>
      </c>
      <c r="M637">
        <f>Table4[[#This Row],[Date-Sales]]-Table4[[#This Row],[Date-Received]]</f>
        <v>27</v>
      </c>
      <c r="N637" s="6">
        <f>Table4[[#This Row],[Margin-Unit]]/Table4[[#This Row],[Unit-Price]]</f>
        <v>0.21243887358776911</v>
      </c>
    </row>
    <row r="638" spans="1:14" x14ac:dyDescent="0.3">
      <c r="A638" t="s">
        <v>681</v>
      </c>
      <c r="B638" t="s">
        <v>28</v>
      </c>
      <c r="C638" t="s">
        <v>29</v>
      </c>
      <c r="D638" t="s">
        <v>13</v>
      </c>
      <c r="E638" t="s">
        <v>14</v>
      </c>
      <c r="F638">
        <v>268</v>
      </c>
      <c r="G638" s="3">
        <v>46.62</v>
      </c>
      <c r="H638" s="1">
        <v>45771</v>
      </c>
      <c r="I638" s="1">
        <v>45786</v>
      </c>
      <c r="J638" s="3">
        <v>5.71</v>
      </c>
      <c r="K638" s="2">
        <f>Table4[[#This Row],[Stock-Quantity]]*Table4[[#This Row],[Unit-Price]]</f>
        <v>12494.16</v>
      </c>
      <c r="L638" s="2">
        <f>Table4[[#This Row],[Stock-Quantity]]*Table4[[#This Row],[Margin-Unit]]</f>
        <v>1530.28</v>
      </c>
      <c r="M638">
        <f>Table4[[#This Row],[Date-Sales]]-Table4[[#This Row],[Date-Received]]</f>
        <v>15</v>
      </c>
      <c r="N638" s="6">
        <f>Table4[[#This Row],[Margin-Unit]]/Table4[[#This Row],[Unit-Price]]</f>
        <v>0.12247962247962249</v>
      </c>
    </row>
    <row r="639" spans="1:14" x14ac:dyDescent="0.3">
      <c r="A639" t="s">
        <v>682</v>
      </c>
      <c r="B639" t="s">
        <v>24</v>
      </c>
      <c r="C639" t="s">
        <v>22</v>
      </c>
      <c r="D639" t="s">
        <v>30</v>
      </c>
      <c r="E639" t="s">
        <v>31</v>
      </c>
      <c r="F639">
        <v>311</v>
      </c>
      <c r="G639" s="3">
        <v>84.77</v>
      </c>
      <c r="H639" s="1">
        <v>45721</v>
      </c>
      <c r="I639" s="1">
        <v>45733</v>
      </c>
      <c r="J639" s="3">
        <v>8.9600000000000009</v>
      </c>
      <c r="K639" s="2">
        <f>Table4[[#This Row],[Stock-Quantity]]*Table4[[#This Row],[Unit-Price]]</f>
        <v>26363.469999999998</v>
      </c>
      <c r="L639" s="2">
        <f>Table4[[#This Row],[Stock-Quantity]]*Table4[[#This Row],[Margin-Unit]]</f>
        <v>2786.5600000000004</v>
      </c>
      <c r="M639">
        <f>Table4[[#This Row],[Date-Sales]]-Table4[[#This Row],[Date-Received]]</f>
        <v>12</v>
      </c>
      <c r="N639" s="6">
        <f>Table4[[#This Row],[Margin-Unit]]/Table4[[#This Row],[Unit-Price]]</f>
        <v>0.10569777043765484</v>
      </c>
    </row>
    <row r="640" spans="1:14" x14ac:dyDescent="0.3">
      <c r="A640" t="s">
        <v>683</v>
      </c>
      <c r="B640" t="s">
        <v>43</v>
      </c>
      <c r="C640" t="s">
        <v>35</v>
      </c>
      <c r="D640" t="s">
        <v>30</v>
      </c>
      <c r="E640" t="s">
        <v>31</v>
      </c>
      <c r="F640">
        <v>55</v>
      </c>
      <c r="G640" s="3">
        <v>491.88</v>
      </c>
      <c r="H640" s="1">
        <v>45818</v>
      </c>
      <c r="I640" s="1">
        <v>45822</v>
      </c>
      <c r="J640" s="3">
        <v>100.85</v>
      </c>
      <c r="K640" s="2">
        <f>Table4[[#This Row],[Stock-Quantity]]*Table4[[#This Row],[Unit-Price]]</f>
        <v>27053.4</v>
      </c>
      <c r="L640" s="2">
        <f>Table4[[#This Row],[Stock-Quantity]]*Table4[[#This Row],[Margin-Unit]]</f>
        <v>5546.75</v>
      </c>
      <c r="M640">
        <f>Table4[[#This Row],[Date-Sales]]-Table4[[#This Row],[Date-Received]]</f>
        <v>4</v>
      </c>
      <c r="N640" s="6">
        <f>Table4[[#This Row],[Margin-Unit]]/Table4[[#This Row],[Unit-Price]]</f>
        <v>0.20502968203626901</v>
      </c>
    </row>
    <row r="641" spans="1:14" x14ac:dyDescent="0.3">
      <c r="A641" t="s">
        <v>684</v>
      </c>
      <c r="B641" t="s">
        <v>43</v>
      </c>
      <c r="C641" t="s">
        <v>35</v>
      </c>
      <c r="D641" t="s">
        <v>30</v>
      </c>
      <c r="E641" t="s">
        <v>31</v>
      </c>
      <c r="F641">
        <v>343</v>
      </c>
      <c r="G641" s="3">
        <v>424.17</v>
      </c>
      <c r="H641" s="1">
        <v>45784</v>
      </c>
      <c r="I641" s="1">
        <v>45807</v>
      </c>
      <c r="J641" s="3">
        <v>110.64</v>
      </c>
      <c r="K641" s="2">
        <f>Table4[[#This Row],[Stock-Quantity]]*Table4[[#This Row],[Unit-Price]]</f>
        <v>145490.31</v>
      </c>
      <c r="L641" s="2">
        <f>Table4[[#This Row],[Stock-Quantity]]*Table4[[#This Row],[Margin-Unit]]</f>
        <v>37949.519999999997</v>
      </c>
      <c r="M641">
        <f>Table4[[#This Row],[Date-Sales]]-Table4[[#This Row],[Date-Received]]</f>
        <v>23</v>
      </c>
      <c r="N641" s="6">
        <f>Table4[[#This Row],[Margin-Unit]]/Table4[[#This Row],[Unit-Price]]</f>
        <v>0.26083881462621117</v>
      </c>
    </row>
    <row r="642" spans="1:14" x14ac:dyDescent="0.3">
      <c r="A642" t="s">
        <v>685</v>
      </c>
      <c r="B642" t="s">
        <v>47</v>
      </c>
      <c r="C642" t="s">
        <v>17</v>
      </c>
      <c r="D642" t="s">
        <v>18</v>
      </c>
      <c r="E642" t="s">
        <v>19</v>
      </c>
      <c r="F642">
        <v>326</v>
      </c>
      <c r="G642" s="3">
        <v>30.38</v>
      </c>
      <c r="H642" s="1">
        <v>45797</v>
      </c>
      <c r="I642" s="1">
        <v>45803</v>
      </c>
      <c r="J642" s="3">
        <v>7.41</v>
      </c>
      <c r="K642" s="2">
        <f>Table4[[#This Row],[Stock-Quantity]]*Table4[[#This Row],[Unit-Price]]</f>
        <v>9903.8799999999992</v>
      </c>
      <c r="L642" s="2">
        <f>Table4[[#This Row],[Stock-Quantity]]*Table4[[#This Row],[Margin-Unit]]</f>
        <v>2415.66</v>
      </c>
      <c r="M642">
        <f>Table4[[#This Row],[Date-Sales]]-Table4[[#This Row],[Date-Received]]</f>
        <v>6</v>
      </c>
      <c r="N642" s="6">
        <f>Table4[[#This Row],[Margin-Unit]]/Table4[[#This Row],[Unit-Price]]</f>
        <v>0.24391046741277159</v>
      </c>
    </row>
    <row r="643" spans="1:14" x14ac:dyDescent="0.3">
      <c r="A643" t="s">
        <v>686</v>
      </c>
      <c r="B643" t="s">
        <v>106</v>
      </c>
      <c r="C643" t="s">
        <v>17</v>
      </c>
      <c r="D643" t="s">
        <v>13</v>
      </c>
      <c r="E643" t="s">
        <v>14</v>
      </c>
      <c r="F643">
        <v>354</v>
      </c>
      <c r="G643" s="3">
        <v>137.19</v>
      </c>
      <c r="H643" s="1">
        <v>45703</v>
      </c>
      <c r="I643" s="1">
        <v>45709</v>
      </c>
      <c r="J643" s="3">
        <v>36.14</v>
      </c>
      <c r="K643" s="2">
        <f>Table4[[#This Row],[Stock-Quantity]]*Table4[[#This Row],[Unit-Price]]</f>
        <v>48565.26</v>
      </c>
      <c r="L643" s="2">
        <f>Table4[[#This Row],[Stock-Quantity]]*Table4[[#This Row],[Margin-Unit]]</f>
        <v>12793.56</v>
      </c>
      <c r="M643">
        <f>Table4[[#This Row],[Date-Sales]]-Table4[[#This Row],[Date-Received]]</f>
        <v>6</v>
      </c>
      <c r="N643" s="6">
        <f>Table4[[#This Row],[Margin-Unit]]/Table4[[#This Row],[Unit-Price]]</f>
        <v>0.263430279174867</v>
      </c>
    </row>
    <row r="644" spans="1:14" x14ac:dyDescent="0.3">
      <c r="A644" t="s">
        <v>687</v>
      </c>
      <c r="B644" t="s">
        <v>94</v>
      </c>
      <c r="C644" t="s">
        <v>29</v>
      </c>
      <c r="D644" t="s">
        <v>25</v>
      </c>
      <c r="E644" t="s">
        <v>26</v>
      </c>
      <c r="F644">
        <v>478</v>
      </c>
      <c r="G644" s="3">
        <v>169.57</v>
      </c>
      <c r="H644" s="1">
        <v>45811</v>
      </c>
      <c r="I644" s="1">
        <v>45818</v>
      </c>
      <c r="J644" s="3">
        <v>22.61</v>
      </c>
      <c r="K644" s="2">
        <f>Table4[[#This Row],[Stock-Quantity]]*Table4[[#This Row],[Unit-Price]]</f>
        <v>81054.459999999992</v>
      </c>
      <c r="L644" s="2">
        <f>Table4[[#This Row],[Stock-Quantity]]*Table4[[#This Row],[Margin-Unit]]</f>
        <v>10807.58</v>
      </c>
      <c r="M644">
        <f>Table4[[#This Row],[Date-Sales]]-Table4[[#This Row],[Date-Received]]</f>
        <v>7</v>
      </c>
      <c r="N644" s="6">
        <f>Table4[[#This Row],[Margin-Unit]]/Table4[[#This Row],[Unit-Price]]</f>
        <v>0.13333726484637612</v>
      </c>
    </row>
    <row r="645" spans="1:14" x14ac:dyDescent="0.3">
      <c r="A645" t="s">
        <v>688</v>
      </c>
      <c r="B645" t="s">
        <v>43</v>
      </c>
      <c r="C645" t="s">
        <v>35</v>
      </c>
      <c r="D645" t="s">
        <v>13</v>
      </c>
      <c r="E645" t="s">
        <v>14</v>
      </c>
      <c r="F645">
        <v>429</v>
      </c>
      <c r="G645" s="3">
        <v>380.39</v>
      </c>
      <c r="H645" s="1">
        <v>45661</v>
      </c>
      <c r="I645" s="1">
        <v>45663</v>
      </c>
      <c r="J645" s="3">
        <v>113.77</v>
      </c>
      <c r="K645" s="2">
        <f>Table4[[#This Row],[Stock-Quantity]]*Table4[[#This Row],[Unit-Price]]</f>
        <v>163187.31</v>
      </c>
      <c r="L645" s="2">
        <f>Table4[[#This Row],[Stock-Quantity]]*Table4[[#This Row],[Margin-Unit]]</f>
        <v>48807.33</v>
      </c>
      <c r="M645">
        <f>Table4[[#This Row],[Date-Sales]]-Table4[[#This Row],[Date-Received]]</f>
        <v>2</v>
      </c>
      <c r="N645" s="6">
        <f>Table4[[#This Row],[Margin-Unit]]/Table4[[#This Row],[Unit-Price]]</f>
        <v>0.29908777833276373</v>
      </c>
    </row>
    <row r="646" spans="1:14" x14ac:dyDescent="0.3">
      <c r="A646" t="s">
        <v>689</v>
      </c>
      <c r="B646" t="s">
        <v>80</v>
      </c>
      <c r="C646" t="s">
        <v>29</v>
      </c>
      <c r="D646" t="s">
        <v>30</v>
      </c>
      <c r="E646" t="s">
        <v>31</v>
      </c>
      <c r="F646">
        <v>213</v>
      </c>
      <c r="G646" s="3">
        <v>121.45</v>
      </c>
      <c r="H646" s="1">
        <v>45756</v>
      </c>
      <c r="I646" s="1">
        <v>45764</v>
      </c>
      <c r="J646" s="3">
        <v>23.08</v>
      </c>
      <c r="K646" s="2">
        <f>Table4[[#This Row],[Stock-Quantity]]*Table4[[#This Row],[Unit-Price]]</f>
        <v>25868.850000000002</v>
      </c>
      <c r="L646" s="2">
        <f>Table4[[#This Row],[Stock-Quantity]]*Table4[[#This Row],[Margin-Unit]]</f>
        <v>4916.04</v>
      </c>
      <c r="M646">
        <f>Table4[[#This Row],[Date-Sales]]-Table4[[#This Row],[Date-Received]]</f>
        <v>8</v>
      </c>
      <c r="N646" s="6">
        <f>Table4[[#This Row],[Margin-Unit]]/Table4[[#This Row],[Unit-Price]]</f>
        <v>0.19003705228489087</v>
      </c>
    </row>
    <row r="647" spans="1:14" x14ac:dyDescent="0.3">
      <c r="A647" t="s">
        <v>690</v>
      </c>
      <c r="B647" t="s">
        <v>116</v>
      </c>
      <c r="C647" t="s">
        <v>12</v>
      </c>
      <c r="D647" t="s">
        <v>13</v>
      </c>
      <c r="E647" t="s">
        <v>14</v>
      </c>
      <c r="F647">
        <v>322</v>
      </c>
      <c r="G647" s="3">
        <v>320.86</v>
      </c>
      <c r="H647" s="1">
        <v>45800</v>
      </c>
      <c r="I647" s="1">
        <v>45808</v>
      </c>
      <c r="J647" s="3">
        <v>63.32</v>
      </c>
      <c r="K647" s="2">
        <f>Table4[[#This Row],[Stock-Quantity]]*Table4[[#This Row],[Unit-Price]]</f>
        <v>103316.92</v>
      </c>
      <c r="L647" s="2">
        <f>Table4[[#This Row],[Stock-Quantity]]*Table4[[#This Row],[Margin-Unit]]</f>
        <v>20389.04</v>
      </c>
      <c r="M647">
        <f>Table4[[#This Row],[Date-Sales]]-Table4[[#This Row],[Date-Received]]</f>
        <v>8</v>
      </c>
      <c r="N647" s="6">
        <f>Table4[[#This Row],[Margin-Unit]]/Table4[[#This Row],[Unit-Price]]</f>
        <v>0.1973446362899707</v>
      </c>
    </row>
    <row r="648" spans="1:14" x14ac:dyDescent="0.3">
      <c r="A648" t="s">
        <v>691</v>
      </c>
      <c r="B648" t="s">
        <v>94</v>
      </c>
      <c r="C648" t="s">
        <v>29</v>
      </c>
      <c r="D648" t="s">
        <v>25</v>
      </c>
      <c r="E648" t="s">
        <v>26</v>
      </c>
      <c r="F648">
        <v>99</v>
      </c>
      <c r="G648" s="3">
        <v>394.89</v>
      </c>
      <c r="H648" s="1">
        <v>45728</v>
      </c>
      <c r="I648" s="1">
        <v>45739</v>
      </c>
      <c r="J648" s="3">
        <v>101.62</v>
      </c>
      <c r="K648" s="2">
        <f>Table4[[#This Row],[Stock-Quantity]]*Table4[[#This Row],[Unit-Price]]</f>
        <v>39094.11</v>
      </c>
      <c r="L648" s="2">
        <f>Table4[[#This Row],[Stock-Quantity]]*Table4[[#This Row],[Margin-Unit]]</f>
        <v>10060.380000000001</v>
      </c>
      <c r="M648">
        <f>Table4[[#This Row],[Date-Sales]]-Table4[[#This Row],[Date-Received]]</f>
        <v>11</v>
      </c>
      <c r="N648" s="6">
        <f>Table4[[#This Row],[Margin-Unit]]/Table4[[#This Row],[Unit-Price]]</f>
        <v>0.25733748638861459</v>
      </c>
    </row>
    <row r="649" spans="1:14" x14ac:dyDescent="0.3">
      <c r="A649" t="s">
        <v>692</v>
      </c>
      <c r="B649" t="s">
        <v>52</v>
      </c>
      <c r="C649" t="s">
        <v>12</v>
      </c>
      <c r="D649" t="s">
        <v>25</v>
      </c>
      <c r="E649" t="s">
        <v>26</v>
      </c>
      <c r="F649">
        <v>189</v>
      </c>
      <c r="G649" s="3">
        <v>374.99</v>
      </c>
      <c r="H649" s="1">
        <v>45728</v>
      </c>
      <c r="I649" s="1">
        <v>45739</v>
      </c>
      <c r="J649" s="3">
        <v>44.93</v>
      </c>
      <c r="K649" s="2">
        <f>Table4[[#This Row],[Stock-Quantity]]*Table4[[#This Row],[Unit-Price]]</f>
        <v>70873.11</v>
      </c>
      <c r="L649" s="2">
        <f>Table4[[#This Row],[Stock-Quantity]]*Table4[[#This Row],[Margin-Unit]]</f>
        <v>8491.77</v>
      </c>
      <c r="M649">
        <f>Table4[[#This Row],[Date-Sales]]-Table4[[#This Row],[Date-Received]]</f>
        <v>11</v>
      </c>
      <c r="N649" s="6">
        <f>Table4[[#This Row],[Margin-Unit]]/Table4[[#This Row],[Unit-Price]]</f>
        <v>0.11981652844075842</v>
      </c>
    </row>
    <row r="650" spans="1:14" x14ac:dyDescent="0.3">
      <c r="A650" t="s">
        <v>693</v>
      </c>
      <c r="B650" t="s">
        <v>106</v>
      </c>
      <c r="C650" t="s">
        <v>17</v>
      </c>
      <c r="D650" t="s">
        <v>30</v>
      </c>
      <c r="E650" t="s">
        <v>31</v>
      </c>
      <c r="F650">
        <v>189</v>
      </c>
      <c r="G650" s="3">
        <v>461.91</v>
      </c>
      <c r="H650" s="1">
        <v>45821</v>
      </c>
      <c r="I650" s="1">
        <v>45829</v>
      </c>
      <c r="J650" s="3">
        <v>76.98</v>
      </c>
      <c r="K650" s="2">
        <f>Table4[[#This Row],[Stock-Quantity]]*Table4[[#This Row],[Unit-Price]]</f>
        <v>87300.99</v>
      </c>
      <c r="L650" s="2">
        <f>Table4[[#This Row],[Stock-Quantity]]*Table4[[#This Row],[Margin-Unit]]</f>
        <v>14549.220000000001</v>
      </c>
      <c r="M650">
        <f>Table4[[#This Row],[Date-Sales]]-Table4[[#This Row],[Date-Received]]</f>
        <v>8</v>
      </c>
      <c r="N650" s="6">
        <f>Table4[[#This Row],[Margin-Unit]]/Table4[[#This Row],[Unit-Price]]</f>
        <v>0.16665584204715203</v>
      </c>
    </row>
    <row r="651" spans="1:14" x14ac:dyDescent="0.3">
      <c r="A651" t="s">
        <v>694</v>
      </c>
      <c r="B651" t="s">
        <v>34</v>
      </c>
      <c r="C651" t="s">
        <v>35</v>
      </c>
      <c r="D651" t="s">
        <v>40</v>
      </c>
      <c r="E651" t="s">
        <v>41</v>
      </c>
      <c r="F651">
        <v>237</v>
      </c>
      <c r="G651" s="3">
        <v>404.1</v>
      </c>
      <c r="H651" s="1">
        <v>45774</v>
      </c>
      <c r="I651" s="1">
        <v>45776</v>
      </c>
      <c r="J651" s="3">
        <v>89.63</v>
      </c>
      <c r="K651" s="2">
        <f>Table4[[#This Row],[Stock-Quantity]]*Table4[[#This Row],[Unit-Price]]</f>
        <v>95771.700000000012</v>
      </c>
      <c r="L651" s="2">
        <f>Table4[[#This Row],[Stock-Quantity]]*Table4[[#This Row],[Margin-Unit]]</f>
        <v>21242.309999999998</v>
      </c>
      <c r="M651">
        <f>Table4[[#This Row],[Date-Sales]]-Table4[[#This Row],[Date-Received]]</f>
        <v>2</v>
      </c>
      <c r="N651" s="6">
        <f>Table4[[#This Row],[Margin-Unit]]/Table4[[#This Row],[Unit-Price]]</f>
        <v>0.22180153427369462</v>
      </c>
    </row>
    <row r="652" spans="1:14" x14ac:dyDescent="0.3">
      <c r="A652" t="s">
        <v>695</v>
      </c>
      <c r="B652" t="s">
        <v>65</v>
      </c>
      <c r="C652" t="s">
        <v>22</v>
      </c>
      <c r="D652" t="s">
        <v>13</v>
      </c>
      <c r="E652" t="s">
        <v>14</v>
      </c>
      <c r="F652">
        <v>178</v>
      </c>
      <c r="G652" s="3">
        <v>129.06</v>
      </c>
      <c r="H652" s="1">
        <v>45799</v>
      </c>
      <c r="I652" s="1">
        <v>45827</v>
      </c>
      <c r="J652" s="3">
        <v>25.65</v>
      </c>
      <c r="K652" s="2">
        <f>Table4[[#This Row],[Stock-Quantity]]*Table4[[#This Row],[Unit-Price]]</f>
        <v>22972.68</v>
      </c>
      <c r="L652" s="2">
        <f>Table4[[#This Row],[Stock-Quantity]]*Table4[[#This Row],[Margin-Unit]]</f>
        <v>4565.7</v>
      </c>
      <c r="M652">
        <f>Table4[[#This Row],[Date-Sales]]-Table4[[#This Row],[Date-Received]]</f>
        <v>28</v>
      </c>
      <c r="N652" s="6">
        <f>Table4[[#This Row],[Margin-Unit]]/Table4[[#This Row],[Unit-Price]]</f>
        <v>0.19874476987447698</v>
      </c>
    </row>
    <row r="653" spans="1:14" x14ac:dyDescent="0.3">
      <c r="A653" t="s">
        <v>696</v>
      </c>
      <c r="B653" t="s">
        <v>24</v>
      </c>
      <c r="C653" t="s">
        <v>22</v>
      </c>
      <c r="D653" t="s">
        <v>30</v>
      </c>
      <c r="E653" t="s">
        <v>31</v>
      </c>
      <c r="F653">
        <v>81</v>
      </c>
      <c r="G653" s="3">
        <v>410.45</v>
      </c>
      <c r="H653" s="1">
        <v>45766</v>
      </c>
      <c r="I653" s="1">
        <v>45778</v>
      </c>
      <c r="J653" s="3">
        <v>96.66</v>
      </c>
      <c r="K653" s="2">
        <f>Table4[[#This Row],[Stock-Quantity]]*Table4[[#This Row],[Unit-Price]]</f>
        <v>33246.449999999997</v>
      </c>
      <c r="L653" s="2">
        <f>Table4[[#This Row],[Stock-Quantity]]*Table4[[#This Row],[Margin-Unit]]</f>
        <v>7829.46</v>
      </c>
      <c r="M653">
        <f>Table4[[#This Row],[Date-Sales]]-Table4[[#This Row],[Date-Received]]</f>
        <v>12</v>
      </c>
      <c r="N653" s="6">
        <f>Table4[[#This Row],[Margin-Unit]]/Table4[[#This Row],[Unit-Price]]</f>
        <v>0.2354976245584115</v>
      </c>
    </row>
    <row r="654" spans="1:14" x14ac:dyDescent="0.3">
      <c r="A654" t="s">
        <v>697</v>
      </c>
      <c r="B654" t="s">
        <v>65</v>
      </c>
      <c r="C654" t="s">
        <v>22</v>
      </c>
      <c r="D654" t="s">
        <v>40</v>
      </c>
      <c r="E654" t="s">
        <v>41</v>
      </c>
      <c r="F654">
        <v>356</v>
      </c>
      <c r="G654" s="3">
        <v>132.37</v>
      </c>
      <c r="H654" s="1">
        <v>45762</v>
      </c>
      <c r="I654" s="1">
        <v>45770</v>
      </c>
      <c r="J654" s="3">
        <v>38.4</v>
      </c>
      <c r="K654" s="2">
        <f>Table4[[#This Row],[Stock-Quantity]]*Table4[[#This Row],[Unit-Price]]</f>
        <v>47123.72</v>
      </c>
      <c r="L654" s="2">
        <f>Table4[[#This Row],[Stock-Quantity]]*Table4[[#This Row],[Margin-Unit]]</f>
        <v>13670.4</v>
      </c>
      <c r="M654">
        <f>Table4[[#This Row],[Date-Sales]]-Table4[[#This Row],[Date-Received]]</f>
        <v>8</v>
      </c>
      <c r="N654" s="6">
        <f>Table4[[#This Row],[Margin-Unit]]/Table4[[#This Row],[Unit-Price]]</f>
        <v>0.29009594318954446</v>
      </c>
    </row>
    <row r="655" spans="1:14" x14ac:dyDescent="0.3">
      <c r="A655" t="s">
        <v>698</v>
      </c>
      <c r="B655" t="s">
        <v>50</v>
      </c>
      <c r="C655" t="s">
        <v>17</v>
      </c>
      <c r="D655" t="s">
        <v>18</v>
      </c>
      <c r="E655" t="s">
        <v>19</v>
      </c>
      <c r="F655">
        <v>153</v>
      </c>
      <c r="G655" s="3">
        <v>347.02</v>
      </c>
      <c r="H655" s="1">
        <v>45711</v>
      </c>
      <c r="I655" s="1">
        <v>45723</v>
      </c>
      <c r="J655" s="3">
        <v>83.56</v>
      </c>
      <c r="K655" s="2">
        <f>Table4[[#This Row],[Stock-Quantity]]*Table4[[#This Row],[Unit-Price]]</f>
        <v>53094.06</v>
      </c>
      <c r="L655" s="2">
        <f>Table4[[#This Row],[Stock-Quantity]]*Table4[[#This Row],[Margin-Unit]]</f>
        <v>12784.68</v>
      </c>
      <c r="M655">
        <f>Table4[[#This Row],[Date-Sales]]-Table4[[#This Row],[Date-Received]]</f>
        <v>12</v>
      </c>
      <c r="N655" s="6">
        <f>Table4[[#This Row],[Margin-Unit]]/Table4[[#This Row],[Unit-Price]]</f>
        <v>0.24079303786525275</v>
      </c>
    </row>
    <row r="656" spans="1:14" x14ac:dyDescent="0.3">
      <c r="A656" t="s">
        <v>699</v>
      </c>
      <c r="B656" t="s">
        <v>24</v>
      </c>
      <c r="C656" t="s">
        <v>22</v>
      </c>
      <c r="D656" t="s">
        <v>40</v>
      </c>
      <c r="E656" t="s">
        <v>41</v>
      </c>
      <c r="F656">
        <v>223</v>
      </c>
      <c r="G656" s="3">
        <v>314.98</v>
      </c>
      <c r="H656" s="1">
        <v>45701</v>
      </c>
      <c r="I656" s="1">
        <v>45713</v>
      </c>
      <c r="J656" s="3">
        <v>69.489999999999995</v>
      </c>
      <c r="K656" s="2">
        <f>Table4[[#This Row],[Stock-Quantity]]*Table4[[#This Row],[Unit-Price]]</f>
        <v>70240.540000000008</v>
      </c>
      <c r="L656" s="2">
        <f>Table4[[#This Row],[Stock-Quantity]]*Table4[[#This Row],[Margin-Unit]]</f>
        <v>15496.269999999999</v>
      </c>
      <c r="M656">
        <f>Table4[[#This Row],[Date-Sales]]-Table4[[#This Row],[Date-Received]]</f>
        <v>12</v>
      </c>
      <c r="N656" s="6">
        <f>Table4[[#This Row],[Margin-Unit]]/Table4[[#This Row],[Unit-Price]]</f>
        <v>0.2206171820433043</v>
      </c>
    </row>
    <row r="657" spans="1:14" x14ac:dyDescent="0.3">
      <c r="A657" t="s">
        <v>700</v>
      </c>
      <c r="B657" t="s">
        <v>37</v>
      </c>
      <c r="C657" t="s">
        <v>22</v>
      </c>
      <c r="D657" t="s">
        <v>13</v>
      </c>
      <c r="E657" t="s">
        <v>14</v>
      </c>
      <c r="F657">
        <v>143</v>
      </c>
      <c r="G657" s="3">
        <v>256.25</v>
      </c>
      <c r="H657" s="1">
        <v>45804</v>
      </c>
      <c r="I657" s="1">
        <v>45826</v>
      </c>
      <c r="J657" s="3">
        <v>63.56</v>
      </c>
      <c r="K657" s="2">
        <f>Table4[[#This Row],[Stock-Quantity]]*Table4[[#This Row],[Unit-Price]]</f>
        <v>36643.75</v>
      </c>
      <c r="L657" s="2">
        <f>Table4[[#This Row],[Stock-Quantity]]*Table4[[#This Row],[Margin-Unit]]</f>
        <v>9089.08</v>
      </c>
      <c r="M657">
        <f>Table4[[#This Row],[Date-Sales]]-Table4[[#This Row],[Date-Received]]</f>
        <v>22</v>
      </c>
      <c r="N657" s="6">
        <f>Table4[[#This Row],[Margin-Unit]]/Table4[[#This Row],[Unit-Price]]</f>
        <v>0.24803902439024392</v>
      </c>
    </row>
    <row r="658" spans="1:14" x14ac:dyDescent="0.3">
      <c r="A658" t="s">
        <v>701</v>
      </c>
      <c r="B658" t="s">
        <v>11</v>
      </c>
      <c r="C658" t="s">
        <v>12</v>
      </c>
      <c r="D658" t="s">
        <v>13</v>
      </c>
      <c r="E658" t="s">
        <v>14</v>
      </c>
      <c r="F658">
        <v>259</v>
      </c>
      <c r="G658" s="3">
        <v>35.06</v>
      </c>
      <c r="H658" s="1">
        <v>45702</v>
      </c>
      <c r="I658" s="1">
        <v>45714</v>
      </c>
      <c r="J658" s="3">
        <v>7.41</v>
      </c>
      <c r="K658" s="2">
        <f>Table4[[#This Row],[Stock-Quantity]]*Table4[[#This Row],[Unit-Price]]</f>
        <v>9080.5400000000009</v>
      </c>
      <c r="L658" s="2">
        <f>Table4[[#This Row],[Stock-Quantity]]*Table4[[#This Row],[Margin-Unit]]</f>
        <v>1919.19</v>
      </c>
      <c r="M658">
        <f>Table4[[#This Row],[Date-Sales]]-Table4[[#This Row],[Date-Received]]</f>
        <v>12</v>
      </c>
      <c r="N658" s="6">
        <f>Table4[[#This Row],[Margin-Unit]]/Table4[[#This Row],[Unit-Price]]</f>
        <v>0.21135196805476325</v>
      </c>
    </row>
    <row r="659" spans="1:14" x14ac:dyDescent="0.3">
      <c r="A659" t="s">
        <v>702</v>
      </c>
      <c r="B659" t="s">
        <v>43</v>
      </c>
      <c r="C659" t="s">
        <v>35</v>
      </c>
      <c r="D659" t="s">
        <v>40</v>
      </c>
      <c r="E659" t="s">
        <v>41</v>
      </c>
      <c r="F659">
        <v>52</v>
      </c>
      <c r="G659" s="3">
        <v>85.56</v>
      </c>
      <c r="H659" s="1">
        <v>45673</v>
      </c>
      <c r="I659" s="1">
        <v>45688</v>
      </c>
      <c r="J659" s="3">
        <v>15.46</v>
      </c>
      <c r="K659" s="2">
        <f>Table4[[#This Row],[Stock-Quantity]]*Table4[[#This Row],[Unit-Price]]</f>
        <v>4449.12</v>
      </c>
      <c r="L659" s="2">
        <f>Table4[[#This Row],[Stock-Quantity]]*Table4[[#This Row],[Margin-Unit]]</f>
        <v>803.92000000000007</v>
      </c>
      <c r="M659">
        <f>Table4[[#This Row],[Date-Sales]]-Table4[[#This Row],[Date-Received]]</f>
        <v>15</v>
      </c>
      <c r="N659" s="6">
        <f>Table4[[#This Row],[Margin-Unit]]/Table4[[#This Row],[Unit-Price]]</f>
        <v>0.18069191210846192</v>
      </c>
    </row>
    <row r="660" spans="1:14" x14ac:dyDescent="0.3">
      <c r="A660" t="s">
        <v>703</v>
      </c>
      <c r="B660" t="s">
        <v>43</v>
      </c>
      <c r="C660" t="s">
        <v>35</v>
      </c>
      <c r="D660" t="s">
        <v>18</v>
      </c>
      <c r="E660" t="s">
        <v>19</v>
      </c>
      <c r="F660">
        <v>153</v>
      </c>
      <c r="G660" s="3">
        <v>112.4</v>
      </c>
      <c r="H660" s="1">
        <v>45732</v>
      </c>
      <c r="I660" s="1">
        <v>45735</v>
      </c>
      <c r="J660" s="3">
        <v>15.35</v>
      </c>
      <c r="K660" s="2">
        <f>Table4[[#This Row],[Stock-Quantity]]*Table4[[#This Row],[Unit-Price]]</f>
        <v>17197.2</v>
      </c>
      <c r="L660" s="2">
        <f>Table4[[#This Row],[Stock-Quantity]]*Table4[[#This Row],[Margin-Unit]]</f>
        <v>2348.5499999999997</v>
      </c>
      <c r="M660">
        <f>Table4[[#This Row],[Date-Sales]]-Table4[[#This Row],[Date-Received]]</f>
        <v>3</v>
      </c>
      <c r="N660" s="6">
        <f>Table4[[#This Row],[Margin-Unit]]/Table4[[#This Row],[Unit-Price]]</f>
        <v>0.13656583629893237</v>
      </c>
    </row>
    <row r="661" spans="1:14" x14ac:dyDescent="0.3">
      <c r="A661" t="s">
        <v>704</v>
      </c>
      <c r="B661" t="s">
        <v>52</v>
      </c>
      <c r="C661" t="s">
        <v>12</v>
      </c>
      <c r="D661" t="s">
        <v>40</v>
      </c>
      <c r="E661" t="s">
        <v>41</v>
      </c>
      <c r="F661">
        <v>426</v>
      </c>
      <c r="G661" s="3">
        <v>322.38</v>
      </c>
      <c r="H661" s="1">
        <v>45707</v>
      </c>
      <c r="I661" s="1">
        <v>45723</v>
      </c>
      <c r="J661" s="3">
        <v>48.66</v>
      </c>
      <c r="K661" s="2">
        <f>Table4[[#This Row],[Stock-Quantity]]*Table4[[#This Row],[Unit-Price]]</f>
        <v>137333.88</v>
      </c>
      <c r="L661" s="2">
        <f>Table4[[#This Row],[Stock-Quantity]]*Table4[[#This Row],[Margin-Unit]]</f>
        <v>20729.16</v>
      </c>
      <c r="M661">
        <f>Table4[[#This Row],[Date-Sales]]-Table4[[#This Row],[Date-Received]]</f>
        <v>16</v>
      </c>
      <c r="N661" s="6">
        <f>Table4[[#This Row],[Margin-Unit]]/Table4[[#This Row],[Unit-Price]]</f>
        <v>0.1509398846082263</v>
      </c>
    </row>
    <row r="662" spans="1:14" x14ac:dyDescent="0.3">
      <c r="A662" t="s">
        <v>705</v>
      </c>
      <c r="B662" t="s">
        <v>116</v>
      </c>
      <c r="C662" t="s">
        <v>12</v>
      </c>
      <c r="D662" t="s">
        <v>18</v>
      </c>
      <c r="E662" t="s">
        <v>19</v>
      </c>
      <c r="F662">
        <v>37</v>
      </c>
      <c r="G662" s="3">
        <v>413.14</v>
      </c>
      <c r="H662" s="1">
        <v>45799</v>
      </c>
      <c r="I662" s="1">
        <v>45808</v>
      </c>
      <c r="J662" s="3">
        <v>109.15</v>
      </c>
      <c r="K662" s="2">
        <f>Table4[[#This Row],[Stock-Quantity]]*Table4[[#This Row],[Unit-Price]]</f>
        <v>15286.18</v>
      </c>
      <c r="L662" s="2">
        <f>Table4[[#This Row],[Stock-Quantity]]*Table4[[#This Row],[Margin-Unit]]</f>
        <v>4038.55</v>
      </c>
      <c r="M662">
        <f>Table4[[#This Row],[Date-Sales]]-Table4[[#This Row],[Date-Received]]</f>
        <v>9</v>
      </c>
      <c r="N662" s="6">
        <f>Table4[[#This Row],[Margin-Unit]]/Table4[[#This Row],[Unit-Price]]</f>
        <v>0.26419615626664089</v>
      </c>
    </row>
    <row r="663" spans="1:14" x14ac:dyDescent="0.3">
      <c r="A663" t="s">
        <v>706</v>
      </c>
      <c r="B663" t="s">
        <v>65</v>
      </c>
      <c r="C663" t="s">
        <v>22</v>
      </c>
      <c r="D663" t="s">
        <v>13</v>
      </c>
      <c r="E663" t="s">
        <v>14</v>
      </c>
      <c r="F663">
        <v>347</v>
      </c>
      <c r="G663" s="3">
        <v>43.57</v>
      </c>
      <c r="H663" s="1">
        <v>45699</v>
      </c>
      <c r="I663" s="1">
        <v>45702</v>
      </c>
      <c r="J663" s="3">
        <v>4.91</v>
      </c>
      <c r="K663" s="2">
        <f>Table4[[#This Row],[Stock-Quantity]]*Table4[[#This Row],[Unit-Price]]</f>
        <v>15118.79</v>
      </c>
      <c r="L663" s="2">
        <f>Table4[[#This Row],[Stock-Quantity]]*Table4[[#This Row],[Margin-Unit]]</f>
        <v>1703.77</v>
      </c>
      <c r="M663">
        <f>Table4[[#This Row],[Date-Sales]]-Table4[[#This Row],[Date-Received]]</f>
        <v>3</v>
      </c>
      <c r="N663" s="6">
        <f>Table4[[#This Row],[Margin-Unit]]/Table4[[#This Row],[Unit-Price]]</f>
        <v>0.11269221941703007</v>
      </c>
    </row>
    <row r="664" spans="1:14" x14ac:dyDescent="0.3">
      <c r="A664" t="s">
        <v>707</v>
      </c>
      <c r="B664" t="s">
        <v>43</v>
      </c>
      <c r="C664" t="s">
        <v>35</v>
      </c>
      <c r="D664" t="s">
        <v>25</v>
      </c>
      <c r="E664" t="s">
        <v>26</v>
      </c>
      <c r="F664">
        <v>228</v>
      </c>
      <c r="G664" s="3">
        <v>339.45</v>
      </c>
      <c r="H664" s="1">
        <v>45821</v>
      </c>
      <c r="I664" s="1">
        <v>45843</v>
      </c>
      <c r="J664" s="3">
        <v>57.58</v>
      </c>
      <c r="K664" s="2">
        <f>Table4[[#This Row],[Stock-Quantity]]*Table4[[#This Row],[Unit-Price]]</f>
        <v>77394.599999999991</v>
      </c>
      <c r="L664" s="2">
        <f>Table4[[#This Row],[Stock-Quantity]]*Table4[[#This Row],[Margin-Unit]]</f>
        <v>13128.24</v>
      </c>
      <c r="M664">
        <f>Table4[[#This Row],[Date-Sales]]-Table4[[#This Row],[Date-Received]]</f>
        <v>22</v>
      </c>
      <c r="N664" s="6">
        <f>Table4[[#This Row],[Margin-Unit]]/Table4[[#This Row],[Unit-Price]]</f>
        <v>0.16962733834143467</v>
      </c>
    </row>
    <row r="665" spans="1:14" x14ac:dyDescent="0.3">
      <c r="A665" t="s">
        <v>708</v>
      </c>
      <c r="B665" t="s">
        <v>63</v>
      </c>
      <c r="C665" t="s">
        <v>35</v>
      </c>
      <c r="D665" t="s">
        <v>40</v>
      </c>
      <c r="E665" t="s">
        <v>41</v>
      </c>
      <c r="F665">
        <v>264</v>
      </c>
      <c r="G665" s="3">
        <v>452.35</v>
      </c>
      <c r="H665" s="1">
        <v>45665</v>
      </c>
      <c r="I665" s="1">
        <v>45670</v>
      </c>
      <c r="J665" s="3">
        <v>53</v>
      </c>
      <c r="K665" s="2">
        <f>Table4[[#This Row],[Stock-Quantity]]*Table4[[#This Row],[Unit-Price]]</f>
        <v>119420.40000000001</v>
      </c>
      <c r="L665" s="2">
        <f>Table4[[#This Row],[Stock-Quantity]]*Table4[[#This Row],[Margin-Unit]]</f>
        <v>13992</v>
      </c>
      <c r="M665">
        <f>Table4[[#This Row],[Date-Sales]]-Table4[[#This Row],[Date-Received]]</f>
        <v>5</v>
      </c>
      <c r="N665" s="6">
        <f>Table4[[#This Row],[Margin-Unit]]/Table4[[#This Row],[Unit-Price]]</f>
        <v>0.11716591135182933</v>
      </c>
    </row>
    <row r="666" spans="1:14" x14ac:dyDescent="0.3">
      <c r="A666" t="s">
        <v>709</v>
      </c>
      <c r="B666" t="s">
        <v>37</v>
      </c>
      <c r="C666" t="s">
        <v>22</v>
      </c>
      <c r="D666" t="s">
        <v>40</v>
      </c>
      <c r="E666" t="s">
        <v>41</v>
      </c>
      <c r="F666">
        <v>238</v>
      </c>
      <c r="G666" s="3">
        <v>458</v>
      </c>
      <c r="H666" s="1">
        <v>45668</v>
      </c>
      <c r="I666" s="1">
        <v>45697</v>
      </c>
      <c r="J666" s="3">
        <v>135.02000000000001</v>
      </c>
      <c r="K666" s="2">
        <f>Table4[[#This Row],[Stock-Quantity]]*Table4[[#This Row],[Unit-Price]]</f>
        <v>109004</v>
      </c>
      <c r="L666" s="2">
        <f>Table4[[#This Row],[Stock-Quantity]]*Table4[[#This Row],[Margin-Unit]]</f>
        <v>32134.760000000002</v>
      </c>
      <c r="M666">
        <f>Table4[[#This Row],[Date-Sales]]-Table4[[#This Row],[Date-Received]]</f>
        <v>29</v>
      </c>
      <c r="N666" s="6">
        <f>Table4[[#This Row],[Margin-Unit]]/Table4[[#This Row],[Unit-Price]]</f>
        <v>0.29480349344978168</v>
      </c>
    </row>
    <row r="667" spans="1:14" x14ac:dyDescent="0.3">
      <c r="A667" t="s">
        <v>710</v>
      </c>
      <c r="B667" t="s">
        <v>39</v>
      </c>
      <c r="C667" t="s">
        <v>12</v>
      </c>
      <c r="D667" t="s">
        <v>40</v>
      </c>
      <c r="E667" t="s">
        <v>41</v>
      </c>
      <c r="F667">
        <v>315</v>
      </c>
      <c r="G667" s="3">
        <v>166.61</v>
      </c>
      <c r="H667" s="1">
        <v>45724</v>
      </c>
      <c r="I667" s="1">
        <v>45753</v>
      </c>
      <c r="J667" s="3">
        <v>48.49</v>
      </c>
      <c r="K667" s="2">
        <f>Table4[[#This Row],[Stock-Quantity]]*Table4[[#This Row],[Unit-Price]]</f>
        <v>52482.15</v>
      </c>
      <c r="L667" s="2">
        <f>Table4[[#This Row],[Stock-Quantity]]*Table4[[#This Row],[Margin-Unit]]</f>
        <v>15274.35</v>
      </c>
      <c r="M667">
        <f>Table4[[#This Row],[Date-Sales]]-Table4[[#This Row],[Date-Received]]</f>
        <v>29</v>
      </c>
      <c r="N667" s="6">
        <f>Table4[[#This Row],[Margin-Unit]]/Table4[[#This Row],[Unit-Price]]</f>
        <v>0.291038953244103</v>
      </c>
    </row>
    <row r="668" spans="1:14" x14ac:dyDescent="0.3">
      <c r="A668" t="s">
        <v>711</v>
      </c>
      <c r="B668" t="s">
        <v>80</v>
      </c>
      <c r="C668" t="s">
        <v>29</v>
      </c>
      <c r="D668" t="s">
        <v>30</v>
      </c>
      <c r="E668" t="s">
        <v>31</v>
      </c>
      <c r="F668">
        <v>429</v>
      </c>
      <c r="G668" s="3">
        <v>472.89</v>
      </c>
      <c r="H668" s="1">
        <v>45794</v>
      </c>
      <c r="I668" s="1">
        <v>45803</v>
      </c>
      <c r="J668" s="3">
        <v>93.45</v>
      </c>
      <c r="K668" s="2">
        <f>Table4[[#This Row],[Stock-Quantity]]*Table4[[#This Row],[Unit-Price]]</f>
        <v>202869.81</v>
      </c>
      <c r="L668" s="2">
        <f>Table4[[#This Row],[Stock-Quantity]]*Table4[[#This Row],[Margin-Unit]]</f>
        <v>40090.050000000003</v>
      </c>
      <c r="M668">
        <f>Table4[[#This Row],[Date-Sales]]-Table4[[#This Row],[Date-Received]]</f>
        <v>9</v>
      </c>
      <c r="N668" s="6">
        <f>Table4[[#This Row],[Margin-Unit]]/Table4[[#This Row],[Unit-Price]]</f>
        <v>0.19761466725877055</v>
      </c>
    </row>
    <row r="669" spans="1:14" x14ac:dyDescent="0.3">
      <c r="A669" t="s">
        <v>712</v>
      </c>
      <c r="B669" t="s">
        <v>116</v>
      </c>
      <c r="C669" t="s">
        <v>12</v>
      </c>
      <c r="D669" t="s">
        <v>30</v>
      </c>
      <c r="E669" t="s">
        <v>31</v>
      </c>
      <c r="F669">
        <v>69</v>
      </c>
      <c r="G669" s="3">
        <v>372.62</v>
      </c>
      <c r="H669" s="1">
        <v>45675</v>
      </c>
      <c r="I669" s="1">
        <v>45690</v>
      </c>
      <c r="J669" s="3">
        <v>46.92</v>
      </c>
      <c r="K669" s="2">
        <f>Table4[[#This Row],[Stock-Quantity]]*Table4[[#This Row],[Unit-Price]]</f>
        <v>25710.78</v>
      </c>
      <c r="L669" s="2">
        <f>Table4[[#This Row],[Stock-Quantity]]*Table4[[#This Row],[Margin-Unit]]</f>
        <v>3237.48</v>
      </c>
      <c r="M669">
        <f>Table4[[#This Row],[Date-Sales]]-Table4[[#This Row],[Date-Received]]</f>
        <v>15</v>
      </c>
      <c r="N669" s="6">
        <f>Table4[[#This Row],[Margin-Unit]]/Table4[[#This Row],[Unit-Price]]</f>
        <v>0.12591916697976491</v>
      </c>
    </row>
    <row r="670" spans="1:14" x14ac:dyDescent="0.3">
      <c r="A670" t="s">
        <v>713</v>
      </c>
      <c r="B670" t="s">
        <v>80</v>
      </c>
      <c r="C670" t="s">
        <v>29</v>
      </c>
      <c r="D670" t="s">
        <v>30</v>
      </c>
      <c r="E670" t="s">
        <v>31</v>
      </c>
      <c r="F670">
        <v>137</v>
      </c>
      <c r="G670" s="3">
        <v>407.6</v>
      </c>
      <c r="H670" s="1">
        <v>45722</v>
      </c>
      <c r="I670" s="1">
        <v>45743</v>
      </c>
      <c r="J670" s="3">
        <v>90.89</v>
      </c>
      <c r="K670" s="2">
        <f>Table4[[#This Row],[Stock-Quantity]]*Table4[[#This Row],[Unit-Price]]</f>
        <v>55841.200000000004</v>
      </c>
      <c r="L670" s="2">
        <f>Table4[[#This Row],[Stock-Quantity]]*Table4[[#This Row],[Margin-Unit]]</f>
        <v>12451.93</v>
      </c>
      <c r="M670">
        <f>Table4[[#This Row],[Date-Sales]]-Table4[[#This Row],[Date-Received]]</f>
        <v>21</v>
      </c>
      <c r="N670" s="6">
        <f>Table4[[#This Row],[Margin-Unit]]/Table4[[#This Row],[Unit-Price]]</f>
        <v>0.22298822374877331</v>
      </c>
    </row>
    <row r="671" spans="1:14" x14ac:dyDescent="0.3">
      <c r="A671" t="s">
        <v>714</v>
      </c>
      <c r="B671" t="s">
        <v>70</v>
      </c>
      <c r="C671" t="s">
        <v>35</v>
      </c>
      <c r="D671" t="s">
        <v>13</v>
      </c>
      <c r="E671" t="s">
        <v>14</v>
      </c>
      <c r="F671">
        <v>375</v>
      </c>
      <c r="G671" s="3">
        <v>437.33</v>
      </c>
      <c r="H671" s="1">
        <v>45783</v>
      </c>
      <c r="I671" s="1">
        <v>45797</v>
      </c>
      <c r="J671" s="3">
        <v>87.91</v>
      </c>
      <c r="K671" s="2">
        <f>Table4[[#This Row],[Stock-Quantity]]*Table4[[#This Row],[Unit-Price]]</f>
        <v>163998.75</v>
      </c>
      <c r="L671" s="2">
        <f>Table4[[#This Row],[Stock-Quantity]]*Table4[[#This Row],[Margin-Unit]]</f>
        <v>32966.25</v>
      </c>
      <c r="M671">
        <f>Table4[[#This Row],[Date-Sales]]-Table4[[#This Row],[Date-Received]]</f>
        <v>14</v>
      </c>
      <c r="N671" s="6">
        <f>Table4[[#This Row],[Margin-Unit]]/Table4[[#This Row],[Unit-Price]]</f>
        <v>0.20101525164063749</v>
      </c>
    </row>
    <row r="672" spans="1:14" x14ac:dyDescent="0.3">
      <c r="A672" t="s">
        <v>715</v>
      </c>
      <c r="B672" t="s">
        <v>80</v>
      </c>
      <c r="C672" t="s">
        <v>29</v>
      </c>
      <c r="D672" t="s">
        <v>40</v>
      </c>
      <c r="E672" t="s">
        <v>41</v>
      </c>
      <c r="F672">
        <v>372</v>
      </c>
      <c r="G672" s="3">
        <v>224.08</v>
      </c>
      <c r="H672" s="1">
        <v>45796</v>
      </c>
      <c r="I672" s="1">
        <v>45806</v>
      </c>
      <c r="J672" s="3">
        <v>44.5</v>
      </c>
      <c r="K672" s="2">
        <f>Table4[[#This Row],[Stock-Quantity]]*Table4[[#This Row],[Unit-Price]]</f>
        <v>83357.760000000009</v>
      </c>
      <c r="L672" s="2">
        <f>Table4[[#This Row],[Stock-Quantity]]*Table4[[#This Row],[Margin-Unit]]</f>
        <v>16554</v>
      </c>
      <c r="M672">
        <f>Table4[[#This Row],[Date-Sales]]-Table4[[#This Row],[Date-Received]]</f>
        <v>10</v>
      </c>
      <c r="N672" s="6">
        <f>Table4[[#This Row],[Margin-Unit]]/Table4[[#This Row],[Unit-Price]]</f>
        <v>0.19858978936094251</v>
      </c>
    </row>
    <row r="673" spans="1:14" x14ac:dyDescent="0.3">
      <c r="A673" t="s">
        <v>716</v>
      </c>
      <c r="B673" t="s">
        <v>70</v>
      </c>
      <c r="C673" t="s">
        <v>35</v>
      </c>
      <c r="D673" t="s">
        <v>40</v>
      </c>
      <c r="E673" t="s">
        <v>41</v>
      </c>
      <c r="F673">
        <v>453</v>
      </c>
      <c r="G673" s="3">
        <v>194.76</v>
      </c>
      <c r="H673" s="1">
        <v>45712</v>
      </c>
      <c r="I673" s="1">
        <v>45713</v>
      </c>
      <c r="J673" s="3">
        <v>42.96</v>
      </c>
      <c r="K673" s="2">
        <f>Table4[[#This Row],[Stock-Quantity]]*Table4[[#This Row],[Unit-Price]]</f>
        <v>88226.28</v>
      </c>
      <c r="L673" s="2">
        <f>Table4[[#This Row],[Stock-Quantity]]*Table4[[#This Row],[Margin-Unit]]</f>
        <v>19460.88</v>
      </c>
      <c r="M673">
        <f>Table4[[#This Row],[Date-Sales]]-Table4[[#This Row],[Date-Received]]</f>
        <v>1</v>
      </c>
      <c r="N673" s="6">
        <f>Table4[[#This Row],[Margin-Unit]]/Table4[[#This Row],[Unit-Price]]</f>
        <v>0.22057917436845351</v>
      </c>
    </row>
    <row r="674" spans="1:14" x14ac:dyDescent="0.3">
      <c r="A674" t="s">
        <v>717</v>
      </c>
      <c r="B674" t="s">
        <v>74</v>
      </c>
      <c r="C674" t="s">
        <v>29</v>
      </c>
      <c r="D674" t="s">
        <v>25</v>
      </c>
      <c r="E674" t="s">
        <v>26</v>
      </c>
      <c r="F674">
        <v>440</v>
      </c>
      <c r="G674" s="3">
        <v>257.33999999999997</v>
      </c>
      <c r="H674" s="1">
        <v>45670</v>
      </c>
      <c r="I674" s="1">
        <v>45674</v>
      </c>
      <c r="J674" s="3">
        <v>45.03</v>
      </c>
      <c r="K674" s="2">
        <f>Table4[[#This Row],[Stock-Quantity]]*Table4[[#This Row],[Unit-Price]]</f>
        <v>113229.59999999999</v>
      </c>
      <c r="L674" s="2">
        <f>Table4[[#This Row],[Stock-Quantity]]*Table4[[#This Row],[Margin-Unit]]</f>
        <v>19813.2</v>
      </c>
      <c r="M674">
        <f>Table4[[#This Row],[Date-Sales]]-Table4[[#This Row],[Date-Received]]</f>
        <v>4</v>
      </c>
      <c r="N674" s="6">
        <f>Table4[[#This Row],[Margin-Unit]]/Table4[[#This Row],[Unit-Price]]</f>
        <v>0.17498251340638846</v>
      </c>
    </row>
    <row r="675" spans="1:14" x14ac:dyDescent="0.3">
      <c r="A675" t="s">
        <v>718</v>
      </c>
      <c r="B675" t="s">
        <v>106</v>
      </c>
      <c r="C675" t="s">
        <v>17</v>
      </c>
      <c r="D675" t="s">
        <v>30</v>
      </c>
      <c r="E675" t="s">
        <v>31</v>
      </c>
      <c r="F675">
        <v>394</v>
      </c>
      <c r="G675" s="3">
        <v>60.27</v>
      </c>
      <c r="H675" s="1">
        <v>45664</v>
      </c>
      <c r="I675" s="1">
        <v>45674</v>
      </c>
      <c r="J675" s="3">
        <v>16.059999999999999</v>
      </c>
      <c r="K675" s="2">
        <f>Table4[[#This Row],[Stock-Quantity]]*Table4[[#This Row],[Unit-Price]]</f>
        <v>23746.38</v>
      </c>
      <c r="L675" s="2">
        <f>Table4[[#This Row],[Stock-Quantity]]*Table4[[#This Row],[Margin-Unit]]</f>
        <v>6327.6399999999994</v>
      </c>
      <c r="M675">
        <f>Table4[[#This Row],[Date-Sales]]-Table4[[#This Row],[Date-Received]]</f>
        <v>10</v>
      </c>
      <c r="N675" s="6">
        <f>Table4[[#This Row],[Margin-Unit]]/Table4[[#This Row],[Unit-Price]]</f>
        <v>0.26646756263480997</v>
      </c>
    </row>
    <row r="676" spans="1:14" x14ac:dyDescent="0.3">
      <c r="A676" t="s">
        <v>719</v>
      </c>
      <c r="B676" t="s">
        <v>94</v>
      </c>
      <c r="C676" t="s">
        <v>29</v>
      </c>
      <c r="D676" t="s">
        <v>13</v>
      </c>
      <c r="E676" t="s">
        <v>14</v>
      </c>
      <c r="F676">
        <v>476</v>
      </c>
      <c r="G676" s="3">
        <v>157.54</v>
      </c>
      <c r="H676" s="1">
        <v>45710</v>
      </c>
      <c r="I676" s="1">
        <v>45721</v>
      </c>
      <c r="J676" s="3">
        <v>43.46</v>
      </c>
      <c r="K676" s="2">
        <f>Table4[[#This Row],[Stock-Quantity]]*Table4[[#This Row],[Unit-Price]]</f>
        <v>74989.039999999994</v>
      </c>
      <c r="L676" s="2">
        <f>Table4[[#This Row],[Stock-Quantity]]*Table4[[#This Row],[Margin-Unit]]</f>
        <v>20686.96</v>
      </c>
      <c r="M676">
        <f>Table4[[#This Row],[Date-Sales]]-Table4[[#This Row],[Date-Received]]</f>
        <v>11</v>
      </c>
      <c r="N676" s="6">
        <f>Table4[[#This Row],[Margin-Unit]]/Table4[[#This Row],[Unit-Price]]</f>
        <v>0.27586644661673226</v>
      </c>
    </row>
    <row r="677" spans="1:14" x14ac:dyDescent="0.3">
      <c r="A677" t="s">
        <v>720</v>
      </c>
      <c r="B677" t="s">
        <v>34</v>
      </c>
      <c r="C677" t="s">
        <v>35</v>
      </c>
      <c r="D677" t="s">
        <v>13</v>
      </c>
      <c r="E677" t="s">
        <v>14</v>
      </c>
      <c r="F677">
        <v>163</v>
      </c>
      <c r="G677" s="3">
        <v>399.32</v>
      </c>
      <c r="H677" s="1">
        <v>45682</v>
      </c>
      <c r="I677" s="1">
        <v>45701</v>
      </c>
      <c r="J677" s="3">
        <v>71.58</v>
      </c>
      <c r="K677" s="2">
        <f>Table4[[#This Row],[Stock-Quantity]]*Table4[[#This Row],[Unit-Price]]</f>
        <v>65089.159999999996</v>
      </c>
      <c r="L677" s="2">
        <f>Table4[[#This Row],[Stock-Quantity]]*Table4[[#This Row],[Margin-Unit]]</f>
        <v>11667.539999999999</v>
      </c>
      <c r="M677">
        <f>Table4[[#This Row],[Date-Sales]]-Table4[[#This Row],[Date-Received]]</f>
        <v>19</v>
      </c>
      <c r="N677" s="6">
        <f>Table4[[#This Row],[Margin-Unit]]/Table4[[#This Row],[Unit-Price]]</f>
        <v>0.1792547330461785</v>
      </c>
    </row>
    <row r="678" spans="1:14" x14ac:dyDescent="0.3">
      <c r="A678" t="s">
        <v>721</v>
      </c>
      <c r="B678" t="s">
        <v>116</v>
      </c>
      <c r="C678" t="s">
        <v>12</v>
      </c>
      <c r="D678" t="s">
        <v>25</v>
      </c>
      <c r="E678" t="s">
        <v>26</v>
      </c>
      <c r="F678">
        <v>135</v>
      </c>
      <c r="G678" s="3">
        <v>352.4</v>
      </c>
      <c r="H678" s="1">
        <v>45719</v>
      </c>
      <c r="I678" s="1">
        <v>45728</v>
      </c>
      <c r="J678" s="3">
        <v>101.8</v>
      </c>
      <c r="K678" s="2">
        <f>Table4[[#This Row],[Stock-Quantity]]*Table4[[#This Row],[Unit-Price]]</f>
        <v>47574</v>
      </c>
      <c r="L678" s="2">
        <f>Table4[[#This Row],[Stock-Quantity]]*Table4[[#This Row],[Margin-Unit]]</f>
        <v>13743</v>
      </c>
      <c r="M678">
        <f>Table4[[#This Row],[Date-Sales]]-Table4[[#This Row],[Date-Received]]</f>
        <v>9</v>
      </c>
      <c r="N678" s="6">
        <f>Table4[[#This Row],[Margin-Unit]]/Table4[[#This Row],[Unit-Price]]</f>
        <v>0.28887627695800228</v>
      </c>
    </row>
    <row r="679" spans="1:14" x14ac:dyDescent="0.3">
      <c r="A679" t="s">
        <v>722</v>
      </c>
      <c r="B679" t="s">
        <v>106</v>
      </c>
      <c r="C679" t="s">
        <v>17</v>
      </c>
      <c r="D679" t="s">
        <v>25</v>
      </c>
      <c r="E679" t="s">
        <v>26</v>
      </c>
      <c r="F679">
        <v>481</v>
      </c>
      <c r="G679" s="3">
        <v>191.05</v>
      </c>
      <c r="H679" s="1">
        <v>45730</v>
      </c>
      <c r="I679" s="1">
        <v>45731</v>
      </c>
      <c r="J679" s="3">
        <v>28.5</v>
      </c>
      <c r="K679" s="2">
        <f>Table4[[#This Row],[Stock-Quantity]]*Table4[[#This Row],[Unit-Price]]</f>
        <v>91895.05</v>
      </c>
      <c r="L679" s="2">
        <f>Table4[[#This Row],[Stock-Quantity]]*Table4[[#This Row],[Margin-Unit]]</f>
        <v>13708.5</v>
      </c>
      <c r="M679">
        <f>Table4[[#This Row],[Date-Sales]]-Table4[[#This Row],[Date-Received]]</f>
        <v>1</v>
      </c>
      <c r="N679" s="6">
        <f>Table4[[#This Row],[Margin-Unit]]/Table4[[#This Row],[Unit-Price]]</f>
        <v>0.14917560847945563</v>
      </c>
    </row>
    <row r="680" spans="1:14" x14ac:dyDescent="0.3">
      <c r="A680" t="s">
        <v>723</v>
      </c>
      <c r="B680" t="s">
        <v>70</v>
      </c>
      <c r="C680" t="s">
        <v>35</v>
      </c>
      <c r="D680" t="s">
        <v>40</v>
      </c>
      <c r="E680" t="s">
        <v>41</v>
      </c>
      <c r="F680">
        <v>257</v>
      </c>
      <c r="G680" s="3">
        <v>449.13</v>
      </c>
      <c r="H680" s="1">
        <v>45815</v>
      </c>
      <c r="I680" s="1">
        <v>45838</v>
      </c>
      <c r="J680" s="3">
        <v>122.02</v>
      </c>
      <c r="K680" s="2">
        <f>Table4[[#This Row],[Stock-Quantity]]*Table4[[#This Row],[Unit-Price]]</f>
        <v>115426.41</v>
      </c>
      <c r="L680" s="2">
        <f>Table4[[#This Row],[Stock-Quantity]]*Table4[[#This Row],[Margin-Unit]]</f>
        <v>31359.14</v>
      </c>
      <c r="M680">
        <f>Table4[[#This Row],[Date-Sales]]-Table4[[#This Row],[Date-Received]]</f>
        <v>23</v>
      </c>
      <c r="N680" s="6">
        <f>Table4[[#This Row],[Margin-Unit]]/Table4[[#This Row],[Unit-Price]]</f>
        <v>0.27168080511210563</v>
      </c>
    </row>
    <row r="681" spans="1:14" x14ac:dyDescent="0.3">
      <c r="A681" t="s">
        <v>724</v>
      </c>
      <c r="B681" t="s">
        <v>34</v>
      </c>
      <c r="C681" t="s">
        <v>35</v>
      </c>
      <c r="D681" t="s">
        <v>13</v>
      </c>
      <c r="E681" t="s">
        <v>14</v>
      </c>
      <c r="F681">
        <v>338</v>
      </c>
      <c r="G681" s="3">
        <v>432.1</v>
      </c>
      <c r="H681" s="1">
        <v>45780</v>
      </c>
      <c r="I681" s="1">
        <v>45797</v>
      </c>
      <c r="J681" s="3">
        <v>82.14</v>
      </c>
      <c r="K681" s="2">
        <f>Table4[[#This Row],[Stock-Quantity]]*Table4[[#This Row],[Unit-Price]]</f>
        <v>146049.80000000002</v>
      </c>
      <c r="L681" s="2">
        <f>Table4[[#This Row],[Stock-Quantity]]*Table4[[#This Row],[Margin-Unit]]</f>
        <v>27763.32</v>
      </c>
      <c r="M681">
        <f>Table4[[#This Row],[Date-Sales]]-Table4[[#This Row],[Date-Received]]</f>
        <v>17</v>
      </c>
      <c r="N681" s="6">
        <f>Table4[[#This Row],[Margin-Unit]]/Table4[[#This Row],[Unit-Price]]</f>
        <v>0.19009488544318445</v>
      </c>
    </row>
    <row r="682" spans="1:14" x14ac:dyDescent="0.3">
      <c r="A682" t="s">
        <v>725</v>
      </c>
      <c r="B682" t="s">
        <v>47</v>
      </c>
      <c r="C682" t="s">
        <v>17</v>
      </c>
      <c r="D682" t="s">
        <v>30</v>
      </c>
      <c r="E682" t="s">
        <v>31</v>
      </c>
      <c r="F682">
        <v>245</v>
      </c>
      <c r="G682" s="3">
        <v>218.03</v>
      </c>
      <c r="H682" s="1">
        <v>45833</v>
      </c>
      <c r="I682" s="1">
        <v>45846</v>
      </c>
      <c r="J682" s="3">
        <v>64.55</v>
      </c>
      <c r="K682" s="2">
        <f>Table4[[#This Row],[Stock-Quantity]]*Table4[[#This Row],[Unit-Price]]</f>
        <v>53417.35</v>
      </c>
      <c r="L682" s="2">
        <f>Table4[[#This Row],[Stock-Quantity]]*Table4[[#This Row],[Margin-Unit]]</f>
        <v>15814.75</v>
      </c>
      <c r="M682">
        <f>Table4[[#This Row],[Date-Sales]]-Table4[[#This Row],[Date-Received]]</f>
        <v>13</v>
      </c>
      <c r="N682" s="6">
        <f>Table4[[#This Row],[Margin-Unit]]/Table4[[#This Row],[Unit-Price]]</f>
        <v>0.29606017520524697</v>
      </c>
    </row>
    <row r="683" spans="1:14" x14ac:dyDescent="0.3">
      <c r="A683" t="s">
        <v>726</v>
      </c>
      <c r="B683" t="s">
        <v>80</v>
      </c>
      <c r="C683" t="s">
        <v>29</v>
      </c>
      <c r="D683" t="s">
        <v>13</v>
      </c>
      <c r="E683" t="s">
        <v>14</v>
      </c>
      <c r="F683">
        <v>92</v>
      </c>
      <c r="G683" s="3">
        <v>398.9</v>
      </c>
      <c r="H683" s="1">
        <v>45700</v>
      </c>
      <c r="I683" s="1">
        <v>45727</v>
      </c>
      <c r="J683" s="3">
        <v>112.73</v>
      </c>
      <c r="K683" s="2">
        <f>Table4[[#This Row],[Stock-Quantity]]*Table4[[#This Row],[Unit-Price]]</f>
        <v>36698.799999999996</v>
      </c>
      <c r="L683" s="2">
        <f>Table4[[#This Row],[Stock-Quantity]]*Table4[[#This Row],[Margin-Unit]]</f>
        <v>10371.16</v>
      </c>
      <c r="M683">
        <f>Table4[[#This Row],[Date-Sales]]-Table4[[#This Row],[Date-Received]]</f>
        <v>27</v>
      </c>
      <c r="N683" s="6">
        <f>Table4[[#This Row],[Margin-Unit]]/Table4[[#This Row],[Unit-Price]]</f>
        <v>0.28260215592880422</v>
      </c>
    </row>
    <row r="684" spans="1:14" x14ac:dyDescent="0.3">
      <c r="A684" t="s">
        <v>727</v>
      </c>
      <c r="B684" t="s">
        <v>43</v>
      </c>
      <c r="C684" t="s">
        <v>35</v>
      </c>
      <c r="D684" t="s">
        <v>13</v>
      </c>
      <c r="E684" t="s">
        <v>14</v>
      </c>
      <c r="F684">
        <v>307</v>
      </c>
      <c r="G684" s="3">
        <v>290.3</v>
      </c>
      <c r="H684" s="1">
        <v>45838</v>
      </c>
      <c r="I684" s="1">
        <v>45868</v>
      </c>
      <c r="J684" s="3">
        <v>30.73</v>
      </c>
      <c r="K684" s="2">
        <f>Table4[[#This Row],[Stock-Quantity]]*Table4[[#This Row],[Unit-Price]]</f>
        <v>89122.1</v>
      </c>
      <c r="L684" s="2">
        <f>Table4[[#This Row],[Stock-Quantity]]*Table4[[#This Row],[Margin-Unit]]</f>
        <v>9434.11</v>
      </c>
      <c r="M684">
        <f>Table4[[#This Row],[Date-Sales]]-Table4[[#This Row],[Date-Received]]</f>
        <v>30</v>
      </c>
      <c r="N684" s="6">
        <f>Table4[[#This Row],[Margin-Unit]]/Table4[[#This Row],[Unit-Price]]</f>
        <v>0.10585601102307957</v>
      </c>
    </row>
    <row r="685" spans="1:14" x14ac:dyDescent="0.3">
      <c r="A685" t="s">
        <v>728</v>
      </c>
      <c r="B685" t="s">
        <v>74</v>
      </c>
      <c r="C685" t="s">
        <v>29</v>
      </c>
      <c r="D685" t="s">
        <v>25</v>
      </c>
      <c r="E685" t="s">
        <v>26</v>
      </c>
      <c r="F685">
        <v>12</v>
      </c>
      <c r="G685" s="3">
        <v>420.08</v>
      </c>
      <c r="H685" s="1">
        <v>45682</v>
      </c>
      <c r="I685" s="1">
        <v>45699</v>
      </c>
      <c r="J685" s="3">
        <v>48.66</v>
      </c>
      <c r="K685" s="2">
        <f>Table4[[#This Row],[Stock-Quantity]]*Table4[[#This Row],[Unit-Price]]</f>
        <v>5040.96</v>
      </c>
      <c r="L685" s="2">
        <f>Table4[[#This Row],[Stock-Quantity]]*Table4[[#This Row],[Margin-Unit]]</f>
        <v>583.91999999999996</v>
      </c>
      <c r="M685">
        <f>Table4[[#This Row],[Date-Sales]]-Table4[[#This Row],[Date-Received]]</f>
        <v>17</v>
      </c>
      <c r="N685" s="6">
        <f>Table4[[#This Row],[Margin-Unit]]/Table4[[#This Row],[Unit-Price]]</f>
        <v>0.11583507903256522</v>
      </c>
    </row>
    <row r="686" spans="1:14" x14ac:dyDescent="0.3">
      <c r="A686" t="s">
        <v>729</v>
      </c>
      <c r="B686" t="s">
        <v>94</v>
      </c>
      <c r="C686" t="s">
        <v>29</v>
      </c>
      <c r="D686" t="s">
        <v>40</v>
      </c>
      <c r="E686" t="s">
        <v>41</v>
      </c>
      <c r="F686">
        <v>389</v>
      </c>
      <c r="G686" s="3">
        <v>5.63</v>
      </c>
      <c r="H686" s="1">
        <v>45705</v>
      </c>
      <c r="I686" s="1">
        <v>45708</v>
      </c>
      <c r="J686" s="3">
        <v>1.58</v>
      </c>
      <c r="K686" s="2">
        <f>Table4[[#This Row],[Stock-Quantity]]*Table4[[#This Row],[Unit-Price]]</f>
        <v>2190.0700000000002</v>
      </c>
      <c r="L686" s="2">
        <f>Table4[[#This Row],[Stock-Quantity]]*Table4[[#This Row],[Margin-Unit]]</f>
        <v>614.62</v>
      </c>
      <c r="M686">
        <f>Table4[[#This Row],[Date-Sales]]-Table4[[#This Row],[Date-Received]]</f>
        <v>3</v>
      </c>
      <c r="N686" s="6">
        <f>Table4[[#This Row],[Margin-Unit]]/Table4[[#This Row],[Unit-Price]]</f>
        <v>0.28063943161634103</v>
      </c>
    </row>
    <row r="687" spans="1:14" x14ac:dyDescent="0.3">
      <c r="A687" t="s">
        <v>730</v>
      </c>
      <c r="B687" t="s">
        <v>50</v>
      </c>
      <c r="C687" t="s">
        <v>17</v>
      </c>
      <c r="D687" t="s">
        <v>25</v>
      </c>
      <c r="E687" t="s">
        <v>26</v>
      </c>
      <c r="F687">
        <v>185</v>
      </c>
      <c r="G687" s="3">
        <v>161.61000000000001</v>
      </c>
      <c r="H687" s="1">
        <v>45723</v>
      </c>
      <c r="I687" s="1">
        <v>45742</v>
      </c>
      <c r="J687" s="3">
        <v>18.97</v>
      </c>
      <c r="K687" s="2">
        <f>Table4[[#This Row],[Stock-Quantity]]*Table4[[#This Row],[Unit-Price]]</f>
        <v>29897.850000000002</v>
      </c>
      <c r="L687" s="2">
        <f>Table4[[#This Row],[Stock-Quantity]]*Table4[[#This Row],[Margin-Unit]]</f>
        <v>3509.45</v>
      </c>
      <c r="M687">
        <f>Table4[[#This Row],[Date-Sales]]-Table4[[#This Row],[Date-Received]]</f>
        <v>19</v>
      </c>
      <c r="N687" s="6">
        <f>Table4[[#This Row],[Margin-Unit]]/Table4[[#This Row],[Unit-Price]]</f>
        <v>0.11738135016397498</v>
      </c>
    </row>
    <row r="688" spans="1:14" x14ac:dyDescent="0.3">
      <c r="A688" t="s">
        <v>731</v>
      </c>
      <c r="B688" t="s">
        <v>43</v>
      </c>
      <c r="C688" t="s">
        <v>35</v>
      </c>
      <c r="D688" t="s">
        <v>13</v>
      </c>
      <c r="E688" t="s">
        <v>14</v>
      </c>
      <c r="F688">
        <v>162</v>
      </c>
      <c r="G688" s="3">
        <v>493.55</v>
      </c>
      <c r="H688" s="1">
        <v>45775</v>
      </c>
      <c r="I688" s="1">
        <v>45781</v>
      </c>
      <c r="J688" s="3">
        <v>82.83</v>
      </c>
      <c r="K688" s="2">
        <f>Table4[[#This Row],[Stock-Quantity]]*Table4[[#This Row],[Unit-Price]]</f>
        <v>79955.100000000006</v>
      </c>
      <c r="L688" s="2">
        <f>Table4[[#This Row],[Stock-Quantity]]*Table4[[#This Row],[Margin-Unit]]</f>
        <v>13418.46</v>
      </c>
      <c r="M688">
        <f>Table4[[#This Row],[Date-Sales]]-Table4[[#This Row],[Date-Received]]</f>
        <v>6</v>
      </c>
      <c r="N688" s="6">
        <f>Table4[[#This Row],[Margin-Unit]]/Table4[[#This Row],[Unit-Price]]</f>
        <v>0.16782494174855636</v>
      </c>
    </row>
    <row r="689" spans="1:14" x14ac:dyDescent="0.3">
      <c r="A689" t="s">
        <v>732</v>
      </c>
      <c r="B689" t="s">
        <v>43</v>
      </c>
      <c r="C689" t="s">
        <v>35</v>
      </c>
      <c r="D689" t="s">
        <v>13</v>
      </c>
      <c r="E689" t="s">
        <v>14</v>
      </c>
      <c r="F689">
        <v>236</v>
      </c>
      <c r="G689" s="3">
        <v>104.77</v>
      </c>
      <c r="H689" s="1">
        <v>45743</v>
      </c>
      <c r="I689" s="1">
        <v>45752</v>
      </c>
      <c r="J689" s="3">
        <v>15.7</v>
      </c>
      <c r="K689" s="2">
        <f>Table4[[#This Row],[Stock-Quantity]]*Table4[[#This Row],[Unit-Price]]</f>
        <v>24725.719999999998</v>
      </c>
      <c r="L689" s="2">
        <f>Table4[[#This Row],[Stock-Quantity]]*Table4[[#This Row],[Margin-Unit]]</f>
        <v>3705.2</v>
      </c>
      <c r="M689">
        <f>Table4[[#This Row],[Date-Sales]]-Table4[[#This Row],[Date-Received]]</f>
        <v>9</v>
      </c>
      <c r="N689" s="6">
        <f>Table4[[#This Row],[Margin-Unit]]/Table4[[#This Row],[Unit-Price]]</f>
        <v>0.14985205688651332</v>
      </c>
    </row>
    <row r="690" spans="1:14" x14ac:dyDescent="0.3">
      <c r="A690" t="s">
        <v>733</v>
      </c>
      <c r="B690" t="s">
        <v>43</v>
      </c>
      <c r="C690" t="s">
        <v>35</v>
      </c>
      <c r="D690" t="s">
        <v>30</v>
      </c>
      <c r="E690" t="s">
        <v>31</v>
      </c>
      <c r="F690">
        <v>128</v>
      </c>
      <c r="G690" s="3">
        <v>121.61</v>
      </c>
      <c r="H690" s="1">
        <v>45784</v>
      </c>
      <c r="I690" s="1">
        <v>45787</v>
      </c>
      <c r="J690" s="3">
        <v>26.49</v>
      </c>
      <c r="K690" s="2">
        <f>Table4[[#This Row],[Stock-Quantity]]*Table4[[#This Row],[Unit-Price]]</f>
        <v>15566.08</v>
      </c>
      <c r="L690" s="2">
        <f>Table4[[#This Row],[Stock-Quantity]]*Table4[[#This Row],[Margin-Unit]]</f>
        <v>3390.72</v>
      </c>
      <c r="M690">
        <f>Table4[[#This Row],[Date-Sales]]-Table4[[#This Row],[Date-Received]]</f>
        <v>3</v>
      </c>
      <c r="N690" s="6">
        <f>Table4[[#This Row],[Margin-Unit]]/Table4[[#This Row],[Unit-Price]]</f>
        <v>0.21782748129265683</v>
      </c>
    </row>
    <row r="691" spans="1:14" x14ac:dyDescent="0.3">
      <c r="A691" t="s">
        <v>734</v>
      </c>
      <c r="B691" t="s">
        <v>43</v>
      </c>
      <c r="C691" t="s">
        <v>35</v>
      </c>
      <c r="D691" t="s">
        <v>13</v>
      </c>
      <c r="E691" t="s">
        <v>14</v>
      </c>
      <c r="F691">
        <v>264</v>
      </c>
      <c r="G691" s="3">
        <v>209.61</v>
      </c>
      <c r="H691" s="1">
        <v>45794</v>
      </c>
      <c r="I691" s="1">
        <v>45821</v>
      </c>
      <c r="J691" s="3">
        <v>55.1</v>
      </c>
      <c r="K691" s="2">
        <f>Table4[[#This Row],[Stock-Quantity]]*Table4[[#This Row],[Unit-Price]]</f>
        <v>55337.04</v>
      </c>
      <c r="L691" s="2">
        <f>Table4[[#This Row],[Stock-Quantity]]*Table4[[#This Row],[Margin-Unit]]</f>
        <v>14546.4</v>
      </c>
      <c r="M691">
        <f>Table4[[#This Row],[Date-Sales]]-Table4[[#This Row],[Date-Received]]</f>
        <v>27</v>
      </c>
      <c r="N691" s="6">
        <f>Table4[[#This Row],[Margin-Unit]]/Table4[[#This Row],[Unit-Price]]</f>
        <v>0.26286913792280903</v>
      </c>
    </row>
    <row r="692" spans="1:14" x14ac:dyDescent="0.3">
      <c r="A692" t="s">
        <v>735</v>
      </c>
      <c r="B692" t="s">
        <v>70</v>
      </c>
      <c r="C692" t="s">
        <v>35</v>
      </c>
      <c r="D692" t="s">
        <v>25</v>
      </c>
      <c r="E692" t="s">
        <v>26</v>
      </c>
      <c r="F692">
        <v>30</v>
      </c>
      <c r="G692" s="3">
        <v>125.93</v>
      </c>
      <c r="H692" s="1">
        <v>45693</v>
      </c>
      <c r="I692" s="1">
        <v>45699</v>
      </c>
      <c r="J692" s="3">
        <v>18.23</v>
      </c>
      <c r="K692" s="2">
        <f>Table4[[#This Row],[Stock-Quantity]]*Table4[[#This Row],[Unit-Price]]</f>
        <v>3777.9</v>
      </c>
      <c r="L692" s="2">
        <f>Table4[[#This Row],[Stock-Quantity]]*Table4[[#This Row],[Margin-Unit]]</f>
        <v>546.9</v>
      </c>
      <c r="M692">
        <f>Table4[[#This Row],[Date-Sales]]-Table4[[#This Row],[Date-Received]]</f>
        <v>6</v>
      </c>
      <c r="N692" s="6">
        <f>Table4[[#This Row],[Margin-Unit]]/Table4[[#This Row],[Unit-Price]]</f>
        <v>0.14476296355117924</v>
      </c>
    </row>
    <row r="693" spans="1:14" x14ac:dyDescent="0.3">
      <c r="A693" t="s">
        <v>736</v>
      </c>
      <c r="B693" t="s">
        <v>50</v>
      </c>
      <c r="C693" t="s">
        <v>17</v>
      </c>
      <c r="D693" t="s">
        <v>18</v>
      </c>
      <c r="E693" t="s">
        <v>19</v>
      </c>
      <c r="F693">
        <v>133</v>
      </c>
      <c r="G693" s="3">
        <v>112.95</v>
      </c>
      <c r="H693" s="1">
        <v>45720</v>
      </c>
      <c r="I693" s="1">
        <v>45721</v>
      </c>
      <c r="J693" s="3">
        <v>23.66</v>
      </c>
      <c r="K693" s="2">
        <f>Table4[[#This Row],[Stock-Quantity]]*Table4[[#This Row],[Unit-Price]]</f>
        <v>15022.35</v>
      </c>
      <c r="L693" s="2">
        <f>Table4[[#This Row],[Stock-Quantity]]*Table4[[#This Row],[Margin-Unit]]</f>
        <v>3146.78</v>
      </c>
      <c r="M693">
        <f>Table4[[#This Row],[Date-Sales]]-Table4[[#This Row],[Date-Received]]</f>
        <v>1</v>
      </c>
      <c r="N693" s="6">
        <f>Table4[[#This Row],[Margin-Unit]]/Table4[[#This Row],[Unit-Price]]</f>
        <v>0.20947321823815848</v>
      </c>
    </row>
    <row r="694" spans="1:14" x14ac:dyDescent="0.3">
      <c r="A694" t="s">
        <v>737</v>
      </c>
      <c r="B694" t="s">
        <v>43</v>
      </c>
      <c r="C694" t="s">
        <v>35</v>
      </c>
      <c r="D694" t="s">
        <v>40</v>
      </c>
      <c r="E694" t="s">
        <v>41</v>
      </c>
      <c r="F694">
        <v>336</v>
      </c>
      <c r="G694" s="3">
        <v>407.73</v>
      </c>
      <c r="H694" s="1">
        <v>45746</v>
      </c>
      <c r="I694" s="1">
        <v>45755</v>
      </c>
      <c r="J694" s="3">
        <v>90.24</v>
      </c>
      <c r="K694" s="2">
        <f>Table4[[#This Row],[Stock-Quantity]]*Table4[[#This Row],[Unit-Price]]</f>
        <v>136997.28</v>
      </c>
      <c r="L694" s="2">
        <f>Table4[[#This Row],[Stock-Quantity]]*Table4[[#This Row],[Margin-Unit]]</f>
        <v>30320.639999999999</v>
      </c>
      <c r="M694">
        <f>Table4[[#This Row],[Date-Sales]]-Table4[[#This Row],[Date-Received]]</f>
        <v>9</v>
      </c>
      <c r="N694" s="6">
        <f>Table4[[#This Row],[Margin-Unit]]/Table4[[#This Row],[Unit-Price]]</f>
        <v>0.22132293429475386</v>
      </c>
    </row>
    <row r="695" spans="1:14" x14ac:dyDescent="0.3">
      <c r="A695" t="s">
        <v>738</v>
      </c>
      <c r="B695" t="s">
        <v>50</v>
      </c>
      <c r="C695" t="s">
        <v>17</v>
      </c>
      <c r="D695" t="s">
        <v>40</v>
      </c>
      <c r="E695" t="s">
        <v>41</v>
      </c>
      <c r="F695">
        <v>226</v>
      </c>
      <c r="G695" s="3">
        <v>157.85</v>
      </c>
      <c r="H695" s="1">
        <v>45678</v>
      </c>
      <c r="I695" s="1">
        <v>45706</v>
      </c>
      <c r="J695" s="3">
        <v>26.62</v>
      </c>
      <c r="K695" s="2">
        <f>Table4[[#This Row],[Stock-Quantity]]*Table4[[#This Row],[Unit-Price]]</f>
        <v>35674.1</v>
      </c>
      <c r="L695" s="2">
        <f>Table4[[#This Row],[Stock-Quantity]]*Table4[[#This Row],[Margin-Unit]]</f>
        <v>6016.12</v>
      </c>
      <c r="M695">
        <f>Table4[[#This Row],[Date-Sales]]-Table4[[#This Row],[Date-Received]]</f>
        <v>28</v>
      </c>
      <c r="N695" s="6">
        <f>Table4[[#This Row],[Margin-Unit]]/Table4[[#This Row],[Unit-Price]]</f>
        <v>0.16864111498257842</v>
      </c>
    </row>
    <row r="696" spans="1:14" x14ac:dyDescent="0.3">
      <c r="A696" t="s">
        <v>739</v>
      </c>
      <c r="B696" t="s">
        <v>74</v>
      </c>
      <c r="C696" t="s">
        <v>29</v>
      </c>
      <c r="D696" t="s">
        <v>13</v>
      </c>
      <c r="E696" t="s">
        <v>14</v>
      </c>
      <c r="F696">
        <v>251</v>
      </c>
      <c r="G696" s="3">
        <v>436.77</v>
      </c>
      <c r="H696" s="1">
        <v>45681</v>
      </c>
      <c r="I696" s="1">
        <v>45689</v>
      </c>
      <c r="J696" s="3">
        <v>69.12</v>
      </c>
      <c r="K696" s="2">
        <f>Table4[[#This Row],[Stock-Quantity]]*Table4[[#This Row],[Unit-Price]]</f>
        <v>109629.26999999999</v>
      </c>
      <c r="L696" s="2">
        <f>Table4[[#This Row],[Stock-Quantity]]*Table4[[#This Row],[Margin-Unit]]</f>
        <v>17349.120000000003</v>
      </c>
      <c r="M696">
        <f>Table4[[#This Row],[Date-Sales]]-Table4[[#This Row],[Date-Received]]</f>
        <v>8</v>
      </c>
      <c r="N696" s="6">
        <f>Table4[[#This Row],[Margin-Unit]]/Table4[[#This Row],[Unit-Price]]</f>
        <v>0.15825262724088193</v>
      </c>
    </row>
    <row r="697" spans="1:14" x14ac:dyDescent="0.3">
      <c r="A697" t="s">
        <v>740</v>
      </c>
      <c r="B697" t="s">
        <v>52</v>
      </c>
      <c r="C697" t="s">
        <v>12</v>
      </c>
      <c r="D697" t="s">
        <v>30</v>
      </c>
      <c r="E697" t="s">
        <v>31</v>
      </c>
      <c r="F697">
        <v>287</v>
      </c>
      <c r="G697" s="3">
        <v>236.16</v>
      </c>
      <c r="H697" s="1">
        <v>45669</v>
      </c>
      <c r="I697" s="1">
        <v>45673</v>
      </c>
      <c r="J697" s="3">
        <v>52.57</v>
      </c>
      <c r="K697" s="2">
        <f>Table4[[#This Row],[Stock-Quantity]]*Table4[[#This Row],[Unit-Price]]</f>
        <v>67777.919999999998</v>
      </c>
      <c r="L697" s="2">
        <f>Table4[[#This Row],[Stock-Quantity]]*Table4[[#This Row],[Margin-Unit]]</f>
        <v>15087.59</v>
      </c>
      <c r="M697">
        <f>Table4[[#This Row],[Date-Sales]]-Table4[[#This Row],[Date-Received]]</f>
        <v>4</v>
      </c>
      <c r="N697" s="6">
        <f>Table4[[#This Row],[Margin-Unit]]/Table4[[#This Row],[Unit-Price]]</f>
        <v>0.22260331978319783</v>
      </c>
    </row>
    <row r="698" spans="1:14" x14ac:dyDescent="0.3">
      <c r="A698" t="s">
        <v>741</v>
      </c>
      <c r="B698" t="s">
        <v>21</v>
      </c>
      <c r="C698" t="s">
        <v>22</v>
      </c>
      <c r="D698" t="s">
        <v>18</v>
      </c>
      <c r="E698" t="s">
        <v>19</v>
      </c>
      <c r="F698">
        <v>412</v>
      </c>
      <c r="G698" s="3">
        <v>280.67</v>
      </c>
      <c r="H698" s="1">
        <v>45791</v>
      </c>
      <c r="I698" s="1">
        <v>45814</v>
      </c>
      <c r="J698" s="3">
        <v>50.5</v>
      </c>
      <c r="K698" s="2">
        <f>Table4[[#This Row],[Stock-Quantity]]*Table4[[#This Row],[Unit-Price]]</f>
        <v>115636.04000000001</v>
      </c>
      <c r="L698" s="2">
        <f>Table4[[#This Row],[Stock-Quantity]]*Table4[[#This Row],[Margin-Unit]]</f>
        <v>20806</v>
      </c>
      <c r="M698">
        <f>Table4[[#This Row],[Date-Sales]]-Table4[[#This Row],[Date-Received]]</f>
        <v>23</v>
      </c>
      <c r="N698" s="6">
        <f>Table4[[#This Row],[Margin-Unit]]/Table4[[#This Row],[Unit-Price]]</f>
        <v>0.1799266041970998</v>
      </c>
    </row>
    <row r="699" spans="1:14" x14ac:dyDescent="0.3">
      <c r="A699" t="s">
        <v>742</v>
      </c>
      <c r="B699" t="s">
        <v>43</v>
      </c>
      <c r="C699" t="s">
        <v>35</v>
      </c>
      <c r="D699" t="s">
        <v>13</v>
      </c>
      <c r="E699" t="s">
        <v>14</v>
      </c>
      <c r="F699">
        <v>386</v>
      </c>
      <c r="G699" s="3">
        <v>438.99</v>
      </c>
      <c r="H699" s="1">
        <v>45823</v>
      </c>
      <c r="I699" s="1">
        <v>45842</v>
      </c>
      <c r="J699" s="3">
        <v>113.54</v>
      </c>
      <c r="K699" s="2">
        <f>Table4[[#This Row],[Stock-Quantity]]*Table4[[#This Row],[Unit-Price]]</f>
        <v>169450.14</v>
      </c>
      <c r="L699" s="2">
        <f>Table4[[#This Row],[Stock-Quantity]]*Table4[[#This Row],[Margin-Unit]]</f>
        <v>43826.44</v>
      </c>
      <c r="M699">
        <f>Table4[[#This Row],[Date-Sales]]-Table4[[#This Row],[Date-Received]]</f>
        <v>19</v>
      </c>
      <c r="N699" s="6">
        <f>Table4[[#This Row],[Margin-Unit]]/Table4[[#This Row],[Unit-Price]]</f>
        <v>0.25863914895555706</v>
      </c>
    </row>
    <row r="700" spans="1:14" x14ac:dyDescent="0.3">
      <c r="A700" t="s">
        <v>743</v>
      </c>
      <c r="B700" t="s">
        <v>52</v>
      </c>
      <c r="C700" t="s">
        <v>12</v>
      </c>
      <c r="D700" t="s">
        <v>25</v>
      </c>
      <c r="E700" t="s">
        <v>26</v>
      </c>
      <c r="F700">
        <v>297</v>
      </c>
      <c r="G700" s="3">
        <v>448.78</v>
      </c>
      <c r="H700" s="1">
        <v>45732</v>
      </c>
      <c r="I700" s="1">
        <v>45738</v>
      </c>
      <c r="J700" s="3">
        <v>115.38</v>
      </c>
      <c r="K700" s="2">
        <f>Table4[[#This Row],[Stock-Quantity]]*Table4[[#This Row],[Unit-Price]]</f>
        <v>133287.66</v>
      </c>
      <c r="L700" s="2">
        <f>Table4[[#This Row],[Stock-Quantity]]*Table4[[#This Row],[Margin-Unit]]</f>
        <v>34267.86</v>
      </c>
      <c r="M700">
        <f>Table4[[#This Row],[Date-Sales]]-Table4[[#This Row],[Date-Received]]</f>
        <v>6</v>
      </c>
      <c r="N700" s="6">
        <f>Table4[[#This Row],[Margin-Unit]]/Table4[[#This Row],[Unit-Price]]</f>
        <v>0.25709701858371586</v>
      </c>
    </row>
    <row r="701" spans="1:14" x14ac:dyDescent="0.3">
      <c r="A701" t="s">
        <v>744</v>
      </c>
      <c r="B701" t="s">
        <v>21</v>
      </c>
      <c r="C701" t="s">
        <v>22</v>
      </c>
      <c r="D701" t="s">
        <v>40</v>
      </c>
      <c r="E701" t="s">
        <v>41</v>
      </c>
      <c r="F701">
        <v>166</v>
      </c>
      <c r="G701" s="3">
        <v>446.91</v>
      </c>
      <c r="H701" s="1">
        <v>45778</v>
      </c>
      <c r="I701" s="1">
        <v>45781</v>
      </c>
      <c r="J701" s="3">
        <v>48.83</v>
      </c>
      <c r="K701" s="2">
        <f>Table4[[#This Row],[Stock-Quantity]]*Table4[[#This Row],[Unit-Price]]</f>
        <v>74187.06</v>
      </c>
      <c r="L701" s="2">
        <f>Table4[[#This Row],[Stock-Quantity]]*Table4[[#This Row],[Margin-Unit]]</f>
        <v>8105.78</v>
      </c>
      <c r="M701">
        <f>Table4[[#This Row],[Date-Sales]]-Table4[[#This Row],[Date-Received]]</f>
        <v>3</v>
      </c>
      <c r="N701" s="6">
        <f>Table4[[#This Row],[Margin-Unit]]/Table4[[#This Row],[Unit-Price]]</f>
        <v>0.10926137253585733</v>
      </c>
    </row>
    <row r="702" spans="1:14" x14ac:dyDescent="0.3">
      <c r="A702" t="s">
        <v>745</v>
      </c>
      <c r="B702" t="s">
        <v>47</v>
      </c>
      <c r="C702" t="s">
        <v>17</v>
      </c>
      <c r="D702" t="s">
        <v>13</v>
      </c>
      <c r="E702" t="s">
        <v>14</v>
      </c>
      <c r="F702">
        <v>83</v>
      </c>
      <c r="G702" s="3">
        <v>365.95</v>
      </c>
      <c r="H702" s="1">
        <v>45683</v>
      </c>
      <c r="I702" s="1">
        <v>45697</v>
      </c>
      <c r="J702" s="3">
        <v>46</v>
      </c>
      <c r="K702" s="2">
        <f>Table4[[#This Row],[Stock-Quantity]]*Table4[[#This Row],[Unit-Price]]</f>
        <v>30373.85</v>
      </c>
      <c r="L702" s="2">
        <f>Table4[[#This Row],[Stock-Quantity]]*Table4[[#This Row],[Margin-Unit]]</f>
        <v>3818</v>
      </c>
      <c r="M702">
        <f>Table4[[#This Row],[Date-Sales]]-Table4[[#This Row],[Date-Received]]</f>
        <v>14</v>
      </c>
      <c r="N702" s="6">
        <f>Table4[[#This Row],[Margin-Unit]]/Table4[[#This Row],[Unit-Price]]</f>
        <v>0.12570023227216834</v>
      </c>
    </row>
    <row r="703" spans="1:14" x14ac:dyDescent="0.3">
      <c r="A703" t="s">
        <v>746</v>
      </c>
      <c r="B703" t="s">
        <v>16</v>
      </c>
      <c r="C703" t="s">
        <v>17</v>
      </c>
      <c r="D703" t="s">
        <v>30</v>
      </c>
      <c r="E703" t="s">
        <v>31</v>
      </c>
      <c r="F703">
        <v>478</v>
      </c>
      <c r="G703" s="3">
        <v>207.93</v>
      </c>
      <c r="H703" s="1">
        <v>45778</v>
      </c>
      <c r="I703" s="1">
        <v>45793</v>
      </c>
      <c r="J703" s="3">
        <v>31.32</v>
      </c>
      <c r="K703" s="2">
        <f>Table4[[#This Row],[Stock-Quantity]]*Table4[[#This Row],[Unit-Price]]</f>
        <v>99390.540000000008</v>
      </c>
      <c r="L703" s="2">
        <f>Table4[[#This Row],[Stock-Quantity]]*Table4[[#This Row],[Margin-Unit]]</f>
        <v>14970.960000000001</v>
      </c>
      <c r="M703">
        <f>Table4[[#This Row],[Date-Sales]]-Table4[[#This Row],[Date-Received]]</f>
        <v>15</v>
      </c>
      <c r="N703" s="6">
        <f>Table4[[#This Row],[Margin-Unit]]/Table4[[#This Row],[Unit-Price]]</f>
        <v>0.15062761506276151</v>
      </c>
    </row>
    <row r="704" spans="1:14" x14ac:dyDescent="0.3">
      <c r="A704" t="s">
        <v>747</v>
      </c>
      <c r="B704" t="s">
        <v>94</v>
      </c>
      <c r="C704" t="s">
        <v>29</v>
      </c>
      <c r="D704" t="s">
        <v>40</v>
      </c>
      <c r="E704" t="s">
        <v>41</v>
      </c>
      <c r="F704">
        <v>185</v>
      </c>
      <c r="G704" s="3">
        <v>60.32</v>
      </c>
      <c r="H704" s="1">
        <v>45825</v>
      </c>
      <c r="I704" s="1">
        <v>45833</v>
      </c>
      <c r="J704" s="3">
        <v>15.74</v>
      </c>
      <c r="K704" s="2">
        <f>Table4[[#This Row],[Stock-Quantity]]*Table4[[#This Row],[Unit-Price]]</f>
        <v>11159.2</v>
      </c>
      <c r="L704" s="2">
        <f>Table4[[#This Row],[Stock-Quantity]]*Table4[[#This Row],[Margin-Unit]]</f>
        <v>2911.9</v>
      </c>
      <c r="M704">
        <f>Table4[[#This Row],[Date-Sales]]-Table4[[#This Row],[Date-Received]]</f>
        <v>8</v>
      </c>
      <c r="N704" s="6">
        <f>Table4[[#This Row],[Margin-Unit]]/Table4[[#This Row],[Unit-Price]]</f>
        <v>0.26094164456233421</v>
      </c>
    </row>
    <row r="705" spans="1:14" x14ac:dyDescent="0.3">
      <c r="A705" t="s">
        <v>748</v>
      </c>
      <c r="B705" t="s">
        <v>47</v>
      </c>
      <c r="C705" t="s">
        <v>17</v>
      </c>
      <c r="D705" t="s">
        <v>18</v>
      </c>
      <c r="E705" t="s">
        <v>19</v>
      </c>
      <c r="F705">
        <v>284</v>
      </c>
      <c r="G705" s="3">
        <v>416.67</v>
      </c>
      <c r="H705" s="1">
        <v>45789</v>
      </c>
      <c r="I705" s="1">
        <v>45799</v>
      </c>
      <c r="J705" s="3">
        <v>46.96</v>
      </c>
      <c r="K705" s="2">
        <f>Table4[[#This Row],[Stock-Quantity]]*Table4[[#This Row],[Unit-Price]]</f>
        <v>118334.28</v>
      </c>
      <c r="L705" s="2">
        <f>Table4[[#This Row],[Stock-Quantity]]*Table4[[#This Row],[Margin-Unit]]</f>
        <v>13336.64</v>
      </c>
      <c r="M705">
        <f>Table4[[#This Row],[Date-Sales]]-Table4[[#This Row],[Date-Received]]</f>
        <v>10</v>
      </c>
      <c r="N705" s="6">
        <f>Table4[[#This Row],[Margin-Unit]]/Table4[[#This Row],[Unit-Price]]</f>
        <v>0.112703098375213</v>
      </c>
    </row>
    <row r="706" spans="1:14" x14ac:dyDescent="0.3">
      <c r="A706" t="s">
        <v>749</v>
      </c>
      <c r="B706" t="s">
        <v>11</v>
      </c>
      <c r="C706" t="s">
        <v>12</v>
      </c>
      <c r="D706" t="s">
        <v>18</v>
      </c>
      <c r="E706" t="s">
        <v>19</v>
      </c>
      <c r="F706">
        <v>116</v>
      </c>
      <c r="G706" s="3">
        <v>105.37</v>
      </c>
      <c r="H706" s="1">
        <v>45837</v>
      </c>
      <c r="I706" s="1">
        <v>45850</v>
      </c>
      <c r="J706" s="3">
        <v>29.24</v>
      </c>
      <c r="K706" s="2">
        <f>Table4[[#This Row],[Stock-Quantity]]*Table4[[#This Row],[Unit-Price]]</f>
        <v>12222.92</v>
      </c>
      <c r="L706" s="2">
        <f>Table4[[#This Row],[Stock-Quantity]]*Table4[[#This Row],[Margin-Unit]]</f>
        <v>3391.8399999999997</v>
      </c>
      <c r="M706">
        <f>Table4[[#This Row],[Date-Sales]]-Table4[[#This Row],[Date-Received]]</f>
        <v>13</v>
      </c>
      <c r="N706" s="6">
        <f>Table4[[#This Row],[Margin-Unit]]/Table4[[#This Row],[Unit-Price]]</f>
        <v>0.27749833918572647</v>
      </c>
    </row>
    <row r="707" spans="1:14" x14ac:dyDescent="0.3">
      <c r="A707" t="s">
        <v>750</v>
      </c>
      <c r="B707" t="s">
        <v>63</v>
      </c>
      <c r="C707" t="s">
        <v>35</v>
      </c>
      <c r="D707" t="s">
        <v>30</v>
      </c>
      <c r="E707" t="s">
        <v>31</v>
      </c>
      <c r="F707">
        <v>323</v>
      </c>
      <c r="G707" s="3">
        <v>64.45</v>
      </c>
      <c r="H707" s="1">
        <v>45693</v>
      </c>
      <c r="I707" s="1">
        <v>45717</v>
      </c>
      <c r="J707" s="3">
        <v>12.23</v>
      </c>
      <c r="K707" s="2">
        <f>Table4[[#This Row],[Stock-Quantity]]*Table4[[#This Row],[Unit-Price]]</f>
        <v>20817.350000000002</v>
      </c>
      <c r="L707" s="2">
        <f>Table4[[#This Row],[Stock-Quantity]]*Table4[[#This Row],[Margin-Unit]]</f>
        <v>3950.29</v>
      </c>
      <c r="M707">
        <f>Table4[[#This Row],[Date-Sales]]-Table4[[#This Row],[Date-Received]]</f>
        <v>24</v>
      </c>
      <c r="N707" s="6">
        <f>Table4[[#This Row],[Margin-Unit]]/Table4[[#This Row],[Unit-Price]]</f>
        <v>0.18975950349107834</v>
      </c>
    </row>
    <row r="708" spans="1:14" x14ac:dyDescent="0.3">
      <c r="A708" t="s">
        <v>751</v>
      </c>
      <c r="B708" t="s">
        <v>52</v>
      </c>
      <c r="C708" t="s">
        <v>12</v>
      </c>
      <c r="D708" t="s">
        <v>30</v>
      </c>
      <c r="E708" t="s">
        <v>31</v>
      </c>
      <c r="F708">
        <v>236</v>
      </c>
      <c r="G708" s="3">
        <v>225.1</v>
      </c>
      <c r="H708" s="1">
        <v>45731</v>
      </c>
      <c r="I708" s="1">
        <v>45741</v>
      </c>
      <c r="J708" s="3">
        <v>29.54</v>
      </c>
      <c r="K708" s="2">
        <f>Table4[[#This Row],[Stock-Quantity]]*Table4[[#This Row],[Unit-Price]]</f>
        <v>53123.6</v>
      </c>
      <c r="L708" s="2">
        <f>Table4[[#This Row],[Stock-Quantity]]*Table4[[#This Row],[Margin-Unit]]</f>
        <v>6971.44</v>
      </c>
      <c r="M708">
        <f>Table4[[#This Row],[Date-Sales]]-Table4[[#This Row],[Date-Received]]</f>
        <v>10</v>
      </c>
      <c r="N708" s="6">
        <f>Table4[[#This Row],[Margin-Unit]]/Table4[[#This Row],[Unit-Price]]</f>
        <v>0.1312305641936917</v>
      </c>
    </row>
    <row r="709" spans="1:14" x14ac:dyDescent="0.3">
      <c r="A709" t="s">
        <v>752</v>
      </c>
      <c r="B709" t="s">
        <v>34</v>
      </c>
      <c r="C709" t="s">
        <v>35</v>
      </c>
      <c r="D709" t="s">
        <v>40</v>
      </c>
      <c r="E709" t="s">
        <v>41</v>
      </c>
      <c r="F709">
        <v>60</v>
      </c>
      <c r="G709" s="3">
        <v>91.38</v>
      </c>
      <c r="H709" s="1">
        <v>45727</v>
      </c>
      <c r="I709" s="1">
        <v>45750</v>
      </c>
      <c r="J709" s="3">
        <v>12.16</v>
      </c>
      <c r="K709" s="2">
        <f>Table4[[#This Row],[Stock-Quantity]]*Table4[[#This Row],[Unit-Price]]</f>
        <v>5482.7999999999993</v>
      </c>
      <c r="L709" s="2">
        <f>Table4[[#This Row],[Stock-Quantity]]*Table4[[#This Row],[Margin-Unit]]</f>
        <v>729.6</v>
      </c>
      <c r="M709">
        <f>Table4[[#This Row],[Date-Sales]]-Table4[[#This Row],[Date-Received]]</f>
        <v>23</v>
      </c>
      <c r="N709" s="6">
        <f>Table4[[#This Row],[Margin-Unit]]/Table4[[#This Row],[Unit-Price]]</f>
        <v>0.13307069380608449</v>
      </c>
    </row>
    <row r="710" spans="1:14" x14ac:dyDescent="0.3">
      <c r="A710" t="s">
        <v>753</v>
      </c>
      <c r="B710" t="s">
        <v>80</v>
      </c>
      <c r="C710" t="s">
        <v>29</v>
      </c>
      <c r="D710" t="s">
        <v>40</v>
      </c>
      <c r="E710" t="s">
        <v>41</v>
      </c>
      <c r="F710">
        <v>240</v>
      </c>
      <c r="G710" s="3">
        <v>413.2</v>
      </c>
      <c r="H710" s="1">
        <v>45679</v>
      </c>
      <c r="I710" s="1">
        <v>45686</v>
      </c>
      <c r="J710" s="3">
        <v>104.17</v>
      </c>
      <c r="K710" s="2">
        <f>Table4[[#This Row],[Stock-Quantity]]*Table4[[#This Row],[Unit-Price]]</f>
        <v>99168</v>
      </c>
      <c r="L710" s="2">
        <f>Table4[[#This Row],[Stock-Quantity]]*Table4[[#This Row],[Margin-Unit]]</f>
        <v>25000.799999999999</v>
      </c>
      <c r="M710">
        <f>Table4[[#This Row],[Date-Sales]]-Table4[[#This Row],[Date-Received]]</f>
        <v>7</v>
      </c>
      <c r="N710" s="6">
        <f>Table4[[#This Row],[Margin-Unit]]/Table4[[#This Row],[Unit-Price]]</f>
        <v>0.25210551790900293</v>
      </c>
    </row>
    <row r="711" spans="1:14" x14ac:dyDescent="0.3">
      <c r="A711" t="s">
        <v>754</v>
      </c>
      <c r="B711" t="s">
        <v>70</v>
      </c>
      <c r="C711" t="s">
        <v>35</v>
      </c>
      <c r="D711" t="s">
        <v>30</v>
      </c>
      <c r="E711" t="s">
        <v>31</v>
      </c>
      <c r="F711">
        <v>375</v>
      </c>
      <c r="G711" s="3">
        <v>318.57</v>
      </c>
      <c r="H711" s="1">
        <v>45686</v>
      </c>
      <c r="I711" s="1">
        <v>45693</v>
      </c>
      <c r="J711" s="3">
        <v>62.99</v>
      </c>
      <c r="K711" s="2">
        <f>Table4[[#This Row],[Stock-Quantity]]*Table4[[#This Row],[Unit-Price]]</f>
        <v>119463.75</v>
      </c>
      <c r="L711" s="2">
        <f>Table4[[#This Row],[Stock-Quantity]]*Table4[[#This Row],[Margin-Unit]]</f>
        <v>23621.25</v>
      </c>
      <c r="M711">
        <f>Table4[[#This Row],[Date-Sales]]-Table4[[#This Row],[Date-Received]]</f>
        <v>7</v>
      </c>
      <c r="N711" s="6">
        <f>Table4[[#This Row],[Margin-Unit]]/Table4[[#This Row],[Unit-Price]]</f>
        <v>0.19772734406880749</v>
      </c>
    </row>
    <row r="712" spans="1:14" x14ac:dyDescent="0.3">
      <c r="A712" t="s">
        <v>755</v>
      </c>
      <c r="B712" t="s">
        <v>11</v>
      </c>
      <c r="C712" t="s">
        <v>12</v>
      </c>
      <c r="D712" t="s">
        <v>40</v>
      </c>
      <c r="E712" t="s">
        <v>41</v>
      </c>
      <c r="F712">
        <v>434</v>
      </c>
      <c r="G712" s="3">
        <v>351.72</v>
      </c>
      <c r="H712" s="1">
        <v>45711</v>
      </c>
      <c r="I712" s="1">
        <v>45726</v>
      </c>
      <c r="J712" s="3">
        <v>67.25</v>
      </c>
      <c r="K712" s="2">
        <f>Table4[[#This Row],[Stock-Quantity]]*Table4[[#This Row],[Unit-Price]]</f>
        <v>152646.48000000001</v>
      </c>
      <c r="L712" s="2">
        <f>Table4[[#This Row],[Stock-Quantity]]*Table4[[#This Row],[Margin-Unit]]</f>
        <v>29186.5</v>
      </c>
      <c r="M712">
        <f>Table4[[#This Row],[Date-Sales]]-Table4[[#This Row],[Date-Received]]</f>
        <v>15</v>
      </c>
      <c r="N712" s="6">
        <f>Table4[[#This Row],[Margin-Unit]]/Table4[[#This Row],[Unit-Price]]</f>
        <v>0.1912032298419197</v>
      </c>
    </row>
    <row r="713" spans="1:14" x14ac:dyDescent="0.3">
      <c r="A713" t="s">
        <v>756</v>
      </c>
      <c r="B713" t="s">
        <v>52</v>
      </c>
      <c r="C713" t="s">
        <v>12</v>
      </c>
      <c r="D713" t="s">
        <v>30</v>
      </c>
      <c r="E713" t="s">
        <v>31</v>
      </c>
      <c r="F713">
        <v>401</v>
      </c>
      <c r="G713" s="3">
        <v>458.36</v>
      </c>
      <c r="H713" s="1">
        <v>45691</v>
      </c>
      <c r="I713" s="1">
        <v>45702</v>
      </c>
      <c r="J713" s="3">
        <v>90.66</v>
      </c>
      <c r="K713" s="2">
        <f>Table4[[#This Row],[Stock-Quantity]]*Table4[[#This Row],[Unit-Price]]</f>
        <v>183802.36000000002</v>
      </c>
      <c r="L713" s="2">
        <f>Table4[[#This Row],[Stock-Quantity]]*Table4[[#This Row],[Margin-Unit]]</f>
        <v>36354.659999999996</v>
      </c>
      <c r="M713">
        <f>Table4[[#This Row],[Date-Sales]]-Table4[[#This Row],[Date-Received]]</f>
        <v>11</v>
      </c>
      <c r="N713" s="6">
        <f>Table4[[#This Row],[Margin-Unit]]/Table4[[#This Row],[Unit-Price]]</f>
        <v>0.19779212845798061</v>
      </c>
    </row>
    <row r="714" spans="1:14" x14ac:dyDescent="0.3">
      <c r="A714" t="s">
        <v>757</v>
      </c>
      <c r="B714" t="s">
        <v>28</v>
      </c>
      <c r="C714" t="s">
        <v>29</v>
      </c>
      <c r="D714" t="s">
        <v>18</v>
      </c>
      <c r="E714" t="s">
        <v>19</v>
      </c>
      <c r="F714">
        <v>132</v>
      </c>
      <c r="G714" s="3">
        <v>314.86</v>
      </c>
      <c r="H714" s="1">
        <v>45661</v>
      </c>
      <c r="I714" s="1">
        <v>45668</v>
      </c>
      <c r="J714" s="3">
        <v>59.95</v>
      </c>
      <c r="K714" s="2">
        <f>Table4[[#This Row],[Stock-Quantity]]*Table4[[#This Row],[Unit-Price]]</f>
        <v>41561.520000000004</v>
      </c>
      <c r="L714" s="2">
        <f>Table4[[#This Row],[Stock-Quantity]]*Table4[[#This Row],[Margin-Unit]]</f>
        <v>7913.4000000000005</v>
      </c>
      <c r="M714">
        <f>Table4[[#This Row],[Date-Sales]]-Table4[[#This Row],[Date-Received]]</f>
        <v>7</v>
      </c>
      <c r="N714" s="6">
        <f>Table4[[#This Row],[Margin-Unit]]/Table4[[#This Row],[Unit-Price]]</f>
        <v>0.19040208346566728</v>
      </c>
    </row>
    <row r="715" spans="1:14" x14ac:dyDescent="0.3">
      <c r="A715" t="s">
        <v>758</v>
      </c>
      <c r="B715" t="s">
        <v>106</v>
      </c>
      <c r="C715" t="s">
        <v>17</v>
      </c>
      <c r="D715" t="s">
        <v>30</v>
      </c>
      <c r="E715" t="s">
        <v>31</v>
      </c>
      <c r="F715">
        <v>380</v>
      </c>
      <c r="G715" s="3">
        <v>442.21</v>
      </c>
      <c r="H715" s="1">
        <v>45830</v>
      </c>
      <c r="I715" s="1">
        <v>45857</v>
      </c>
      <c r="J715" s="3">
        <v>115.66</v>
      </c>
      <c r="K715" s="2">
        <f>Table4[[#This Row],[Stock-Quantity]]*Table4[[#This Row],[Unit-Price]]</f>
        <v>168039.8</v>
      </c>
      <c r="L715" s="2">
        <f>Table4[[#This Row],[Stock-Quantity]]*Table4[[#This Row],[Margin-Unit]]</f>
        <v>43950.799999999996</v>
      </c>
      <c r="M715">
        <f>Table4[[#This Row],[Date-Sales]]-Table4[[#This Row],[Date-Received]]</f>
        <v>27</v>
      </c>
      <c r="N715" s="6">
        <f>Table4[[#This Row],[Margin-Unit]]/Table4[[#This Row],[Unit-Price]]</f>
        <v>0.26154994233508966</v>
      </c>
    </row>
    <row r="716" spans="1:14" x14ac:dyDescent="0.3">
      <c r="A716" t="s">
        <v>759</v>
      </c>
      <c r="B716" t="s">
        <v>39</v>
      </c>
      <c r="C716" t="s">
        <v>12</v>
      </c>
      <c r="D716" t="s">
        <v>13</v>
      </c>
      <c r="E716" t="s">
        <v>14</v>
      </c>
      <c r="F716">
        <v>347</v>
      </c>
      <c r="G716" s="3">
        <v>186.59</v>
      </c>
      <c r="H716" s="1">
        <v>45707</v>
      </c>
      <c r="I716" s="1">
        <v>45724</v>
      </c>
      <c r="J716" s="3">
        <v>44.96</v>
      </c>
      <c r="K716" s="2">
        <f>Table4[[#This Row],[Stock-Quantity]]*Table4[[#This Row],[Unit-Price]]</f>
        <v>64746.73</v>
      </c>
      <c r="L716" s="2">
        <f>Table4[[#This Row],[Stock-Quantity]]*Table4[[#This Row],[Margin-Unit]]</f>
        <v>15601.12</v>
      </c>
      <c r="M716">
        <f>Table4[[#This Row],[Date-Sales]]-Table4[[#This Row],[Date-Received]]</f>
        <v>17</v>
      </c>
      <c r="N716" s="6">
        <f>Table4[[#This Row],[Margin-Unit]]/Table4[[#This Row],[Unit-Price]]</f>
        <v>0.24095610697250658</v>
      </c>
    </row>
    <row r="717" spans="1:14" x14ac:dyDescent="0.3">
      <c r="A717" t="s">
        <v>760</v>
      </c>
      <c r="B717" t="s">
        <v>106</v>
      </c>
      <c r="C717" t="s">
        <v>17</v>
      </c>
      <c r="D717" t="s">
        <v>25</v>
      </c>
      <c r="E717" t="s">
        <v>26</v>
      </c>
      <c r="F717">
        <v>199</v>
      </c>
      <c r="G717" s="3">
        <v>297.14</v>
      </c>
      <c r="H717" s="1">
        <v>45706</v>
      </c>
      <c r="I717" s="1">
        <v>45713</v>
      </c>
      <c r="J717" s="3">
        <v>54.87</v>
      </c>
      <c r="K717" s="2">
        <f>Table4[[#This Row],[Stock-Quantity]]*Table4[[#This Row],[Unit-Price]]</f>
        <v>59130.86</v>
      </c>
      <c r="L717" s="2">
        <f>Table4[[#This Row],[Stock-Quantity]]*Table4[[#This Row],[Margin-Unit]]</f>
        <v>10919.13</v>
      </c>
      <c r="M717">
        <f>Table4[[#This Row],[Date-Sales]]-Table4[[#This Row],[Date-Received]]</f>
        <v>7</v>
      </c>
      <c r="N717" s="6">
        <f>Table4[[#This Row],[Margin-Unit]]/Table4[[#This Row],[Unit-Price]]</f>
        <v>0.18466042942720604</v>
      </c>
    </row>
    <row r="718" spans="1:14" x14ac:dyDescent="0.3">
      <c r="A718" t="s">
        <v>761</v>
      </c>
      <c r="B718" t="s">
        <v>116</v>
      </c>
      <c r="C718" t="s">
        <v>12</v>
      </c>
      <c r="D718" t="s">
        <v>18</v>
      </c>
      <c r="E718" t="s">
        <v>19</v>
      </c>
      <c r="F718">
        <v>428</v>
      </c>
      <c r="G718" s="3">
        <v>240.15</v>
      </c>
      <c r="H718" s="1">
        <v>45826</v>
      </c>
      <c r="I718" s="1">
        <v>45855</v>
      </c>
      <c r="J718" s="3">
        <v>53.44</v>
      </c>
      <c r="K718" s="2">
        <f>Table4[[#This Row],[Stock-Quantity]]*Table4[[#This Row],[Unit-Price]]</f>
        <v>102784.2</v>
      </c>
      <c r="L718" s="2">
        <f>Table4[[#This Row],[Stock-Quantity]]*Table4[[#This Row],[Margin-Unit]]</f>
        <v>22872.32</v>
      </c>
      <c r="M718">
        <f>Table4[[#This Row],[Date-Sales]]-Table4[[#This Row],[Date-Received]]</f>
        <v>29</v>
      </c>
      <c r="N718" s="6">
        <f>Table4[[#This Row],[Margin-Unit]]/Table4[[#This Row],[Unit-Price]]</f>
        <v>0.22252758692483862</v>
      </c>
    </row>
    <row r="719" spans="1:14" x14ac:dyDescent="0.3">
      <c r="A719" t="s">
        <v>762</v>
      </c>
      <c r="B719" t="s">
        <v>65</v>
      </c>
      <c r="C719" t="s">
        <v>22</v>
      </c>
      <c r="D719" t="s">
        <v>18</v>
      </c>
      <c r="E719" t="s">
        <v>19</v>
      </c>
      <c r="F719">
        <v>294</v>
      </c>
      <c r="G719" s="3">
        <v>269.91000000000003</v>
      </c>
      <c r="H719" s="1">
        <v>45814</v>
      </c>
      <c r="I719" s="1">
        <v>45825</v>
      </c>
      <c r="J719" s="3">
        <v>29.21</v>
      </c>
      <c r="K719" s="2">
        <f>Table4[[#This Row],[Stock-Quantity]]*Table4[[#This Row],[Unit-Price]]</f>
        <v>79353.540000000008</v>
      </c>
      <c r="L719" s="2">
        <f>Table4[[#This Row],[Stock-Quantity]]*Table4[[#This Row],[Margin-Unit]]</f>
        <v>8587.74</v>
      </c>
      <c r="M719">
        <f>Table4[[#This Row],[Date-Sales]]-Table4[[#This Row],[Date-Received]]</f>
        <v>11</v>
      </c>
      <c r="N719" s="6">
        <f>Table4[[#This Row],[Margin-Unit]]/Table4[[#This Row],[Unit-Price]]</f>
        <v>0.10822125893816456</v>
      </c>
    </row>
    <row r="720" spans="1:14" x14ac:dyDescent="0.3">
      <c r="A720" t="s">
        <v>763</v>
      </c>
      <c r="B720" t="s">
        <v>16</v>
      </c>
      <c r="C720" t="s">
        <v>17</v>
      </c>
      <c r="D720" t="s">
        <v>30</v>
      </c>
      <c r="E720" t="s">
        <v>31</v>
      </c>
      <c r="F720">
        <v>299</v>
      </c>
      <c r="G720" s="3">
        <v>72.39</v>
      </c>
      <c r="H720" s="1">
        <v>45824</v>
      </c>
      <c r="I720" s="1">
        <v>45845</v>
      </c>
      <c r="J720" s="3">
        <v>17</v>
      </c>
      <c r="K720" s="2">
        <f>Table4[[#This Row],[Stock-Quantity]]*Table4[[#This Row],[Unit-Price]]</f>
        <v>21644.61</v>
      </c>
      <c r="L720" s="2">
        <f>Table4[[#This Row],[Stock-Quantity]]*Table4[[#This Row],[Margin-Unit]]</f>
        <v>5083</v>
      </c>
      <c r="M720">
        <f>Table4[[#This Row],[Date-Sales]]-Table4[[#This Row],[Date-Received]]</f>
        <v>21</v>
      </c>
      <c r="N720" s="6">
        <f>Table4[[#This Row],[Margin-Unit]]/Table4[[#This Row],[Unit-Price]]</f>
        <v>0.2348390661693604</v>
      </c>
    </row>
    <row r="721" spans="1:14" x14ac:dyDescent="0.3">
      <c r="A721" t="s">
        <v>764</v>
      </c>
      <c r="B721" t="s">
        <v>11</v>
      </c>
      <c r="C721" t="s">
        <v>12</v>
      </c>
      <c r="D721" t="s">
        <v>13</v>
      </c>
      <c r="E721" t="s">
        <v>14</v>
      </c>
      <c r="F721">
        <v>149</v>
      </c>
      <c r="G721" s="3">
        <v>182.18</v>
      </c>
      <c r="H721" s="1">
        <v>45764</v>
      </c>
      <c r="I721" s="1">
        <v>45786</v>
      </c>
      <c r="J721" s="3">
        <v>45.55</v>
      </c>
      <c r="K721" s="2">
        <f>Table4[[#This Row],[Stock-Quantity]]*Table4[[#This Row],[Unit-Price]]</f>
        <v>27144.82</v>
      </c>
      <c r="L721" s="2">
        <f>Table4[[#This Row],[Stock-Quantity]]*Table4[[#This Row],[Margin-Unit]]</f>
        <v>6786.95</v>
      </c>
      <c r="M721">
        <f>Table4[[#This Row],[Date-Sales]]-Table4[[#This Row],[Date-Received]]</f>
        <v>22</v>
      </c>
      <c r="N721" s="6">
        <f>Table4[[#This Row],[Margin-Unit]]/Table4[[#This Row],[Unit-Price]]</f>
        <v>0.25002744538368643</v>
      </c>
    </row>
    <row r="722" spans="1:14" x14ac:dyDescent="0.3">
      <c r="A722" t="s">
        <v>765</v>
      </c>
      <c r="B722" t="s">
        <v>34</v>
      </c>
      <c r="C722" t="s">
        <v>35</v>
      </c>
      <c r="D722" t="s">
        <v>40</v>
      </c>
      <c r="E722" t="s">
        <v>41</v>
      </c>
      <c r="F722">
        <v>204</v>
      </c>
      <c r="G722" s="3">
        <v>228.39</v>
      </c>
      <c r="H722" s="1">
        <v>45675</v>
      </c>
      <c r="I722" s="1">
        <v>45688</v>
      </c>
      <c r="J722" s="3">
        <v>29.82</v>
      </c>
      <c r="K722" s="2">
        <f>Table4[[#This Row],[Stock-Quantity]]*Table4[[#This Row],[Unit-Price]]</f>
        <v>46591.56</v>
      </c>
      <c r="L722" s="2">
        <f>Table4[[#This Row],[Stock-Quantity]]*Table4[[#This Row],[Margin-Unit]]</f>
        <v>6083.28</v>
      </c>
      <c r="M722">
        <f>Table4[[#This Row],[Date-Sales]]-Table4[[#This Row],[Date-Received]]</f>
        <v>13</v>
      </c>
      <c r="N722" s="6">
        <f>Table4[[#This Row],[Margin-Unit]]/Table4[[#This Row],[Unit-Price]]</f>
        <v>0.13056613687114146</v>
      </c>
    </row>
    <row r="723" spans="1:14" x14ac:dyDescent="0.3">
      <c r="A723" t="s">
        <v>766</v>
      </c>
      <c r="B723" t="s">
        <v>116</v>
      </c>
      <c r="C723" t="s">
        <v>12</v>
      </c>
      <c r="D723" t="s">
        <v>25</v>
      </c>
      <c r="E723" t="s">
        <v>26</v>
      </c>
      <c r="F723">
        <v>104</v>
      </c>
      <c r="G723" s="3">
        <v>241.89</v>
      </c>
      <c r="H723" s="1">
        <v>45719</v>
      </c>
      <c r="I723" s="1">
        <v>45743</v>
      </c>
      <c r="J723" s="3">
        <v>64.77</v>
      </c>
      <c r="K723" s="2">
        <f>Table4[[#This Row],[Stock-Quantity]]*Table4[[#This Row],[Unit-Price]]</f>
        <v>25156.559999999998</v>
      </c>
      <c r="L723" s="2">
        <f>Table4[[#This Row],[Stock-Quantity]]*Table4[[#This Row],[Margin-Unit]]</f>
        <v>6736.08</v>
      </c>
      <c r="M723">
        <f>Table4[[#This Row],[Date-Sales]]-Table4[[#This Row],[Date-Received]]</f>
        <v>24</v>
      </c>
      <c r="N723" s="6">
        <f>Table4[[#This Row],[Margin-Unit]]/Table4[[#This Row],[Unit-Price]]</f>
        <v>0.26776634007193351</v>
      </c>
    </row>
    <row r="724" spans="1:14" x14ac:dyDescent="0.3">
      <c r="A724" t="s">
        <v>767</v>
      </c>
      <c r="B724" t="s">
        <v>11</v>
      </c>
      <c r="C724" t="s">
        <v>12</v>
      </c>
      <c r="D724" t="s">
        <v>30</v>
      </c>
      <c r="E724" t="s">
        <v>31</v>
      </c>
      <c r="F724">
        <v>311</v>
      </c>
      <c r="G724" s="3">
        <v>125.86</v>
      </c>
      <c r="H724" s="1">
        <v>45674</v>
      </c>
      <c r="I724" s="1">
        <v>45704</v>
      </c>
      <c r="J724" s="3">
        <v>27.27</v>
      </c>
      <c r="K724" s="2">
        <f>Table4[[#This Row],[Stock-Quantity]]*Table4[[#This Row],[Unit-Price]]</f>
        <v>39142.46</v>
      </c>
      <c r="L724" s="2">
        <f>Table4[[#This Row],[Stock-Quantity]]*Table4[[#This Row],[Margin-Unit]]</f>
        <v>8480.9699999999993</v>
      </c>
      <c r="M724">
        <f>Table4[[#This Row],[Date-Sales]]-Table4[[#This Row],[Date-Received]]</f>
        <v>30</v>
      </c>
      <c r="N724" s="6">
        <f>Table4[[#This Row],[Margin-Unit]]/Table4[[#This Row],[Unit-Price]]</f>
        <v>0.21666931511202925</v>
      </c>
    </row>
    <row r="725" spans="1:14" x14ac:dyDescent="0.3">
      <c r="A725" t="s">
        <v>768</v>
      </c>
      <c r="B725" t="s">
        <v>50</v>
      </c>
      <c r="C725" t="s">
        <v>17</v>
      </c>
      <c r="D725" t="s">
        <v>30</v>
      </c>
      <c r="E725" t="s">
        <v>31</v>
      </c>
      <c r="F725">
        <v>497</v>
      </c>
      <c r="G725" s="3">
        <v>265.02</v>
      </c>
      <c r="H725" s="1">
        <v>45689</v>
      </c>
      <c r="I725" s="1">
        <v>45702</v>
      </c>
      <c r="J725" s="3">
        <v>69.7</v>
      </c>
      <c r="K725" s="2">
        <f>Table4[[#This Row],[Stock-Quantity]]*Table4[[#This Row],[Unit-Price]]</f>
        <v>131714.94</v>
      </c>
      <c r="L725" s="2">
        <f>Table4[[#This Row],[Stock-Quantity]]*Table4[[#This Row],[Margin-Unit]]</f>
        <v>34640.9</v>
      </c>
      <c r="M725">
        <f>Table4[[#This Row],[Date-Sales]]-Table4[[#This Row],[Date-Received]]</f>
        <v>13</v>
      </c>
      <c r="N725" s="6">
        <f>Table4[[#This Row],[Margin-Unit]]/Table4[[#This Row],[Unit-Price]]</f>
        <v>0.2629990189419667</v>
      </c>
    </row>
    <row r="726" spans="1:14" x14ac:dyDescent="0.3">
      <c r="A726" t="s">
        <v>769</v>
      </c>
      <c r="B726" t="s">
        <v>21</v>
      </c>
      <c r="C726" t="s">
        <v>22</v>
      </c>
      <c r="D726" t="s">
        <v>30</v>
      </c>
      <c r="E726" t="s">
        <v>31</v>
      </c>
      <c r="F726">
        <v>429</v>
      </c>
      <c r="G726" s="3">
        <v>109.36</v>
      </c>
      <c r="H726" s="1">
        <v>45810</v>
      </c>
      <c r="I726" s="1">
        <v>45813</v>
      </c>
      <c r="J726" s="3">
        <v>13.47</v>
      </c>
      <c r="K726" s="2">
        <f>Table4[[#This Row],[Stock-Quantity]]*Table4[[#This Row],[Unit-Price]]</f>
        <v>46915.44</v>
      </c>
      <c r="L726" s="2">
        <f>Table4[[#This Row],[Stock-Quantity]]*Table4[[#This Row],[Margin-Unit]]</f>
        <v>5778.63</v>
      </c>
      <c r="M726">
        <f>Table4[[#This Row],[Date-Sales]]-Table4[[#This Row],[Date-Received]]</f>
        <v>3</v>
      </c>
      <c r="N726" s="6">
        <f>Table4[[#This Row],[Margin-Unit]]/Table4[[#This Row],[Unit-Price]]</f>
        <v>0.12317117776152159</v>
      </c>
    </row>
    <row r="727" spans="1:14" x14ac:dyDescent="0.3">
      <c r="A727" t="s">
        <v>770</v>
      </c>
      <c r="B727" t="s">
        <v>11</v>
      </c>
      <c r="C727" t="s">
        <v>12</v>
      </c>
      <c r="D727" t="s">
        <v>18</v>
      </c>
      <c r="E727" t="s">
        <v>19</v>
      </c>
      <c r="F727">
        <v>330</v>
      </c>
      <c r="G727" s="3">
        <v>143.36000000000001</v>
      </c>
      <c r="H727" s="1">
        <v>45799</v>
      </c>
      <c r="I727" s="1">
        <v>45802</v>
      </c>
      <c r="J727" s="3">
        <v>38.31</v>
      </c>
      <c r="K727" s="2">
        <f>Table4[[#This Row],[Stock-Quantity]]*Table4[[#This Row],[Unit-Price]]</f>
        <v>47308.800000000003</v>
      </c>
      <c r="L727" s="2">
        <f>Table4[[#This Row],[Stock-Quantity]]*Table4[[#This Row],[Margin-Unit]]</f>
        <v>12642.300000000001</v>
      </c>
      <c r="M727">
        <f>Table4[[#This Row],[Date-Sales]]-Table4[[#This Row],[Date-Received]]</f>
        <v>3</v>
      </c>
      <c r="N727" s="6">
        <f>Table4[[#This Row],[Margin-Unit]]/Table4[[#This Row],[Unit-Price]]</f>
        <v>0.2672293526785714</v>
      </c>
    </row>
    <row r="728" spans="1:14" x14ac:dyDescent="0.3">
      <c r="A728" t="s">
        <v>771</v>
      </c>
      <c r="B728" t="s">
        <v>37</v>
      </c>
      <c r="C728" t="s">
        <v>22</v>
      </c>
      <c r="D728" t="s">
        <v>13</v>
      </c>
      <c r="E728" t="s">
        <v>14</v>
      </c>
      <c r="F728">
        <v>214</v>
      </c>
      <c r="G728" s="3">
        <v>315.26</v>
      </c>
      <c r="H728" s="1">
        <v>45834</v>
      </c>
      <c r="I728" s="1">
        <v>45852</v>
      </c>
      <c r="J728" s="3">
        <v>44.99</v>
      </c>
      <c r="K728" s="2">
        <f>Table4[[#This Row],[Stock-Quantity]]*Table4[[#This Row],[Unit-Price]]</f>
        <v>67465.64</v>
      </c>
      <c r="L728" s="2">
        <f>Table4[[#This Row],[Stock-Quantity]]*Table4[[#This Row],[Margin-Unit]]</f>
        <v>9627.86</v>
      </c>
      <c r="M728">
        <f>Table4[[#This Row],[Date-Sales]]-Table4[[#This Row],[Date-Received]]</f>
        <v>18</v>
      </c>
      <c r="N728" s="6">
        <f>Table4[[#This Row],[Margin-Unit]]/Table4[[#This Row],[Unit-Price]]</f>
        <v>0.14270760642009772</v>
      </c>
    </row>
    <row r="729" spans="1:14" x14ac:dyDescent="0.3">
      <c r="A729" t="s">
        <v>772</v>
      </c>
      <c r="B729" t="s">
        <v>11</v>
      </c>
      <c r="C729" t="s">
        <v>12</v>
      </c>
      <c r="D729" t="s">
        <v>30</v>
      </c>
      <c r="E729" t="s">
        <v>31</v>
      </c>
      <c r="F729">
        <v>330</v>
      </c>
      <c r="G729" s="3">
        <v>118.2</v>
      </c>
      <c r="H729" s="1">
        <v>45736</v>
      </c>
      <c r="I729" s="1">
        <v>45760</v>
      </c>
      <c r="J729" s="3">
        <v>25.28</v>
      </c>
      <c r="K729" s="2">
        <f>Table4[[#This Row],[Stock-Quantity]]*Table4[[#This Row],[Unit-Price]]</f>
        <v>39006</v>
      </c>
      <c r="L729" s="2">
        <f>Table4[[#This Row],[Stock-Quantity]]*Table4[[#This Row],[Margin-Unit]]</f>
        <v>8342.4</v>
      </c>
      <c r="M729">
        <f>Table4[[#This Row],[Date-Sales]]-Table4[[#This Row],[Date-Received]]</f>
        <v>24</v>
      </c>
      <c r="N729" s="6">
        <f>Table4[[#This Row],[Margin-Unit]]/Table4[[#This Row],[Unit-Price]]</f>
        <v>0.21387478849407784</v>
      </c>
    </row>
    <row r="730" spans="1:14" x14ac:dyDescent="0.3">
      <c r="A730" t="s">
        <v>773</v>
      </c>
      <c r="B730" t="s">
        <v>21</v>
      </c>
      <c r="C730" t="s">
        <v>22</v>
      </c>
      <c r="D730" t="s">
        <v>40</v>
      </c>
      <c r="E730" t="s">
        <v>41</v>
      </c>
      <c r="F730">
        <v>371</v>
      </c>
      <c r="G730" s="3">
        <v>204.88</v>
      </c>
      <c r="H730" s="1">
        <v>45819</v>
      </c>
      <c r="I730" s="1">
        <v>45838</v>
      </c>
      <c r="J730" s="3">
        <v>24.98</v>
      </c>
      <c r="K730" s="2">
        <f>Table4[[#This Row],[Stock-Quantity]]*Table4[[#This Row],[Unit-Price]]</f>
        <v>76010.48</v>
      </c>
      <c r="L730" s="2">
        <f>Table4[[#This Row],[Stock-Quantity]]*Table4[[#This Row],[Margin-Unit]]</f>
        <v>9267.58</v>
      </c>
      <c r="M730">
        <f>Table4[[#This Row],[Date-Sales]]-Table4[[#This Row],[Date-Received]]</f>
        <v>19</v>
      </c>
      <c r="N730" s="6">
        <f>Table4[[#This Row],[Margin-Unit]]/Table4[[#This Row],[Unit-Price]]</f>
        <v>0.12192502928543539</v>
      </c>
    </row>
    <row r="731" spans="1:14" x14ac:dyDescent="0.3">
      <c r="A731" t="s">
        <v>774</v>
      </c>
      <c r="B731" t="s">
        <v>34</v>
      </c>
      <c r="C731" t="s">
        <v>35</v>
      </c>
      <c r="D731" t="s">
        <v>40</v>
      </c>
      <c r="E731" t="s">
        <v>41</v>
      </c>
      <c r="F731">
        <v>345</v>
      </c>
      <c r="G731" s="3">
        <v>491.76</v>
      </c>
      <c r="H731" s="1">
        <v>45666</v>
      </c>
      <c r="I731" s="1">
        <v>45691</v>
      </c>
      <c r="J731" s="3">
        <v>116.32</v>
      </c>
      <c r="K731" s="2">
        <f>Table4[[#This Row],[Stock-Quantity]]*Table4[[#This Row],[Unit-Price]]</f>
        <v>169657.19999999998</v>
      </c>
      <c r="L731" s="2">
        <f>Table4[[#This Row],[Stock-Quantity]]*Table4[[#This Row],[Margin-Unit]]</f>
        <v>40130.399999999994</v>
      </c>
      <c r="M731">
        <f>Table4[[#This Row],[Date-Sales]]-Table4[[#This Row],[Date-Received]]</f>
        <v>25</v>
      </c>
      <c r="N731" s="6">
        <f>Table4[[#This Row],[Margin-Unit]]/Table4[[#This Row],[Unit-Price]]</f>
        <v>0.23653814869041809</v>
      </c>
    </row>
    <row r="732" spans="1:14" x14ac:dyDescent="0.3">
      <c r="A732" t="s">
        <v>775</v>
      </c>
      <c r="B732" t="s">
        <v>21</v>
      </c>
      <c r="C732" t="s">
        <v>22</v>
      </c>
      <c r="D732" t="s">
        <v>25</v>
      </c>
      <c r="E732" t="s">
        <v>26</v>
      </c>
      <c r="F732">
        <v>67</v>
      </c>
      <c r="G732" s="3">
        <v>35.96</v>
      </c>
      <c r="H732" s="1">
        <v>45692</v>
      </c>
      <c r="I732" s="1">
        <v>45712</v>
      </c>
      <c r="J732" s="3">
        <v>3.69</v>
      </c>
      <c r="K732" s="2">
        <f>Table4[[#This Row],[Stock-Quantity]]*Table4[[#This Row],[Unit-Price]]</f>
        <v>2409.3200000000002</v>
      </c>
      <c r="L732" s="2">
        <f>Table4[[#This Row],[Stock-Quantity]]*Table4[[#This Row],[Margin-Unit]]</f>
        <v>247.23</v>
      </c>
      <c r="M732">
        <f>Table4[[#This Row],[Date-Sales]]-Table4[[#This Row],[Date-Received]]</f>
        <v>20</v>
      </c>
      <c r="N732" s="6">
        <f>Table4[[#This Row],[Margin-Unit]]/Table4[[#This Row],[Unit-Price]]</f>
        <v>0.10261401557285872</v>
      </c>
    </row>
    <row r="733" spans="1:14" x14ac:dyDescent="0.3">
      <c r="A733" t="s">
        <v>776</v>
      </c>
      <c r="B733" t="s">
        <v>94</v>
      </c>
      <c r="C733" t="s">
        <v>29</v>
      </c>
      <c r="D733" t="s">
        <v>40</v>
      </c>
      <c r="E733" t="s">
        <v>41</v>
      </c>
      <c r="F733">
        <v>444</v>
      </c>
      <c r="G733" s="3">
        <v>112.7</v>
      </c>
      <c r="H733" s="1">
        <v>45700</v>
      </c>
      <c r="I733" s="1">
        <v>45726</v>
      </c>
      <c r="J733" s="3">
        <v>18.57</v>
      </c>
      <c r="K733" s="2">
        <f>Table4[[#This Row],[Stock-Quantity]]*Table4[[#This Row],[Unit-Price]]</f>
        <v>50038.8</v>
      </c>
      <c r="L733" s="2">
        <f>Table4[[#This Row],[Stock-Quantity]]*Table4[[#This Row],[Margin-Unit]]</f>
        <v>8245.08</v>
      </c>
      <c r="M733">
        <f>Table4[[#This Row],[Date-Sales]]-Table4[[#This Row],[Date-Received]]</f>
        <v>26</v>
      </c>
      <c r="N733" s="6">
        <f>Table4[[#This Row],[Margin-Unit]]/Table4[[#This Row],[Unit-Price]]</f>
        <v>0.16477373558118899</v>
      </c>
    </row>
    <row r="734" spans="1:14" x14ac:dyDescent="0.3">
      <c r="A734" t="s">
        <v>777</v>
      </c>
      <c r="B734" t="s">
        <v>74</v>
      </c>
      <c r="C734" t="s">
        <v>29</v>
      </c>
      <c r="D734" t="s">
        <v>30</v>
      </c>
      <c r="E734" t="s">
        <v>31</v>
      </c>
      <c r="F734">
        <v>166</v>
      </c>
      <c r="G734" s="3">
        <v>153.68</v>
      </c>
      <c r="H734" s="1">
        <v>45707</v>
      </c>
      <c r="I734" s="1">
        <v>45711</v>
      </c>
      <c r="J734" s="3">
        <v>41.66</v>
      </c>
      <c r="K734" s="2">
        <f>Table4[[#This Row],[Stock-Quantity]]*Table4[[#This Row],[Unit-Price]]</f>
        <v>25510.880000000001</v>
      </c>
      <c r="L734" s="2">
        <f>Table4[[#This Row],[Stock-Quantity]]*Table4[[#This Row],[Margin-Unit]]</f>
        <v>6915.5599999999995</v>
      </c>
      <c r="M734">
        <f>Table4[[#This Row],[Date-Sales]]-Table4[[#This Row],[Date-Received]]</f>
        <v>4</v>
      </c>
      <c r="N734" s="6">
        <f>Table4[[#This Row],[Margin-Unit]]/Table4[[#This Row],[Unit-Price]]</f>
        <v>0.27108276939094217</v>
      </c>
    </row>
    <row r="735" spans="1:14" x14ac:dyDescent="0.3">
      <c r="A735" t="s">
        <v>778</v>
      </c>
      <c r="B735" t="s">
        <v>80</v>
      </c>
      <c r="C735" t="s">
        <v>29</v>
      </c>
      <c r="D735" t="s">
        <v>18</v>
      </c>
      <c r="E735" t="s">
        <v>19</v>
      </c>
      <c r="F735">
        <v>463</v>
      </c>
      <c r="G735" s="3">
        <v>102.02</v>
      </c>
      <c r="H735" s="1">
        <v>45806</v>
      </c>
      <c r="I735" s="1">
        <v>45816</v>
      </c>
      <c r="J735" s="3">
        <v>24.07</v>
      </c>
      <c r="K735" s="2">
        <f>Table4[[#This Row],[Stock-Quantity]]*Table4[[#This Row],[Unit-Price]]</f>
        <v>47235.259999999995</v>
      </c>
      <c r="L735" s="2">
        <f>Table4[[#This Row],[Stock-Quantity]]*Table4[[#This Row],[Margin-Unit]]</f>
        <v>11144.41</v>
      </c>
      <c r="M735">
        <f>Table4[[#This Row],[Date-Sales]]-Table4[[#This Row],[Date-Received]]</f>
        <v>10</v>
      </c>
      <c r="N735" s="6">
        <f>Table4[[#This Row],[Margin-Unit]]/Table4[[#This Row],[Unit-Price]]</f>
        <v>0.23593413056263479</v>
      </c>
    </row>
    <row r="736" spans="1:14" x14ac:dyDescent="0.3">
      <c r="A736" t="s">
        <v>779</v>
      </c>
      <c r="B736" t="s">
        <v>39</v>
      </c>
      <c r="C736" t="s">
        <v>12</v>
      </c>
      <c r="D736" t="s">
        <v>18</v>
      </c>
      <c r="E736" t="s">
        <v>19</v>
      </c>
      <c r="F736">
        <v>354</v>
      </c>
      <c r="G736" s="3">
        <v>54.14</v>
      </c>
      <c r="H736" s="1">
        <v>45794</v>
      </c>
      <c r="I736" s="1">
        <v>45818</v>
      </c>
      <c r="J736" s="3">
        <v>5.44</v>
      </c>
      <c r="K736" s="2">
        <f>Table4[[#This Row],[Stock-Quantity]]*Table4[[#This Row],[Unit-Price]]</f>
        <v>19165.560000000001</v>
      </c>
      <c r="L736" s="2">
        <f>Table4[[#This Row],[Stock-Quantity]]*Table4[[#This Row],[Margin-Unit]]</f>
        <v>1925.7600000000002</v>
      </c>
      <c r="M736">
        <f>Table4[[#This Row],[Date-Sales]]-Table4[[#This Row],[Date-Received]]</f>
        <v>24</v>
      </c>
      <c r="N736" s="6">
        <f>Table4[[#This Row],[Margin-Unit]]/Table4[[#This Row],[Unit-Price]]</f>
        <v>0.10048023642408571</v>
      </c>
    </row>
    <row r="737" spans="1:14" x14ac:dyDescent="0.3">
      <c r="A737" t="s">
        <v>780</v>
      </c>
      <c r="B737" t="s">
        <v>24</v>
      </c>
      <c r="C737" t="s">
        <v>22</v>
      </c>
      <c r="D737" t="s">
        <v>13</v>
      </c>
      <c r="E737" t="s">
        <v>14</v>
      </c>
      <c r="F737">
        <v>371</v>
      </c>
      <c r="G737" s="3">
        <v>402.44</v>
      </c>
      <c r="H737" s="1">
        <v>45708</v>
      </c>
      <c r="I737" s="1">
        <v>45732</v>
      </c>
      <c r="J737" s="3">
        <v>104.68</v>
      </c>
      <c r="K737" s="2">
        <f>Table4[[#This Row],[Stock-Quantity]]*Table4[[#This Row],[Unit-Price]]</f>
        <v>149305.24</v>
      </c>
      <c r="L737" s="2">
        <f>Table4[[#This Row],[Stock-Quantity]]*Table4[[#This Row],[Margin-Unit]]</f>
        <v>38836.280000000006</v>
      </c>
      <c r="M737">
        <f>Table4[[#This Row],[Date-Sales]]-Table4[[#This Row],[Date-Received]]</f>
        <v>24</v>
      </c>
      <c r="N737" s="6">
        <f>Table4[[#This Row],[Margin-Unit]]/Table4[[#This Row],[Unit-Price]]</f>
        <v>0.26011330881622108</v>
      </c>
    </row>
    <row r="738" spans="1:14" x14ac:dyDescent="0.3">
      <c r="A738" t="s">
        <v>781</v>
      </c>
      <c r="B738" t="s">
        <v>24</v>
      </c>
      <c r="C738" t="s">
        <v>22</v>
      </c>
      <c r="D738" t="s">
        <v>13</v>
      </c>
      <c r="E738" t="s">
        <v>14</v>
      </c>
      <c r="F738">
        <v>300</v>
      </c>
      <c r="G738" s="3">
        <v>221.06</v>
      </c>
      <c r="H738" s="1">
        <v>45777</v>
      </c>
      <c r="I738" s="1">
        <v>45778</v>
      </c>
      <c r="J738" s="3">
        <v>43.36</v>
      </c>
      <c r="K738" s="2">
        <f>Table4[[#This Row],[Stock-Quantity]]*Table4[[#This Row],[Unit-Price]]</f>
        <v>66318</v>
      </c>
      <c r="L738" s="2">
        <f>Table4[[#This Row],[Stock-Quantity]]*Table4[[#This Row],[Margin-Unit]]</f>
        <v>13008</v>
      </c>
      <c r="M738">
        <f>Table4[[#This Row],[Date-Sales]]-Table4[[#This Row],[Date-Received]]</f>
        <v>1</v>
      </c>
      <c r="N738" s="6">
        <f>Table4[[#This Row],[Margin-Unit]]/Table4[[#This Row],[Unit-Price]]</f>
        <v>0.19614584275762237</v>
      </c>
    </row>
    <row r="739" spans="1:14" x14ac:dyDescent="0.3">
      <c r="A739" t="s">
        <v>782</v>
      </c>
      <c r="B739" t="s">
        <v>74</v>
      </c>
      <c r="C739" t="s">
        <v>29</v>
      </c>
      <c r="D739" t="s">
        <v>40</v>
      </c>
      <c r="E739" t="s">
        <v>41</v>
      </c>
      <c r="F739">
        <v>441</v>
      </c>
      <c r="G739" s="3">
        <v>25.14</v>
      </c>
      <c r="H739" s="1">
        <v>45837</v>
      </c>
      <c r="I739" s="1">
        <v>45847</v>
      </c>
      <c r="J739" s="3">
        <v>5.14</v>
      </c>
      <c r="K739" s="2">
        <f>Table4[[#This Row],[Stock-Quantity]]*Table4[[#This Row],[Unit-Price]]</f>
        <v>11086.74</v>
      </c>
      <c r="L739" s="2">
        <f>Table4[[#This Row],[Stock-Quantity]]*Table4[[#This Row],[Margin-Unit]]</f>
        <v>2266.7399999999998</v>
      </c>
      <c r="M739">
        <f>Table4[[#This Row],[Date-Sales]]-Table4[[#This Row],[Date-Received]]</f>
        <v>10</v>
      </c>
      <c r="N739" s="6">
        <f>Table4[[#This Row],[Margin-Unit]]/Table4[[#This Row],[Unit-Price]]</f>
        <v>0.20445505171042161</v>
      </c>
    </row>
    <row r="740" spans="1:14" x14ac:dyDescent="0.3">
      <c r="A740" t="s">
        <v>783</v>
      </c>
      <c r="B740" t="s">
        <v>43</v>
      </c>
      <c r="C740" t="s">
        <v>35</v>
      </c>
      <c r="D740" t="s">
        <v>13</v>
      </c>
      <c r="E740" t="s">
        <v>14</v>
      </c>
      <c r="F740">
        <v>77</v>
      </c>
      <c r="G740" s="3">
        <v>73.92</v>
      </c>
      <c r="H740" s="1">
        <v>45694</v>
      </c>
      <c r="I740" s="1">
        <v>45712</v>
      </c>
      <c r="J740" s="3">
        <v>20.87</v>
      </c>
      <c r="K740" s="2">
        <f>Table4[[#This Row],[Stock-Quantity]]*Table4[[#This Row],[Unit-Price]]</f>
        <v>5691.84</v>
      </c>
      <c r="L740" s="2">
        <f>Table4[[#This Row],[Stock-Quantity]]*Table4[[#This Row],[Margin-Unit]]</f>
        <v>1606.99</v>
      </c>
      <c r="M740">
        <f>Table4[[#This Row],[Date-Sales]]-Table4[[#This Row],[Date-Received]]</f>
        <v>18</v>
      </c>
      <c r="N740" s="6">
        <f>Table4[[#This Row],[Margin-Unit]]/Table4[[#This Row],[Unit-Price]]</f>
        <v>0.28233225108225107</v>
      </c>
    </row>
    <row r="741" spans="1:14" x14ac:dyDescent="0.3">
      <c r="A741" t="s">
        <v>784</v>
      </c>
      <c r="B741" t="s">
        <v>94</v>
      </c>
      <c r="C741" t="s">
        <v>29</v>
      </c>
      <c r="D741" t="s">
        <v>30</v>
      </c>
      <c r="E741" t="s">
        <v>31</v>
      </c>
      <c r="F741">
        <v>19</v>
      </c>
      <c r="G741" s="3">
        <v>295.26</v>
      </c>
      <c r="H741" s="1">
        <v>45834</v>
      </c>
      <c r="I741" s="1">
        <v>45858</v>
      </c>
      <c r="J741" s="3">
        <v>57.98</v>
      </c>
      <c r="K741" s="2">
        <f>Table4[[#This Row],[Stock-Quantity]]*Table4[[#This Row],[Unit-Price]]</f>
        <v>5609.94</v>
      </c>
      <c r="L741" s="2">
        <f>Table4[[#This Row],[Stock-Quantity]]*Table4[[#This Row],[Margin-Unit]]</f>
        <v>1101.6199999999999</v>
      </c>
      <c r="M741">
        <f>Table4[[#This Row],[Date-Sales]]-Table4[[#This Row],[Date-Received]]</f>
        <v>24</v>
      </c>
      <c r="N741" s="6">
        <f>Table4[[#This Row],[Margin-Unit]]/Table4[[#This Row],[Unit-Price]]</f>
        <v>0.19636930163245953</v>
      </c>
    </row>
    <row r="742" spans="1:14" x14ac:dyDescent="0.3">
      <c r="A742" t="s">
        <v>785</v>
      </c>
      <c r="B742" t="s">
        <v>37</v>
      </c>
      <c r="C742" t="s">
        <v>22</v>
      </c>
      <c r="D742" t="s">
        <v>30</v>
      </c>
      <c r="E742" t="s">
        <v>31</v>
      </c>
      <c r="F742">
        <v>380</v>
      </c>
      <c r="G742" s="3">
        <v>254.47</v>
      </c>
      <c r="H742" s="1">
        <v>45685</v>
      </c>
      <c r="I742" s="1">
        <v>45700</v>
      </c>
      <c r="J742" s="3">
        <v>72.87</v>
      </c>
      <c r="K742" s="2">
        <f>Table4[[#This Row],[Stock-Quantity]]*Table4[[#This Row],[Unit-Price]]</f>
        <v>96698.6</v>
      </c>
      <c r="L742" s="2">
        <f>Table4[[#This Row],[Stock-Quantity]]*Table4[[#This Row],[Margin-Unit]]</f>
        <v>27690.600000000002</v>
      </c>
      <c r="M742">
        <f>Table4[[#This Row],[Date-Sales]]-Table4[[#This Row],[Date-Received]]</f>
        <v>15</v>
      </c>
      <c r="N742" s="6">
        <f>Table4[[#This Row],[Margin-Unit]]/Table4[[#This Row],[Unit-Price]]</f>
        <v>0.28635988525169964</v>
      </c>
    </row>
    <row r="743" spans="1:14" x14ac:dyDescent="0.3">
      <c r="A743" t="s">
        <v>786</v>
      </c>
      <c r="B743" t="s">
        <v>116</v>
      </c>
      <c r="C743" t="s">
        <v>12</v>
      </c>
      <c r="D743" t="s">
        <v>40</v>
      </c>
      <c r="E743" t="s">
        <v>41</v>
      </c>
      <c r="F743">
        <v>437</v>
      </c>
      <c r="G743" s="3">
        <v>81.03</v>
      </c>
      <c r="H743" s="1">
        <v>45685</v>
      </c>
      <c r="I743" s="1">
        <v>45687</v>
      </c>
      <c r="J743" s="3">
        <v>14.12</v>
      </c>
      <c r="K743" s="2">
        <f>Table4[[#This Row],[Stock-Quantity]]*Table4[[#This Row],[Unit-Price]]</f>
        <v>35410.11</v>
      </c>
      <c r="L743" s="2">
        <f>Table4[[#This Row],[Stock-Quantity]]*Table4[[#This Row],[Margin-Unit]]</f>
        <v>6170.44</v>
      </c>
      <c r="M743">
        <f>Table4[[#This Row],[Date-Sales]]-Table4[[#This Row],[Date-Received]]</f>
        <v>2</v>
      </c>
      <c r="N743" s="6">
        <f>Table4[[#This Row],[Margin-Unit]]/Table4[[#This Row],[Unit-Price]]</f>
        <v>0.17425644822905095</v>
      </c>
    </row>
    <row r="744" spans="1:14" x14ac:dyDescent="0.3">
      <c r="A744" t="s">
        <v>787</v>
      </c>
      <c r="B744" t="s">
        <v>70</v>
      </c>
      <c r="C744" t="s">
        <v>35</v>
      </c>
      <c r="D744" t="s">
        <v>40</v>
      </c>
      <c r="E744" t="s">
        <v>41</v>
      </c>
      <c r="F744">
        <v>140</v>
      </c>
      <c r="G744" s="3">
        <v>286.58</v>
      </c>
      <c r="H744" s="1">
        <v>45696</v>
      </c>
      <c r="I744" s="1">
        <v>45711</v>
      </c>
      <c r="J744" s="3">
        <v>71.45</v>
      </c>
      <c r="K744" s="2">
        <f>Table4[[#This Row],[Stock-Quantity]]*Table4[[#This Row],[Unit-Price]]</f>
        <v>40121.199999999997</v>
      </c>
      <c r="L744" s="2">
        <f>Table4[[#This Row],[Stock-Quantity]]*Table4[[#This Row],[Margin-Unit]]</f>
        <v>10003</v>
      </c>
      <c r="M744">
        <f>Table4[[#This Row],[Date-Sales]]-Table4[[#This Row],[Date-Received]]</f>
        <v>15</v>
      </c>
      <c r="N744" s="6">
        <f>Table4[[#This Row],[Margin-Unit]]/Table4[[#This Row],[Unit-Price]]</f>
        <v>0.2493195617279643</v>
      </c>
    </row>
    <row r="745" spans="1:14" x14ac:dyDescent="0.3">
      <c r="A745" t="s">
        <v>788</v>
      </c>
      <c r="B745" t="s">
        <v>50</v>
      </c>
      <c r="C745" t="s">
        <v>17</v>
      </c>
      <c r="D745" t="s">
        <v>13</v>
      </c>
      <c r="E745" t="s">
        <v>14</v>
      </c>
      <c r="F745">
        <v>148</v>
      </c>
      <c r="G745" s="3">
        <v>413.06</v>
      </c>
      <c r="H745" s="1">
        <v>45772</v>
      </c>
      <c r="I745" s="1">
        <v>45783</v>
      </c>
      <c r="J745" s="3">
        <v>120.36</v>
      </c>
      <c r="K745" s="2">
        <f>Table4[[#This Row],[Stock-Quantity]]*Table4[[#This Row],[Unit-Price]]</f>
        <v>61132.88</v>
      </c>
      <c r="L745" s="2">
        <f>Table4[[#This Row],[Stock-Quantity]]*Table4[[#This Row],[Margin-Unit]]</f>
        <v>17813.28</v>
      </c>
      <c r="M745">
        <f>Table4[[#This Row],[Date-Sales]]-Table4[[#This Row],[Date-Received]]</f>
        <v>11</v>
      </c>
      <c r="N745" s="6">
        <f>Table4[[#This Row],[Margin-Unit]]/Table4[[#This Row],[Unit-Price]]</f>
        <v>0.29138623928727059</v>
      </c>
    </row>
    <row r="746" spans="1:14" x14ac:dyDescent="0.3">
      <c r="A746" t="s">
        <v>789</v>
      </c>
      <c r="B746" t="s">
        <v>80</v>
      </c>
      <c r="C746" t="s">
        <v>29</v>
      </c>
      <c r="D746" t="s">
        <v>25</v>
      </c>
      <c r="E746" t="s">
        <v>26</v>
      </c>
      <c r="F746">
        <v>314</v>
      </c>
      <c r="G746" s="3">
        <v>467.9</v>
      </c>
      <c r="H746" s="1">
        <v>45678</v>
      </c>
      <c r="I746" s="1">
        <v>45702</v>
      </c>
      <c r="J746" s="3">
        <v>105.69</v>
      </c>
      <c r="K746" s="2">
        <f>Table4[[#This Row],[Stock-Quantity]]*Table4[[#This Row],[Unit-Price]]</f>
        <v>146920.6</v>
      </c>
      <c r="L746" s="2">
        <f>Table4[[#This Row],[Stock-Quantity]]*Table4[[#This Row],[Margin-Unit]]</f>
        <v>33186.659999999996</v>
      </c>
      <c r="M746">
        <f>Table4[[#This Row],[Date-Sales]]-Table4[[#This Row],[Date-Received]]</f>
        <v>24</v>
      </c>
      <c r="N746" s="6">
        <f>Table4[[#This Row],[Margin-Unit]]/Table4[[#This Row],[Unit-Price]]</f>
        <v>0.22588159863218638</v>
      </c>
    </row>
    <row r="747" spans="1:14" x14ac:dyDescent="0.3">
      <c r="A747" t="s">
        <v>790</v>
      </c>
      <c r="B747" t="s">
        <v>24</v>
      </c>
      <c r="C747" t="s">
        <v>22</v>
      </c>
      <c r="D747" t="s">
        <v>30</v>
      </c>
      <c r="E747" t="s">
        <v>31</v>
      </c>
      <c r="F747">
        <v>294</v>
      </c>
      <c r="G747" s="3">
        <v>52.8</v>
      </c>
      <c r="H747" s="1">
        <v>45831</v>
      </c>
      <c r="I747" s="1">
        <v>45835</v>
      </c>
      <c r="J747" s="3">
        <v>14.62</v>
      </c>
      <c r="K747" s="2">
        <f>Table4[[#This Row],[Stock-Quantity]]*Table4[[#This Row],[Unit-Price]]</f>
        <v>15523.199999999999</v>
      </c>
      <c r="L747" s="2">
        <f>Table4[[#This Row],[Stock-Quantity]]*Table4[[#This Row],[Margin-Unit]]</f>
        <v>4298.28</v>
      </c>
      <c r="M747">
        <f>Table4[[#This Row],[Date-Sales]]-Table4[[#This Row],[Date-Received]]</f>
        <v>4</v>
      </c>
      <c r="N747" s="6">
        <f>Table4[[#This Row],[Margin-Unit]]/Table4[[#This Row],[Unit-Price]]</f>
        <v>0.27689393939393941</v>
      </c>
    </row>
    <row r="748" spans="1:14" x14ac:dyDescent="0.3">
      <c r="A748" t="s">
        <v>791</v>
      </c>
      <c r="B748" t="s">
        <v>80</v>
      </c>
      <c r="C748" t="s">
        <v>29</v>
      </c>
      <c r="D748" t="s">
        <v>25</v>
      </c>
      <c r="E748" t="s">
        <v>26</v>
      </c>
      <c r="F748">
        <v>298</v>
      </c>
      <c r="G748" s="3">
        <v>53.61</v>
      </c>
      <c r="H748" s="1">
        <v>45761</v>
      </c>
      <c r="I748" s="1">
        <v>45774</v>
      </c>
      <c r="J748" s="3">
        <v>9.35</v>
      </c>
      <c r="K748" s="2">
        <f>Table4[[#This Row],[Stock-Quantity]]*Table4[[#This Row],[Unit-Price]]</f>
        <v>15975.78</v>
      </c>
      <c r="L748" s="2">
        <f>Table4[[#This Row],[Stock-Quantity]]*Table4[[#This Row],[Margin-Unit]]</f>
        <v>2786.2999999999997</v>
      </c>
      <c r="M748">
        <f>Table4[[#This Row],[Date-Sales]]-Table4[[#This Row],[Date-Received]]</f>
        <v>13</v>
      </c>
      <c r="N748" s="6">
        <f>Table4[[#This Row],[Margin-Unit]]/Table4[[#This Row],[Unit-Price]]</f>
        <v>0.17440775974631598</v>
      </c>
    </row>
    <row r="749" spans="1:14" x14ac:dyDescent="0.3">
      <c r="A749" t="s">
        <v>792</v>
      </c>
      <c r="B749" t="s">
        <v>24</v>
      </c>
      <c r="C749" t="s">
        <v>22</v>
      </c>
      <c r="D749" t="s">
        <v>40</v>
      </c>
      <c r="E749" t="s">
        <v>41</v>
      </c>
      <c r="F749">
        <v>218</v>
      </c>
      <c r="G749" s="3">
        <v>405.35</v>
      </c>
      <c r="H749" s="1">
        <v>45693</v>
      </c>
      <c r="I749" s="1">
        <v>45706</v>
      </c>
      <c r="J749" s="3">
        <v>118.62</v>
      </c>
      <c r="K749" s="2">
        <f>Table4[[#This Row],[Stock-Quantity]]*Table4[[#This Row],[Unit-Price]]</f>
        <v>88366.3</v>
      </c>
      <c r="L749" s="2">
        <f>Table4[[#This Row],[Stock-Quantity]]*Table4[[#This Row],[Margin-Unit]]</f>
        <v>25859.16</v>
      </c>
      <c r="M749">
        <f>Table4[[#This Row],[Date-Sales]]-Table4[[#This Row],[Date-Received]]</f>
        <v>13</v>
      </c>
      <c r="N749" s="6">
        <f>Table4[[#This Row],[Margin-Unit]]/Table4[[#This Row],[Unit-Price]]</f>
        <v>0.29263599358579007</v>
      </c>
    </row>
    <row r="750" spans="1:14" x14ac:dyDescent="0.3">
      <c r="A750" t="s">
        <v>793</v>
      </c>
      <c r="B750" t="s">
        <v>50</v>
      </c>
      <c r="C750" t="s">
        <v>17</v>
      </c>
      <c r="D750" t="s">
        <v>25</v>
      </c>
      <c r="E750" t="s">
        <v>26</v>
      </c>
      <c r="F750">
        <v>232</v>
      </c>
      <c r="G750" s="3">
        <v>165.9</v>
      </c>
      <c r="H750" s="1">
        <v>45728</v>
      </c>
      <c r="I750" s="1">
        <v>45736</v>
      </c>
      <c r="J750" s="3">
        <v>30.3</v>
      </c>
      <c r="K750" s="2">
        <f>Table4[[#This Row],[Stock-Quantity]]*Table4[[#This Row],[Unit-Price]]</f>
        <v>38488.800000000003</v>
      </c>
      <c r="L750" s="2">
        <f>Table4[[#This Row],[Stock-Quantity]]*Table4[[#This Row],[Margin-Unit]]</f>
        <v>7029.6</v>
      </c>
      <c r="M750">
        <f>Table4[[#This Row],[Date-Sales]]-Table4[[#This Row],[Date-Received]]</f>
        <v>8</v>
      </c>
      <c r="N750" s="6">
        <f>Table4[[#This Row],[Margin-Unit]]/Table4[[#This Row],[Unit-Price]]</f>
        <v>0.18264014466546111</v>
      </c>
    </row>
    <row r="751" spans="1:14" x14ac:dyDescent="0.3">
      <c r="A751" t="s">
        <v>794</v>
      </c>
      <c r="B751" t="s">
        <v>106</v>
      </c>
      <c r="C751" t="s">
        <v>17</v>
      </c>
      <c r="D751" t="s">
        <v>40</v>
      </c>
      <c r="E751" t="s">
        <v>41</v>
      </c>
      <c r="F751">
        <v>178</v>
      </c>
      <c r="G751" s="3">
        <v>367.46</v>
      </c>
      <c r="H751" s="1">
        <v>45804</v>
      </c>
      <c r="I751" s="1">
        <v>45815</v>
      </c>
      <c r="J751" s="3">
        <v>48.92</v>
      </c>
      <c r="K751" s="2">
        <f>Table4[[#This Row],[Stock-Quantity]]*Table4[[#This Row],[Unit-Price]]</f>
        <v>65407.88</v>
      </c>
      <c r="L751" s="2">
        <f>Table4[[#This Row],[Stock-Quantity]]*Table4[[#This Row],[Margin-Unit]]</f>
        <v>8707.76</v>
      </c>
      <c r="M751">
        <f>Table4[[#This Row],[Date-Sales]]-Table4[[#This Row],[Date-Received]]</f>
        <v>11</v>
      </c>
      <c r="N751" s="6">
        <f>Table4[[#This Row],[Margin-Unit]]/Table4[[#This Row],[Unit-Price]]</f>
        <v>0.13313013661350898</v>
      </c>
    </row>
    <row r="752" spans="1:14" x14ac:dyDescent="0.3">
      <c r="A752" t="s">
        <v>795</v>
      </c>
      <c r="B752" t="s">
        <v>63</v>
      </c>
      <c r="C752" t="s">
        <v>35</v>
      </c>
      <c r="D752" t="s">
        <v>18</v>
      </c>
      <c r="E752" t="s">
        <v>19</v>
      </c>
      <c r="F752">
        <v>375</v>
      </c>
      <c r="G752" s="3">
        <v>82.93</v>
      </c>
      <c r="H752" s="1">
        <v>45786</v>
      </c>
      <c r="I752" s="1">
        <v>45795</v>
      </c>
      <c r="J752" s="3">
        <v>12.35</v>
      </c>
      <c r="K752" s="2">
        <f>Table4[[#This Row],[Stock-Quantity]]*Table4[[#This Row],[Unit-Price]]</f>
        <v>31098.750000000004</v>
      </c>
      <c r="L752" s="2">
        <f>Table4[[#This Row],[Stock-Quantity]]*Table4[[#This Row],[Margin-Unit]]</f>
        <v>4631.25</v>
      </c>
      <c r="M752">
        <f>Table4[[#This Row],[Date-Sales]]-Table4[[#This Row],[Date-Received]]</f>
        <v>9</v>
      </c>
      <c r="N752" s="6">
        <f>Table4[[#This Row],[Margin-Unit]]/Table4[[#This Row],[Unit-Price]]</f>
        <v>0.14892077655854333</v>
      </c>
    </row>
    <row r="753" spans="1:14" x14ac:dyDescent="0.3">
      <c r="A753" t="s">
        <v>796</v>
      </c>
      <c r="B753" t="s">
        <v>65</v>
      </c>
      <c r="C753" t="s">
        <v>22</v>
      </c>
      <c r="D753" t="s">
        <v>18</v>
      </c>
      <c r="E753" t="s">
        <v>19</v>
      </c>
      <c r="F753">
        <v>382</v>
      </c>
      <c r="G753" s="3">
        <v>185.11</v>
      </c>
      <c r="H753" s="1">
        <v>45772</v>
      </c>
      <c r="I753" s="1">
        <v>45781</v>
      </c>
      <c r="J753" s="3">
        <v>47.67</v>
      </c>
      <c r="K753" s="2">
        <f>Table4[[#This Row],[Stock-Quantity]]*Table4[[#This Row],[Unit-Price]]</f>
        <v>70712.02</v>
      </c>
      <c r="L753" s="2">
        <f>Table4[[#This Row],[Stock-Quantity]]*Table4[[#This Row],[Margin-Unit]]</f>
        <v>18209.940000000002</v>
      </c>
      <c r="M753">
        <f>Table4[[#This Row],[Date-Sales]]-Table4[[#This Row],[Date-Received]]</f>
        <v>9</v>
      </c>
      <c r="N753" s="6">
        <f>Table4[[#This Row],[Margin-Unit]]/Table4[[#This Row],[Unit-Price]]</f>
        <v>0.25752255415698772</v>
      </c>
    </row>
    <row r="754" spans="1:14" x14ac:dyDescent="0.3">
      <c r="A754" t="s">
        <v>797</v>
      </c>
      <c r="B754" t="s">
        <v>74</v>
      </c>
      <c r="C754" t="s">
        <v>29</v>
      </c>
      <c r="D754" t="s">
        <v>18</v>
      </c>
      <c r="E754" t="s">
        <v>19</v>
      </c>
      <c r="F754">
        <v>126</v>
      </c>
      <c r="G754" s="3">
        <v>152.96</v>
      </c>
      <c r="H754" s="1">
        <v>45833</v>
      </c>
      <c r="I754" s="1">
        <v>45844</v>
      </c>
      <c r="J754" s="3">
        <v>41.88</v>
      </c>
      <c r="K754" s="2">
        <f>Table4[[#This Row],[Stock-Quantity]]*Table4[[#This Row],[Unit-Price]]</f>
        <v>19272.960000000003</v>
      </c>
      <c r="L754" s="2">
        <f>Table4[[#This Row],[Stock-Quantity]]*Table4[[#This Row],[Margin-Unit]]</f>
        <v>5276.88</v>
      </c>
      <c r="M754">
        <f>Table4[[#This Row],[Date-Sales]]-Table4[[#This Row],[Date-Received]]</f>
        <v>11</v>
      </c>
      <c r="N754" s="6">
        <f>Table4[[#This Row],[Margin-Unit]]/Table4[[#This Row],[Unit-Price]]</f>
        <v>0.27379707112970714</v>
      </c>
    </row>
    <row r="755" spans="1:14" x14ac:dyDescent="0.3">
      <c r="A755" t="s">
        <v>798</v>
      </c>
      <c r="B755" t="s">
        <v>43</v>
      </c>
      <c r="C755" t="s">
        <v>35</v>
      </c>
      <c r="D755" t="s">
        <v>13</v>
      </c>
      <c r="E755" t="s">
        <v>14</v>
      </c>
      <c r="F755">
        <v>34</v>
      </c>
      <c r="G755" s="3">
        <v>342.6</v>
      </c>
      <c r="H755" s="1">
        <v>45823</v>
      </c>
      <c r="I755" s="1">
        <v>45834</v>
      </c>
      <c r="J755" s="3">
        <v>54.09</v>
      </c>
      <c r="K755" s="2">
        <f>Table4[[#This Row],[Stock-Quantity]]*Table4[[#This Row],[Unit-Price]]</f>
        <v>11648.400000000001</v>
      </c>
      <c r="L755" s="2">
        <f>Table4[[#This Row],[Stock-Quantity]]*Table4[[#This Row],[Margin-Unit]]</f>
        <v>1839.0600000000002</v>
      </c>
      <c r="M755">
        <f>Table4[[#This Row],[Date-Sales]]-Table4[[#This Row],[Date-Received]]</f>
        <v>11</v>
      </c>
      <c r="N755" s="6">
        <f>Table4[[#This Row],[Margin-Unit]]/Table4[[#This Row],[Unit-Price]]</f>
        <v>0.15788091068301227</v>
      </c>
    </row>
    <row r="756" spans="1:14" x14ac:dyDescent="0.3">
      <c r="A756" t="s">
        <v>799</v>
      </c>
      <c r="B756" t="s">
        <v>28</v>
      </c>
      <c r="C756" t="s">
        <v>29</v>
      </c>
      <c r="D756" t="s">
        <v>40</v>
      </c>
      <c r="E756" t="s">
        <v>41</v>
      </c>
      <c r="F756">
        <v>230</v>
      </c>
      <c r="G756" s="3">
        <v>383.7</v>
      </c>
      <c r="H756" s="1">
        <v>45780</v>
      </c>
      <c r="I756" s="1">
        <v>45804</v>
      </c>
      <c r="J756" s="3">
        <v>47.56</v>
      </c>
      <c r="K756" s="2">
        <f>Table4[[#This Row],[Stock-Quantity]]*Table4[[#This Row],[Unit-Price]]</f>
        <v>88251</v>
      </c>
      <c r="L756" s="2">
        <f>Table4[[#This Row],[Stock-Quantity]]*Table4[[#This Row],[Margin-Unit]]</f>
        <v>10938.800000000001</v>
      </c>
      <c r="M756">
        <f>Table4[[#This Row],[Date-Sales]]-Table4[[#This Row],[Date-Received]]</f>
        <v>24</v>
      </c>
      <c r="N756" s="6">
        <f>Table4[[#This Row],[Margin-Unit]]/Table4[[#This Row],[Unit-Price]]</f>
        <v>0.1239510033880636</v>
      </c>
    </row>
    <row r="757" spans="1:14" x14ac:dyDescent="0.3">
      <c r="A757" t="s">
        <v>800</v>
      </c>
      <c r="B757" t="s">
        <v>43</v>
      </c>
      <c r="C757" t="s">
        <v>35</v>
      </c>
      <c r="D757" t="s">
        <v>18</v>
      </c>
      <c r="E757" t="s">
        <v>19</v>
      </c>
      <c r="F757">
        <v>39</v>
      </c>
      <c r="G757" s="3">
        <v>185.49</v>
      </c>
      <c r="H757" s="1">
        <v>45660</v>
      </c>
      <c r="I757" s="1">
        <v>45669</v>
      </c>
      <c r="J757" s="3">
        <v>27.4</v>
      </c>
      <c r="K757" s="2">
        <f>Table4[[#This Row],[Stock-Quantity]]*Table4[[#This Row],[Unit-Price]]</f>
        <v>7234.1100000000006</v>
      </c>
      <c r="L757" s="2">
        <f>Table4[[#This Row],[Stock-Quantity]]*Table4[[#This Row],[Margin-Unit]]</f>
        <v>1068.5999999999999</v>
      </c>
      <c r="M757">
        <f>Table4[[#This Row],[Date-Sales]]-Table4[[#This Row],[Date-Received]]</f>
        <v>9</v>
      </c>
      <c r="N757" s="6">
        <f>Table4[[#This Row],[Margin-Unit]]/Table4[[#This Row],[Unit-Price]]</f>
        <v>0.14771685805164697</v>
      </c>
    </row>
    <row r="758" spans="1:14" x14ac:dyDescent="0.3">
      <c r="A758" t="s">
        <v>801</v>
      </c>
      <c r="B758" t="s">
        <v>47</v>
      </c>
      <c r="C758" t="s">
        <v>17</v>
      </c>
      <c r="D758" t="s">
        <v>30</v>
      </c>
      <c r="E758" t="s">
        <v>31</v>
      </c>
      <c r="F758">
        <v>352</v>
      </c>
      <c r="G758" s="3">
        <v>217.85</v>
      </c>
      <c r="H758" s="1">
        <v>45710</v>
      </c>
      <c r="I758" s="1">
        <v>45731</v>
      </c>
      <c r="J758" s="3">
        <v>22.37</v>
      </c>
      <c r="K758" s="2">
        <f>Table4[[#This Row],[Stock-Quantity]]*Table4[[#This Row],[Unit-Price]]</f>
        <v>76683.199999999997</v>
      </c>
      <c r="L758" s="2">
        <f>Table4[[#This Row],[Stock-Quantity]]*Table4[[#This Row],[Margin-Unit]]</f>
        <v>7874.2400000000007</v>
      </c>
      <c r="M758">
        <f>Table4[[#This Row],[Date-Sales]]-Table4[[#This Row],[Date-Received]]</f>
        <v>21</v>
      </c>
      <c r="N758" s="6">
        <f>Table4[[#This Row],[Margin-Unit]]/Table4[[#This Row],[Unit-Price]]</f>
        <v>0.10268533394537527</v>
      </c>
    </row>
    <row r="759" spans="1:14" x14ac:dyDescent="0.3">
      <c r="A759" t="s">
        <v>802</v>
      </c>
      <c r="B759" t="s">
        <v>50</v>
      </c>
      <c r="C759" t="s">
        <v>17</v>
      </c>
      <c r="D759" t="s">
        <v>18</v>
      </c>
      <c r="E759" t="s">
        <v>19</v>
      </c>
      <c r="F759">
        <v>301</v>
      </c>
      <c r="G759" s="3">
        <v>122.58</v>
      </c>
      <c r="H759" s="1">
        <v>45732</v>
      </c>
      <c r="I759" s="1">
        <v>45761</v>
      </c>
      <c r="J759" s="3">
        <v>21.88</v>
      </c>
      <c r="K759" s="2">
        <f>Table4[[#This Row],[Stock-Quantity]]*Table4[[#This Row],[Unit-Price]]</f>
        <v>36896.58</v>
      </c>
      <c r="L759" s="2">
        <f>Table4[[#This Row],[Stock-Quantity]]*Table4[[#This Row],[Margin-Unit]]</f>
        <v>6585.88</v>
      </c>
      <c r="M759">
        <f>Table4[[#This Row],[Date-Sales]]-Table4[[#This Row],[Date-Received]]</f>
        <v>29</v>
      </c>
      <c r="N759" s="6">
        <f>Table4[[#This Row],[Margin-Unit]]/Table4[[#This Row],[Unit-Price]]</f>
        <v>0.17849567629303312</v>
      </c>
    </row>
    <row r="760" spans="1:14" x14ac:dyDescent="0.3">
      <c r="A760" t="s">
        <v>803</v>
      </c>
      <c r="B760" t="s">
        <v>16</v>
      </c>
      <c r="C760" t="s">
        <v>17</v>
      </c>
      <c r="D760" t="s">
        <v>13</v>
      </c>
      <c r="E760" t="s">
        <v>14</v>
      </c>
      <c r="F760">
        <v>381</v>
      </c>
      <c r="G760" s="3">
        <v>134.32</v>
      </c>
      <c r="H760" s="1">
        <v>45702</v>
      </c>
      <c r="I760" s="1">
        <v>45715</v>
      </c>
      <c r="J760" s="3">
        <v>29.08</v>
      </c>
      <c r="K760" s="2">
        <f>Table4[[#This Row],[Stock-Quantity]]*Table4[[#This Row],[Unit-Price]]</f>
        <v>51175.92</v>
      </c>
      <c r="L760" s="2">
        <f>Table4[[#This Row],[Stock-Quantity]]*Table4[[#This Row],[Margin-Unit]]</f>
        <v>11079.48</v>
      </c>
      <c r="M760">
        <f>Table4[[#This Row],[Date-Sales]]-Table4[[#This Row],[Date-Received]]</f>
        <v>13</v>
      </c>
      <c r="N760" s="6">
        <f>Table4[[#This Row],[Margin-Unit]]/Table4[[#This Row],[Unit-Price]]</f>
        <v>0.21649791542584873</v>
      </c>
    </row>
    <row r="761" spans="1:14" x14ac:dyDescent="0.3">
      <c r="A761" t="s">
        <v>804</v>
      </c>
      <c r="B761" t="s">
        <v>16</v>
      </c>
      <c r="C761" t="s">
        <v>17</v>
      </c>
      <c r="D761" t="s">
        <v>25</v>
      </c>
      <c r="E761" t="s">
        <v>26</v>
      </c>
      <c r="F761">
        <v>68</v>
      </c>
      <c r="G761" s="3">
        <v>141.53</v>
      </c>
      <c r="H761" s="1">
        <v>45806</v>
      </c>
      <c r="I761" s="1">
        <v>45815</v>
      </c>
      <c r="J761" s="3">
        <v>27.7</v>
      </c>
      <c r="K761" s="2">
        <f>Table4[[#This Row],[Stock-Quantity]]*Table4[[#This Row],[Unit-Price]]</f>
        <v>9624.0400000000009</v>
      </c>
      <c r="L761" s="2">
        <f>Table4[[#This Row],[Stock-Quantity]]*Table4[[#This Row],[Margin-Unit]]</f>
        <v>1883.6</v>
      </c>
      <c r="M761">
        <f>Table4[[#This Row],[Date-Sales]]-Table4[[#This Row],[Date-Received]]</f>
        <v>9</v>
      </c>
      <c r="N761" s="6">
        <f>Table4[[#This Row],[Margin-Unit]]/Table4[[#This Row],[Unit-Price]]</f>
        <v>0.19571822228502792</v>
      </c>
    </row>
    <row r="762" spans="1:14" x14ac:dyDescent="0.3">
      <c r="A762" t="s">
        <v>805</v>
      </c>
      <c r="B762" t="s">
        <v>74</v>
      </c>
      <c r="C762" t="s">
        <v>29</v>
      </c>
      <c r="D762" t="s">
        <v>30</v>
      </c>
      <c r="E762" t="s">
        <v>31</v>
      </c>
      <c r="F762">
        <v>469</v>
      </c>
      <c r="G762" s="3">
        <v>422.55</v>
      </c>
      <c r="H762" s="1">
        <v>45688</v>
      </c>
      <c r="I762" s="1">
        <v>45716</v>
      </c>
      <c r="J762" s="3">
        <v>93.39</v>
      </c>
      <c r="K762" s="2">
        <f>Table4[[#This Row],[Stock-Quantity]]*Table4[[#This Row],[Unit-Price]]</f>
        <v>198175.95</v>
      </c>
      <c r="L762" s="2">
        <f>Table4[[#This Row],[Stock-Quantity]]*Table4[[#This Row],[Margin-Unit]]</f>
        <v>43799.91</v>
      </c>
      <c r="M762">
        <f>Table4[[#This Row],[Date-Sales]]-Table4[[#This Row],[Date-Received]]</f>
        <v>28</v>
      </c>
      <c r="N762" s="6">
        <f>Table4[[#This Row],[Margin-Unit]]/Table4[[#This Row],[Unit-Price]]</f>
        <v>0.22101526446574368</v>
      </c>
    </row>
    <row r="763" spans="1:14" x14ac:dyDescent="0.3">
      <c r="A763" t="s">
        <v>806</v>
      </c>
      <c r="B763" t="s">
        <v>39</v>
      </c>
      <c r="C763" t="s">
        <v>12</v>
      </c>
      <c r="D763" t="s">
        <v>30</v>
      </c>
      <c r="E763" t="s">
        <v>31</v>
      </c>
      <c r="F763">
        <v>101</v>
      </c>
      <c r="G763" s="3">
        <v>130.31</v>
      </c>
      <c r="H763" s="1">
        <v>45815</v>
      </c>
      <c r="I763" s="1">
        <v>45828</v>
      </c>
      <c r="J763" s="3">
        <v>14.06</v>
      </c>
      <c r="K763" s="2">
        <f>Table4[[#This Row],[Stock-Quantity]]*Table4[[#This Row],[Unit-Price]]</f>
        <v>13161.31</v>
      </c>
      <c r="L763" s="2">
        <f>Table4[[#This Row],[Stock-Quantity]]*Table4[[#This Row],[Margin-Unit]]</f>
        <v>1420.06</v>
      </c>
      <c r="M763">
        <f>Table4[[#This Row],[Date-Sales]]-Table4[[#This Row],[Date-Received]]</f>
        <v>13</v>
      </c>
      <c r="N763" s="6">
        <f>Table4[[#This Row],[Margin-Unit]]/Table4[[#This Row],[Unit-Price]]</f>
        <v>0.10789655437034763</v>
      </c>
    </row>
    <row r="764" spans="1:14" x14ac:dyDescent="0.3">
      <c r="A764" t="s">
        <v>807</v>
      </c>
      <c r="B764" t="s">
        <v>24</v>
      </c>
      <c r="C764" t="s">
        <v>22</v>
      </c>
      <c r="D764" t="s">
        <v>13</v>
      </c>
      <c r="E764" t="s">
        <v>14</v>
      </c>
      <c r="F764">
        <v>409</v>
      </c>
      <c r="G764" s="3">
        <v>86.87</v>
      </c>
      <c r="H764" s="1">
        <v>45750</v>
      </c>
      <c r="I764" s="1">
        <v>45752</v>
      </c>
      <c r="J764" s="3">
        <v>14.12</v>
      </c>
      <c r="K764" s="2">
        <f>Table4[[#This Row],[Stock-Quantity]]*Table4[[#This Row],[Unit-Price]]</f>
        <v>35529.83</v>
      </c>
      <c r="L764" s="2">
        <f>Table4[[#This Row],[Stock-Quantity]]*Table4[[#This Row],[Margin-Unit]]</f>
        <v>5775.08</v>
      </c>
      <c r="M764">
        <f>Table4[[#This Row],[Date-Sales]]-Table4[[#This Row],[Date-Received]]</f>
        <v>2</v>
      </c>
      <c r="N764" s="6">
        <f>Table4[[#This Row],[Margin-Unit]]/Table4[[#This Row],[Unit-Price]]</f>
        <v>0.16254172902037525</v>
      </c>
    </row>
    <row r="765" spans="1:14" x14ac:dyDescent="0.3">
      <c r="A765" t="s">
        <v>808</v>
      </c>
      <c r="B765" t="s">
        <v>65</v>
      </c>
      <c r="C765" t="s">
        <v>22</v>
      </c>
      <c r="D765" t="s">
        <v>30</v>
      </c>
      <c r="E765" t="s">
        <v>31</v>
      </c>
      <c r="F765">
        <v>479</v>
      </c>
      <c r="G765" s="3">
        <v>56.48</v>
      </c>
      <c r="H765" s="1">
        <v>45780</v>
      </c>
      <c r="I765" s="1">
        <v>45795</v>
      </c>
      <c r="J765" s="3">
        <v>13.53</v>
      </c>
      <c r="K765" s="2">
        <f>Table4[[#This Row],[Stock-Quantity]]*Table4[[#This Row],[Unit-Price]]</f>
        <v>27053.919999999998</v>
      </c>
      <c r="L765" s="2">
        <f>Table4[[#This Row],[Stock-Quantity]]*Table4[[#This Row],[Margin-Unit]]</f>
        <v>6480.87</v>
      </c>
      <c r="M765">
        <f>Table4[[#This Row],[Date-Sales]]-Table4[[#This Row],[Date-Received]]</f>
        <v>15</v>
      </c>
      <c r="N765" s="6">
        <f>Table4[[#This Row],[Margin-Unit]]/Table4[[#This Row],[Unit-Price]]</f>
        <v>0.23955382436260622</v>
      </c>
    </row>
    <row r="766" spans="1:14" x14ac:dyDescent="0.3">
      <c r="A766" t="s">
        <v>809</v>
      </c>
      <c r="B766" t="s">
        <v>47</v>
      </c>
      <c r="C766" t="s">
        <v>17</v>
      </c>
      <c r="D766" t="s">
        <v>30</v>
      </c>
      <c r="E766" t="s">
        <v>31</v>
      </c>
      <c r="F766">
        <v>236</v>
      </c>
      <c r="G766" s="3">
        <v>122.69</v>
      </c>
      <c r="H766" s="1">
        <v>45728</v>
      </c>
      <c r="I766" s="1">
        <v>45756</v>
      </c>
      <c r="J766" s="3">
        <v>34.9</v>
      </c>
      <c r="K766" s="2">
        <f>Table4[[#This Row],[Stock-Quantity]]*Table4[[#This Row],[Unit-Price]]</f>
        <v>28954.84</v>
      </c>
      <c r="L766" s="2">
        <f>Table4[[#This Row],[Stock-Quantity]]*Table4[[#This Row],[Margin-Unit]]</f>
        <v>8236.4</v>
      </c>
      <c r="M766">
        <f>Table4[[#This Row],[Date-Sales]]-Table4[[#This Row],[Date-Received]]</f>
        <v>28</v>
      </c>
      <c r="N766" s="6">
        <f>Table4[[#This Row],[Margin-Unit]]/Table4[[#This Row],[Unit-Price]]</f>
        <v>0.28445676094221206</v>
      </c>
    </row>
    <row r="767" spans="1:14" x14ac:dyDescent="0.3">
      <c r="A767" t="s">
        <v>810</v>
      </c>
      <c r="B767" t="s">
        <v>39</v>
      </c>
      <c r="C767" t="s">
        <v>12</v>
      </c>
      <c r="D767" t="s">
        <v>13</v>
      </c>
      <c r="E767" t="s">
        <v>14</v>
      </c>
      <c r="F767">
        <v>402</v>
      </c>
      <c r="G767" s="3">
        <v>60.41</v>
      </c>
      <c r="H767" s="1">
        <v>45831</v>
      </c>
      <c r="I767" s="1">
        <v>45849</v>
      </c>
      <c r="J767" s="3">
        <v>10.53</v>
      </c>
      <c r="K767" s="2">
        <f>Table4[[#This Row],[Stock-Quantity]]*Table4[[#This Row],[Unit-Price]]</f>
        <v>24284.82</v>
      </c>
      <c r="L767" s="2">
        <f>Table4[[#This Row],[Stock-Quantity]]*Table4[[#This Row],[Margin-Unit]]</f>
        <v>4233.0599999999995</v>
      </c>
      <c r="M767">
        <f>Table4[[#This Row],[Date-Sales]]-Table4[[#This Row],[Date-Received]]</f>
        <v>18</v>
      </c>
      <c r="N767" s="6">
        <f>Table4[[#This Row],[Margin-Unit]]/Table4[[#This Row],[Unit-Price]]</f>
        <v>0.17430888925674556</v>
      </c>
    </row>
    <row r="768" spans="1:14" x14ac:dyDescent="0.3">
      <c r="A768" t="s">
        <v>811</v>
      </c>
      <c r="B768" t="s">
        <v>21</v>
      </c>
      <c r="C768" t="s">
        <v>22</v>
      </c>
      <c r="D768" t="s">
        <v>18</v>
      </c>
      <c r="E768" t="s">
        <v>19</v>
      </c>
      <c r="F768">
        <v>186</v>
      </c>
      <c r="G768" s="3">
        <v>459.37</v>
      </c>
      <c r="H768" s="1">
        <v>45722</v>
      </c>
      <c r="I768" s="1">
        <v>45742</v>
      </c>
      <c r="J768" s="3">
        <v>64.66</v>
      </c>
      <c r="K768" s="2">
        <f>Table4[[#This Row],[Stock-Quantity]]*Table4[[#This Row],[Unit-Price]]</f>
        <v>85442.82</v>
      </c>
      <c r="L768" s="2">
        <f>Table4[[#This Row],[Stock-Quantity]]*Table4[[#This Row],[Margin-Unit]]</f>
        <v>12026.76</v>
      </c>
      <c r="M768">
        <f>Table4[[#This Row],[Date-Sales]]-Table4[[#This Row],[Date-Received]]</f>
        <v>20</v>
      </c>
      <c r="N768" s="6">
        <f>Table4[[#This Row],[Margin-Unit]]/Table4[[#This Row],[Unit-Price]]</f>
        <v>0.14075799464483965</v>
      </c>
    </row>
    <row r="769" spans="1:14" x14ac:dyDescent="0.3">
      <c r="A769" t="s">
        <v>812</v>
      </c>
      <c r="B769" t="s">
        <v>94</v>
      </c>
      <c r="C769" t="s">
        <v>29</v>
      </c>
      <c r="D769" t="s">
        <v>30</v>
      </c>
      <c r="E769" t="s">
        <v>31</v>
      </c>
      <c r="F769">
        <v>105</v>
      </c>
      <c r="G769" s="3">
        <v>343.51</v>
      </c>
      <c r="H769" s="1">
        <v>45746</v>
      </c>
      <c r="I769" s="1">
        <v>45759</v>
      </c>
      <c r="J769" s="3">
        <v>56.25</v>
      </c>
      <c r="K769" s="2">
        <f>Table4[[#This Row],[Stock-Quantity]]*Table4[[#This Row],[Unit-Price]]</f>
        <v>36068.549999999996</v>
      </c>
      <c r="L769" s="2">
        <f>Table4[[#This Row],[Stock-Quantity]]*Table4[[#This Row],[Margin-Unit]]</f>
        <v>5906.25</v>
      </c>
      <c r="M769">
        <f>Table4[[#This Row],[Date-Sales]]-Table4[[#This Row],[Date-Received]]</f>
        <v>13</v>
      </c>
      <c r="N769" s="6">
        <f>Table4[[#This Row],[Margin-Unit]]/Table4[[#This Row],[Unit-Price]]</f>
        <v>0.16375069139180809</v>
      </c>
    </row>
    <row r="770" spans="1:14" x14ac:dyDescent="0.3">
      <c r="A770" t="s">
        <v>813</v>
      </c>
      <c r="B770" t="s">
        <v>28</v>
      </c>
      <c r="C770" t="s">
        <v>29</v>
      </c>
      <c r="D770" t="s">
        <v>30</v>
      </c>
      <c r="E770" t="s">
        <v>31</v>
      </c>
      <c r="F770">
        <v>446</v>
      </c>
      <c r="G770" s="3">
        <v>254.26</v>
      </c>
      <c r="H770" s="1">
        <v>45801</v>
      </c>
      <c r="I770" s="1">
        <v>45806</v>
      </c>
      <c r="J770" s="3">
        <v>30</v>
      </c>
      <c r="K770" s="2">
        <f>Table4[[#This Row],[Stock-Quantity]]*Table4[[#This Row],[Unit-Price]]</f>
        <v>113399.95999999999</v>
      </c>
      <c r="L770" s="2">
        <f>Table4[[#This Row],[Stock-Quantity]]*Table4[[#This Row],[Margin-Unit]]</f>
        <v>13380</v>
      </c>
      <c r="M770">
        <f>Table4[[#This Row],[Date-Sales]]-Table4[[#This Row],[Date-Received]]</f>
        <v>5</v>
      </c>
      <c r="N770" s="6">
        <f>Table4[[#This Row],[Margin-Unit]]/Table4[[#This Row],[Unit-Price]]</f>
        <v>0.117989459608275</v>
      </c>
    </row>
    <row r="771" spans="1:14" x14ac:dyDescent="0.3">
      <c r="A771" t="s">
        <v>814</v>
      </c>
      <c r="B771" t="s">
        <v>94</v>
      </c>
      <c r="C771" t="s">
        <v>29</v>
      </c>
      <c r="D771" t="s">
        <v>40</v>
      </c>
      <c r="E771" t="s">
        <v>41</v>
      </c>
      <c r="F771">
        <v>164</v>
      </c>
      <c r="G771" s="3">
        <v>207.58</v>
      </c>
      <c r="H771" s="1">
        <v>45777</v>
      </c>
      <c r="I771" s="1">
        <v>45788</v>
      </c>
      <c r="J771" s="3">
        <v>47.4</v>
      </c>
      <c r="K771" s="2">
        <f>Table4[[#This Row],[Stock-Quantity]]*Table4[[#This Row],[Unit-Price]]</f>
        <v>34043.120000000003</v>
      </c>
      <c r="L771" s="2">
        <f>Table4[[#This Row],[Stock-Quantity]]*Table4[[#This Row],[Margin-Unit]]</f>
        <v>7773.5999999999995</v>
      </c>
      <c r="M771">
        <f>Table4[[#This Row],[Date-Sales]]-Table4[[#This Row],[Date-Received]]</f>
        <v>11</v>
      </c>
      <c r="N771" s="6">
        <f>Table4[[#This Row],[Margin-Unit]]/Table4[[#This Row],[Unit-Price]]</f>
        <v>0.22834569804412755</v>
      </c>
    </row>
    <row r="772" spans="1:14" x14ac:dyDescent="0.3">
      <c r="A772" t="s">
        <v>815</v>
      </c>
      <c r="B772" t="s">
        <v>63</v>
      </c>
      <c r="C772" t="s">
        <v>35</v>
      </c>
      <c r="D772" t="s">
        <v>13</v>
      </c>
      <c r="E772" t="s">
        <v>14</v>
      </c>
      <c r="F772">
        <v>229</v>
      </c>
      <c r="G772" s="3">
        <v>363.21</v>
      </c>
      <c r="H772" s="1">
        <v>45815</v>
      </c>
      <c r="I772" s="1">
        <v>45822</v>
      </c>
      <c r="J772" s="3">
        <v>61.75</v>
      </c>
      <c r="K772" s="2">
        <f>Table4[[#This Row],[Stock-Quantity]]*Table4[[#This Row],[Unit-Price]]</f>
        <v>83175.09</v>
      </c>
      <c r="L772" s="2">
        <f>Table4[[#This Row],[Stock-Quantity]]*Table4[[#This Row],[Margin-Unit]]</f>
        <v>14140.75</v>
      </c>
      <c r="M772">
        <f>Table4[[#This Row],[Date-Sales]]-Table4[[#This Row],[Date-Received]]</f>
        <v>7</v>
      </c>
      <c r="N772" s="6">
        <f>Table4[[#This Row],[Margin-Unit]]/Table4[[#This Row],[Unit-Price]]</f>
        <v>0.17001183888108809</v>
      </c>
    </row>
    <row r="773" spans="1:14" x14ac:dyDescent="0.3">
      <c r="A773" t="s">
        <v>816</v>
      </c>
      <c r="B773" t="s">
        <v>74</v>
      </c>
      <c r="C773" t="s">
        <v>29</v>
      </c>
      <c r="D773" t="s">
        <v>25</v>
      </c>
      <c r="E773" t="s">
        <v>26</v>
      </c>
      <c r="F773">
        <v>194</v>
      </c>
      <c r="G773" s="3">
        <v>169.11</v>
      </c>
      <c r="H773" s="1">
        <v>45677</v>
      </c>
      <c r="I773" s="1">
        <v>45698</v>
      </c>
      <c r="J773" s="3">
        <v>44.72</v>
      </c>
      <c r="K773" s="2">
        <f>Table4[[#This Row],[Stock-Quantity]]*Table4[[#This Row],[Unit-Price]]</f>
        <v>32807.340000000004</v>
      </c>
      <c r="L773" s="2">
        <f>Table4[[#This Row],[Stock-Quantity]]*Table4[[#This Row],[Margin-Unit]]</f>
        <v>8675.68</v>
      </c>
      <c r="M773">
        <f>Table4[[#This Row],[Date-Sales]]-Table4[[#This Row],[Date-Received]]</f>
        <v>21</v>
      </c>
      <c r="N773" s="6">
        <f>Table4[[#This Row],[Margin-Unit]]/Table4[[#This Row],[Unit-Price]]</f>
        <v>0.26444326178227184</v>
      </c>
    </row>
    <row r="774" spans="1:14" x14ac:dyDescent="0.3">
      <c r="A774" t="s">
        <v>817</v>
      </c>
      <c r="B774" t="s">
        <v>52</v>
      </c>
      <c r="C774" t="s">
        <v>12</v>
      </c>
      <c r="D774" t="s">
        <v>30</v>
      </c>
      <c r="E774" t="s">
        <v>31</v>
      </c>
      <c r="F774">
        <v>72</v>
      </c>
      <c r="G774" s="3">
        <v>389.17</v>
      </c>
      <c r="H774" s="1">
        <v>45724</v>
      </c>
      <c r="I774" s="1">
        <v>45744</v>
      </c>
      <c r="J774" s="3">
        <v>80.83</v>
      </c>
      <c r="K774" s="2">
        <f>Table4[[#This Row],[Stock-Quantity]]*Table4[[#This Row],[Unit-Price]]</f>
        <v>28020.240000000002</v>
      </c>
      <c r="L774" s="2">
        <f>Table4[[#This Row],[Stock-Quantity]]*Table4[[#This Row],[Margin-Unit]]</f>
        <v>5819.76</v>
      </c>
      <c r="M774">
        <f>Table4[[#This Row],[Date-Sales]]-Table4[[#This Row],[Date-Received]]</f>
        <v>20</v>
      </c>
      <c r="N774" s="6">
        <f>Table4[[#This Row],[Margin-Unit]]/Table4[[#This Row],[Unit-Price]]</f>
        <v>0.20769843513117658</v>
      </c>
    </row>
    <row r="775" spans="1:14" x14ac:dyDescent="0.3">
      <c r="A775" t="s">
        <v>818</v>
      </c>
      <c r="B775" t="s">
        <v>34</v>
      </c>
      <c r="C775" t="s">
        <v>35</v>
      </c>
      <c r="D775" t="s">
        <v>18</v>
      </c>
      <c r="E775" t="s">
        <v>19</v>
      </c>
      <c r="F775">
        <v>482</v>
      </c>
      <c r="G775" s="3">
        <v>452.38</v>
      </c>
      <c r="H775" s="1">
        <v>45702</v>
      </c>
      <c r="I775" s="1">
        <v>45727</v>
      </c>
      <c r="J775" s="3">
        <v>88.44</v>
      </c>
      <c r="K775" s="2">
        <f>Table4[[#This Row],[Stock-Quantity]]*Table4[[#This Row],[Unit-Price]]</f>
        <v>218047.16</v>
      </c>
      <c r="L775" s="2">
        <f>Table4[[#This Row],[Stock-Quantity]]*Table4[[#This Row],[Margin-Unit]]</f>
        <v>42628.08</v>
      </c>
      <c r="M775">
        <f>Table4[[#This Row],[Date-Sales]]-Table4[[#This Row],[Date-Received]]</f>
        <v>25</v>
      </c>
      <c r="N775" s="6">
        <f>Table4[[#This Row],[Margin-Unit]]/Table4[[#This Row],[Unit-Price]]</f>
        <v>0.19549935894601883</v>
      </c>
    </row>
    <row r="776" spans="1:14" x14ac:dyDescent="0.3">
      <c r="A776" t="s">
        <v>819</v>
      </c>
      <c r="B776" t="s">
        <v>47</v>
      </c>
      <c r="C776" t="s">
        <v>17</v>
      </c>
      <c r="D776" t="s">
        <v>40</v>
      </c>
      <c r="E776" t="s">
        <v>41</v>
      </c>
      <c r="F776">
        <v>278</v>
      </c>
      <c r="G776" s="3">
        <v>132.97999999999999</v>
      </c>
      <c r="H776" s="1">
        <v>45739</v>
      </c>
      <c r="I776" s="1">
        <v>45759</v>
      </c>
      <c r="J776" s="3">
        <v>24.05</v>
      </c>
      <c r="K776" s="2">
        <f>Table4[[#This Row],[Stock-Quantity]]*Table4[[#This Row],[Unit-Price]]</f>
        <v>36968.439999999995</v>
      </c>
      <c r="L776" s="2">
        <f>Table4[[#This Row],[Stock-Quantity]]*Table4[[#This Row],[Margin-Unit]]</f>
        <v>6685.9000000000005</v>
      </c>
      <c r="M776">
        <f>Table4[[#This Row],[Date-Sales]]-Table4[[#This Row],[Date-Received]]</f>
        <v>20</v>
      </c>
      <c r="N776" s="6">
        <f>Table4[[#This Row],[Margin-Unit]]/Table4[[#This Row],[Unit-Price]]</f>
        <v>0.18085426379906755</v>
      </c>
    </row>
    <row r="777" spans="1:14" x14ac:dyDescent="0.3">
      <c r="A777" t="s">
        <v>820</v>
      </c>
      <c r="B777" t="s">
        <v>94</v>
      </c>
      <c r="C777" t="s">
        <v>29</v>
      </c>
      <c r="D777" t="s">
        <v>18</v>
      </c>
      <c r="E777" t="s">
        <v>19</v>
      </c>
      <c r="F777">
        <v>439</v>
      </c>
      <c r="G777" s="3">
        <v>334.19</v>
      </c>
      <c r="H777" s="1">
        <v>45720</v>
      </c>
      <c r="I777" s="1">
        <v>45733</v>
      </c>
      <c r="J777" s="3">
        <v>58.42</v>
      </c>
      <c r="K777" s="2">
        <f>Table4[[#This Row],[Stock-Quantity]]*Table4[[#This Row],[Unit-Price]]</f>
        <v>146709.41</v>
      </c>
      <c r="L777" s="2">
        <f>Table4[[#This Row],[Stock-Quantity]]*Table4[[#This Row],[Margin-Unit]]</f>
        <v>25646.38</v>
      </c>
      <c r="M777">
        <f>Table4[[#This Row],[Date-Sales]]-Table4[[#This Row],[Date-Received]]</f>
        <v>13</v>
      </c>
      <c r="N777" s="6">
        <f>Table4[[#This Row],[Margin-Unit]]/Table4[[#This Row],[Unit-Price]]</f>
        <v>0.17481073640743292</v>
      </c>
    </row>
    <row r="778" spans="1:14" x14ac:dyDescent="0.3">
      <c r="A778" t="s">
        <v>821</v>
      </c>
      <c r="B778" t="s">
        <v>11</v>
      </c>
      <c r="C778" t="s">
        <v>12</v>
      </c>
      <c r="D778" t="s">
        <v>18</v>
      </c>
      <c r="E778" t="s">
        <v>19</v>
      </c>
      <c r="F778">
        <v>189</v>
      </c>
      <c r="G778" s="3">
        <v>365.97</v>
      </c>
      <c r="H778" s="1">
        <v>45659</v>
      </c>
      <c r="I778" s="1">
        <v>45673</v>
      </c>
      <c r="J778" s="3">
        <v>40.47</v>
      </c>
      <c r="K778" s="2">
        <f>Table4[[#This Row],[Stock-Quantity]]*Table4[[#This Row],[Unit-Price]]</f>
        <v>69168.33</v>
      </c>
      <c r="L778" s="2">
        <f>Table4[[#This Row],[Stock-Quantity]]*Table4[[#This Row],[Margin-Unit]]</f>
        <v>7648.83</v>
      </c>
      <c r="M778">
        <f>Table4[[#This Row],[Date-Sales]]-Table4[[#This Row],[Date-Received]]</f>
        <v>14</v>
      </c>
      <c r="N778" s="6">
        <f>Table4[[#This Row],[Margin-Unit]]/Table4[[#This Row],[Unit-Price]]</f>
        <v>0.11058283465857856</v>
      </c>
    </row>
    <row r="779" spans="1:14" x14ac:dyDescent="0.3">
      <c r="A779" t="s">
        <v>822</v>
      </c>
      <c r="B779" t="s">
        <v>52</v>
      </c>
      <c r="C779" t="s">
        <v>12</v>
      </c>
      <c r="D779" t="s">
        <v>18</v>
      </c>
      <c r="E779" t="s">
        <v>19</v>
      </c>
      <c r="F779">
        <v>35</v>
      </c>
      <c r="G779" s="3">
        <v>313.08</v>
      </c>
      <c r="H779" s="1">
        <v>45733</v>
      </c>
      <c r="I779" s="1">
        <v>45753</v>
      </c>
      <c r="J779" s="3">
        <v>89.11</v>
      </c>
      <c r="K779" s="2">
        <f>Table4[[#This Row],[Stock-Quantity]]*Table4[[#This Row],[Unit-Price]]</f>
        <v>10957.8</v>
      </c>
      <c r="L779" s="2">
        <f>Table4[[#This Row],[Stock-Quantity]]*Table4[[#This Row],[Margin-Unit]]</f>
        <v>3118.85</v>
      </c>
      <c r="M779">
        <f>Table4[[#This Row],[Date-Sales]]-Table4[[#This Row],[Date-Received]]</f>
        <v>20</v>
      </c>
      <c r="N779" s="6">
        <f>Table4[[#This Row],[Margin-Unit]]/Table4[[#This Row],[Unit-Price]]</f>
        <v>0.28462373834163796</v>
      </c>
    </row>
    <row r="780" spans="1:14" x14ac:dyDescent="0.3">
      <c r="A780" t="s">
        <v>823</v>
      </c>
      <c r="B780" t="s">
        <v>106</v>
      </c>
      <c r="C780" t="s">
        <v>17</v>
      </c>
      <c r="D780" t="s">
        <v>25</v>
      </c>
      <c r="E780" t="s">
        <v>26</v>
      </c>
      <c r="F780">
        <v>165</v>
      </c>
      <c r="G780" s="3">
        <v>155.34</v>
      </c>
      <c r="H780" s="1">
        <v>45687</v>
      </c>
      <c r="I780" s="1">
        <v>45697</v>
      </c>
      <c r="J780" s="3">
        <v>30.32</v>
      </c>
      <c r="K780" s="2">
        <f>Table4[[#This Row],[Stock-Quantity]]*Table4[[#This Row],[Unit-Price]]</f>
        <v>25631.100000000002</v>
      </c>
      <c r="L780" s="2">
        <f>Table4[[#This Row],[Stock-Quantity]]*Table4[[#This Row],[Margin-Unit]]</f>
        <v>5002.8</v>
      </c>
      <c r="M780">
        <f>Table4[[#This Row],[Date-Sales]]-Table4[[#This Row],[Date-Received]]</f>
        <v>10</v>
      </c>
      <c r="N780" s="6">
        <f>Table4[[#This Row],[Margin-Unit]]/Table4[[#This Row],[Unit-Price]]</f>
        <v>0.19518475601905497</v>
      </c>
    </row>
    <row r="781" spans="1:14" x14ac:dyDescent="0.3">
      <c r="A781" t="s">
        <v>824</v>
      </c>
      <c r="B781" t="s">
        <v>34</v>
      </c>
      <c r="C781" t="s">
        <v>35</v>
      </c>
      <c r="D781" t="s">
        <v>30</v>
      </c>
      <c r="E781" t="s">
        <v>31</v>
      </c>
      <c r="F781">
        <v>88</v>
      </c>
      <c r="G781" s="3">
        <v>340.55</v>
      </c>
      <c r="H781" s="1">
        <v>45671</v>
      </c>
      <c r="I781" s="1">
        <v>45697</v>
      </c>
      <c r="J781" s="3">
        <v>56.39</v>
      </c>
      <c r="K781" s="2">
        <f>Table4[[#This Row],[Stock-Quantity]]*Table4[[#This Row],[Unit-Price]]</f>
        <v>29968.400000000001</v>
      </c>
      <c r="L781" s="2">
        <f>Table4[[#This Row],[Stock-Quantity]]*Table4[[#This Row],[Margin-Unit]]</f>
        <v>4962.32</v>
      </c>
      <c r="M781">
        <f>Table4[[#This Row],[Date-Sales]]-Table4[[#This Row],[Date-Received]]</f>
        <v>26</v>
      </c>
      <c r="N781" s="6">
        <f>Table4[[#This Row],[Margin-Unit]]/Table4[[#This Row],[Unit-Price]]</f>
        <v>0.16558508295404492</v>
      </c>
    </row>
    <row r="782" spans="1:14" x14ac:dyDescent="0.3">
      <c r="A782" t="s">
        <v>825</v>
      </c>
      <c r="B782" t="s">
        <v>116</v>
      </c>
      <c r="C782" t="s">
        <v>12</v>
      </c>
      <c r="D782" t="s">
        <v>13</v>
      </c>
      <c r="E782" t="s">
        <v>14</v>
      </c>
      <c r="F782">
        <v>291</v>
      </c>
      <c r="G782" s="3">
        <v>498.18</v>
      </c>
      <c r="H782" s="1">
        <v>45786</v>
      </c>
      <c r="I782" s="1">
        <v>45816</v>
      </c>
      <c r="J782" s="3">
        <v>68.8</v>
      </c>
      <c r="K782" s="2">
        <f>Table4[[#This Row],[Stock-Quantity]]*Table4[[#This Row],[Unit-Price]]</f>
        <v>144970.38</v>
      </c>
      <c r="L782" s="2">
        <f>Table4[[#This Row],[Stock-Quantity]]*Table4[[#This Row],[Margin-Unit]]</f>
        <v>20020.8</v>
      </c>
      <c r="M782">
        <f>Table4[[#This Row],[Date-Sales]]-Table4[[#This Row],[Date-Received]]</f>
        <v>30</v>
      </c>
      <c r="N782" s="6">
        <f>Table4[[#This Row],[Margin-Unit]]/Table4[[#This Row],[Unit-Price]]</f>
        <v>0.13810269380545184</v>
      </c>
    </row>
    <row r="783" spans="1:14" x14ac:dyDescent="0.3">
      <c r="A783" t="s">
        <v>826</v>
      </c>
      <c r="B783" t="s">
        <v>39</v>
      </c>
      <c r="C783" t="s">
        <v>12</v>
      </c>
      <c r="D783" t="s">
        <v>30</v>
      </c>
      <c r="E783" t="s">
        <v>31</v>
      </c>
      <c r="F783">
        <v>368</v>
      </c>
      <c r="G783" s="3">
        <v>75.540000000000006</v>
      </c>
      <c r="H783" s="1">
        <v>45790</v>
      </c>
      <c r="I783" s="1">
        <v>45804</v>
      </c>
      <c r="J783" s="3">
        <v>17.809999999999999</v>
      </c>
      <c r="K783" s="2">
        <f>Table4[[#This Row],[Stock-Quantity]]*Table4[[#This Row],[Unit-Price]]</f>
        <v>27798.720000000001</v>
      </c>
      <c r="L783" s="2">
        <f>Table4[[#This Row],[Stock-Quantity]]*Table4[[#This Row],[Margin-Unit]]</f>
        <v>6554.08</v>
      </c>
      <c r="M783">
        <f>Table4[[#This Row],[Date-Sales]]-Table4[[#This Row],[Date-Received]]</f>
        <v>14</v>
      </c>
      <c r="N783" s="6">
        <f>Table4[[#This Row],[Margin-Unit]]/Table4[[#This Row],[Unit-Price]]</f>
        <v>0.23576912893831078</v>
      </c>
    </row>
    <row r="784" spans="1:14" x14ac:dyDescent="0.3">
      <c r="A784" t="s">
        <v>827</v>
      </c>
      <c r="B784" t="s">
        <v>37</v>
      </c>
      <c r="C784" t="s">
        <v>22</v>
      </c>
      <c r="D784" t="s">
        <v>40</v>
      </c>
      <c r="E784" t="s">
        <v>41</v>
      </c>
      <c r="F784">
        <v>122</v>
      </c>
      <c r="G784" s="3">
        <v>171.7</v>
      </c>
      <c r="H784" s="1">
        <v>45749</v>
      </c>
      <c r="I784" s="1">
        <v>45770</v>
      </c>
      <c r="J784" s="3">
        <v>24.15</v>
      </c>
      <c r="K784" s="2">
        <f>Table4[[#This Row],[Stock-Quantity]]*Table4[[#This Row],[Unit-Price]]</f>
        <v>20947.399999999998</v>
      </c>
      <c r="L784" s="2">
        <f>Table4[[#This Row],[Stock-Quantity]]*Table4[[#This Row],[Margin-Unit]]</f>
        <v>2946.2999999999997</v>
      </c>
      <c r="M784">
        <f>Table4[[#This Row],[Date-Sales]]-Table4[[#This Row],[Date-Received]]</f>
        <v>21</v>
      </c>
      <c r="N784" s="6">
        <f>Table4[[#This Row],[Margin-Unit]]/Table4[[#This Row],[Unit-Price]]</f>
        <v>0.14065230052417008</v>
      </c>
    </row>
    <row r="785" spans="1:14" x14ac:dyDescent="0.3">
      <c r="A785" t="s">
        <v>828</v>
      </c>
      <c r="B785" t="s">
        <v>50</v>
      </c>
      <c r="C785" t="s">
        <v>17</v>
      </c>
      <c r="D785" t="s">
        <v>30</v>
      </c>
      <c r="E785" t="s">
        <v>31</v>
      </c>
      <c r="F785">
        <v>280</v>
      </c>
      <c r="G785" s="3">
        <v>139.47999999999999</v>
      </c>
      <c r="H785" s="1">
        <v>45820</v>
      </c>
      <c r="I785" s="1">
        <v>45835</v>
      </c>
      <c r="J785" s="3">
        <v>27.73</v>
      </c>
      <c r="K785" s="2">
        <f>Table4[[#This Row],[Stock-Quantity]]*Table4[[#This Row],[Unit-Price]]</f>
        <v>39054.399999999994</v>
      </c>
      <c r="L785" s="2">
        <f>Table4[[#This Row],[Stock-Quantity]]*Table4[[#This Row],[Margin-Unit]]</f>
        <v>7764.4000000000005</v>
      </c>
      <c r="M785">
        <f>Table4[[#This Row],[Date-Sales]]-Table4[[#This Row],[Date-Received]]</f>
        <v>15</v>
      </c>
      <c r="N785" s="6">
        <f>Table4[[#This Row],[Margin-Unit]]/Table4[[#This Row],[Unit-Price]]</f>
        <v>0.19880986521365071</v>
      </c>
    </row>
    <row r="786" spans="1:14" x14ac:dyDescent="0.3">
      <c r="A786" t="s">
        <v>829</v>
      </c>
      <c r="B786" t="s">
        <v>50</v>
      </c>
      <c r="C786" t="s">
        <v>17</v>
      </c>
      <c r="D786" t="s">
        <v>13</v>
      </c>
      <c r="E786" t="s">
        <v>14</v>
      </c>
      <c r="F786">
        <v>400</v>
      </c>
      <c r="G786" s="3">
        <v>54.35</v>
      </c>
      <c r="H786" s="1">
        <v>45782</v>
      </c>
      <c r="I786" s="1">
        <v>45803</v>
      </c>
      <c r="J786" s="3">
        <v>13.78</v>
      </c>
      <c r="K786" s="2">
        <f>Table4[[#This Row],[Stock-Quantity]]*Table4[[#This Row],[Unit-Price]]</f>
        <v>21740</v>
      </c>
      <c r="L786" s="2">
        <f>Table4[[#This Row],[Stock-Quantity]]*Table4[[#This Row],[Margin-Unit]]</f>
        <v>5512</v>
      </c>
      <c r="M786">
        <f>Table4[[#This Row],[Date-Sales]]-Table4[[#This Row],[Date-Received]]</f>
        <v>21</v>
      </c>
      <c r="N786" s="6">
        <f>Table4[[#This Row],[Margin-Unit]]/Table4[[#This Row],[Unit-Price]]</f>
        <v>0.25354185832566695</v>
      </c>
    </row>
    <row r="787" spans="1:14" x14ac:dyDescent="0.3">
      <c r="A787" t="s">
        <v>830</v>
      </c>
      <c r="B787" t="s">
        <v>24</v>
      </c>
      <c r="C787" t="s">
        <v>22</v>
      </c>
      <c r="D787" t="s">
        <v>40</v>
      </c>
      <c r="E787" t="s">
        <v>41</v>
      </c>
      <c r="F787">
        <v>331</v>
      </c>
      <c r="G787" s="3">
        <v>281.11</v>
      </c>
      <c r="H787" s="1">
        <v>45660</v>
      </c>
      <c r="I787" s="1">
        <v>45677</v>
      </c>
      <c r="J787" s="3">
        <v>70.59</v>
      </c>
      <c r="K787" s="2">
        <f>Table4[[#This Row],[Stock-Quantity]]*Table4[[#This Row],[Unit-Price]]</f>
        <v>93047.41</v>
      </c>
      <c r="L787" s="2">
        <f>Table4[[#This Row],[Stock-Quantity]]*Table4[[#This Row],[Margin-Unit]]</f>
        <v>23365.29</v>
      </c>
      <c r="M787">
        <f>Table4[[#This Row],[Date-Sales]]-Table4[[#This Row],[Date-Received]]</f>
        <v>17</v>
      </c>
      <c r="N787" s="6">
        <f>Table4[[#This Row],[Margin-Unit]]/Table4[[#This Row],[Unit-Price]]</f>
        <v>0.25111166447298211</v>
      </c>
    </row>
    <row r="788" spans="1:14" x14ac:dyDescent="0.3">
      <c r="A788" t="s">
        <v>831</v>
      </c>
      <c r="B788" t="s">
        <v>106</v>
      </c>
      <c r="C788" t="s">
        <v>17</v>
      </c>
      <c r="D788" t="s">
        <v>25</v>
      </c>
      <c r="E788" t="s">
        <v>26</v>
      </c>
      <c r="F788">
        <v>110</v>
      </c>
      <c r="G788" s="3">
        <v>49.6</v>
      </c>
      <c r="H788" s="1">
        <v>45766</v>
      </c>
      <c r="I788" s="1">
        <v>45786</v>
      </c>
      <c r="J788" s="3">
        <v>5.57</v>
      </c>
      <c r="K788" s="2">
        <f>Table4[[#This Row],[Stock-Quantity]]*Table4[[#This Row],[Unit-Price]]</f>
        <v>5456</v>
      </c>
      <c r="L788" s="2">
        <f>Table4[[#This Row],[Stock-Quantity]]*Table4[[#This Row],[Margin-Unit]]</f>
        <v>612.70000000000005</v>
      </c>
      <c r="M788">
        <f>Table4[[#This Row],[Date-Sales]]-Table4[[#This Row],[Date-Received]]</f>
        <v>20</v>
      </c>
      <c r="N788" s="6">
        <f>Table4[[#This Row],[Margin-Unit]]/Table4[[#This Row],[Unit-Price]]</f>
        <v>0.1122983870967742</v>
      </c>
    </row>
    <row r="789" spans="1:14" x14ac:dyDescent="0.3">
      <c r="A789" t="s">
        <v>832</v>
      </c>
      <c r="B789" t="s">
        <v>43</v>
      </c>
      <c r="C789" t="s">
        <v>35</v>
      </c>
      <c r="D789" t="s">
        <v>18</v>
      </c>
      <c r="E789" t="s">
        <v>19</v>
      </c>
      <c r="F789">
        <v>295</v>
      </c>
      <c r="G789" s="3">
        <v>260.07</v>
      </c>
      <c r="H789" s="1">
        <v>45755</v>
      </c>
      <c r="I789" s="1">
        <v>45771</v>
      </c>
      <c r="J789" s="3">
        <v>41.38</v>
      </c>
      <c r="K789" s="2">
        <f>Table4[[#This Row],[Stock-Quantity]]*Table4[[#This Row],[Unit-Price]]</f>
        <v>76720.649999999994</v>
      </c>
      <c r="L789" s="2">
        <f>Table4[[#This Row],[Stock-Quantity]]*Table4[[#This Row],[Margin-Unit]]</f>
        <v>12207.1</v>
      </c>
      <c r="M789">
        <f>Table4[[#This Row],[Date-Sales]]-Table4[[#This Row],[Date-Received]]</f>
        <v>16</v>
      </c>
      <c r="N789" s="6">
        <f>Table4[[#This Row],[Margin-Unit]]/Table4[[#This Row],[Unit-Price]]</f>
        <v>0.15911100857461455</v>
      </c>
    </row>
    <row r="790" spans="1:14" x14ac:dyDescent="0.3">
      <c r="A790" t="s">
        <v>833</v>
      </c>
      <c r="B790" t="s">
        <v>16</v>
      </c>
      <c r="C790" t="s">
        <v>17</v>
      </c>
      <c r="D790" t="s">
        <v>40</v>
      </c>
      <c r="E790" t="s">
        <v>41</v>
      </c>
      <c r="F790">
        <v>159</v>
      </c>
      <c r="G790" s="3">
        <v>82.67</v>
      </c>
      <c r="H790" s="1">
        <v>45689</v>
      </c>
      <c r="I790" s="1">
        <v>45715</v>
      </c>
      <c r="J790" s="3">
        <v>12.36</v>
      </c>
      <c r="K790" s="2">
        <f>Table4[[#This Row],[Stock-Quantity]]*Table4[[#This Row],[Unit-Price]]</f>
        <v>13144.53</v>
      </c>
      <c r="L790" s="2">
        <f>Table4[[#This Row],[Stock-Quantity]]*Table4[[#This Row],[Margin-Unit]]</f>
        <v>1965.24</v>
      </c>
      <c r="M790">
        <f>Table4[[#This Row],[Date-Sales]]-Table4[[#This Row],[Date-Received]]</f>
        <v>26</v>
      </c>
      <c r="N790" s="6">
        <f>Table4[[#This Row],[Margin-Unit]]/Table4[[#This Row],[Unit-Price]]</f>
        <v>0.14951010039917745</v>
      </c>
    </row>
    <row r="791" spans="1:14" x14ac:dyDescent="0.3">
      <c r="A791" t="s">
        <v>834</v>
      </c>
      <c r="B791" t="s">
        <v>21</v>
      </c>
      <c r="C791" t="s">
        <v>22</v>
      </c>
      <c r="D791" t="s">
        <v>30</v>
      </c>
      <c r="E791" t="s">
        <v>31</v>
      </c>
      <c r="F791">
        <v>286</v>
      </c>
      <c r="G791" s="3">
        <v>379.26</v>
      </c>
      <c r="H791" s="1">
        <v>45777</v>
      </c>
      <c r="I791" s="1">
        <v>45787</v>
      </c>
      <c r="J791" s="3">
        <v>66.78</v>
      </c>
      <c r="K791" s="2">
        <f>Table4[[#This Row],[Stock-Quantity]]*Table4[[#This Row],[Unit-Price]]</f>
        <v>108468.36</v>
      </c>
      <c r="L791" s="2">
        <f>Table4[[#This Row],[Stock-Quantity]]*Table4[[#This Row],[Margin-Unit]]</f>
        <v>19099.080000000002</v>
      </c>
      <c r="M791">
        <f>Table4[[#This Row],[Date-Sales]]-Table4[[#This Row],[Date-Received]]</f>
        <v>10</v>
      </c>
      <c r="N791" s="6">
        <f>Table4[[#This Row],[Margin-Unit]]/Table4[[#This Row],[Unit-Price]]</f>
        <v>0.17607973421926912</v>
      </c>
    </row>
    <row r="792" spans="1:14" x14ac:dyDescent="0.3">
      <c r="A792" t="s">
        <v>835</v>
      </c>
      <c r="B792" t="s">
        <v>11</v>
      </c>
      <c r="C792" t="s">
        <v>12</v>
      </c>
      <c r="D792" t="s">
        <v>30</v>
      </c>
      <c r="E792" t="s">
        <v>31</v>
      </c>
      <c r="F792">
        <v>229</v>
      </c>
      <c r="G792" s="3">
        <v>15.8</v>
      </c>
      <c r="H792" s="1">
        <v>45798</v>
      </c>
      <c r="I792" s="1">
        <v>45819</v>
      </c>
      <c r="J792" s="3">
        <v>3.79</v>
      </c>
      <c r="K792" s="2">
        <f>Table4[[#This Row],[Stock-Quantity]]*Table4[[#This Row],[Unit-Price]]</f>
        <v>3618.2000000000003</v>
      </c>
      <c r="L792" s="2">
        <f>Table4[[#This Row],[Stock-Quantity]]*Table4[[#This Row],[Margin-Unit]]</f>
        <v>867.91</v>
      </c>
      <c r="M792">
        <f>Table4[[#This Row],[Date-Sales]]-Table4[[#This Row],[Date-Received]]</f>
        <v>21</v>
      </c>
      <c r="N792" s="6">
        <f>Table4[[#This Row],[Margin-Unit]]/Table4[[#This Row],[Unit-Price]]</f>
        <v>0.23987341772151899</v>
      </c>
    </row>
    <row r="793" spans="1:14" x14ac:dyDescent="0.3">
      <c r="A793" t="s">
        <v>836</v>
      </c>
      <c r="B793" t="s">
        <v>11</v>
      </c>
      <c r="C793" t="s">
        <v>12</v>
      </c>
      <c r="D793" t="s">
        <v>40</v>
      </c>
      <c r="E793" t="s">
        <v>41</v>
      </c>
      <c r="F793">
        <v>449</v>
      </c>
      <c r="G793" s="3">
        <v>26.25</v>
      </c>
      <c r="H793" s="1">
        <v>45774</v>
      </c>
      <c r="I793" s="1">
        <v>45791</v>
      </c>
      <c r="J793" s="3">
        <v>4.1500000000000004</v>
      </c>
      <c r="K793" s="2">
        <f>Table4[[#This Row],[Stock-Quantity]]*Table4[[#This Row],[Unit-Price]]</f>
        <v>11786.25</v>
      </c>
      <c r="L793" s="2">
        <f>Table4[[#This Row],[Stock-Quantity]]*Table4[[#This Row],[Margin-Unit]]</f>
        <v>1863.3500000000001</v>
      </c>
      <c r="M793">
        <f>Table4[[#This Row],[Date-Sales]]-Table4[[#This Row],[Date-Received]]</f>
        <v>17</v>
      </c>
      <c r="N793" s="6">
        <f>Table4[[#This Row],[Margin-Unit]]/Table4[[#This Row],[Unit-Price]]</f>
        <v>0.15809523809523812</v>
      </c>
    </row>
    <row r="794" spans="1:14" x14ac:dyDescent="0.3">
      <c r="A794" t="s">
        <v>837</v>
      </c>
      <c r="B794" t="s">
        <v>63</v>
      </c>
      <c r="C794" t="s">
        <v>35</v>
      </c>
      <c r="D794" t="s">
        <v>25</v>
      </c>
      <c r="E794" t="s">
        <v>26</v>
      </c>
      <c r="F794">
        <v>197</v>
      </c>
      <c r="G794" s="3">
        <v>284.88</v>
      </c>
      <c r="H794" s="1">
        <v>45812</v>
      </c>
      <c r="I794" s="1">
        <v>45835</v>
      </c>
      <c r="J794" s="3">
        <v>55.59</v>
      </c>
      <c r="K794" s="2">
        <f>Table4[[#This Row],[Stock-Quantity]]*Table4[[#This Row],[Unit-Price]]</f>
        <v>56121.36</v>
      </c>
      <c r="L794" s="2">
        <f>Table4[[#This Row],[Stock-Quantity]]*Table4[[#This Row],[Margin-Unit]]</f>
        <v>10951.230000000001</v>
      </c>
      <c r="M794">
        <f>Table4[[#This Row],[Date-Sales]]-Table4[[#This Row],[Date-Received]]</f>
        <v>23</v>
      </c>
      <c r="N794" s="6">
        <f>Table4[[#This Row],[Margin-Unit]]/Table4[[#This Row],[Unit-Price]]</f>
        <v>0.19513479359730415</v>
      </c>
    </row>
    <row r="795" spans="1:14" x14ac:dyDescent="0.3">
      <c r="A795" t="s">
        <v>838</v>
      </c>
      <c r="B795" t="s">
        <v>24</v>
      </c>
      <c r="C795" t="s">
        <v>22</v>
      </c>
      <c r="D795" t="s">
        <v>13</v>
      </c>
      <c r="E795" t="s">
        <v>14</v>
      </c>
      <c r="F795">
        <v>308</v>
      </c>
      <c r="G795" s="3">
        <v>220.6</v>
      </c>
      <c r="H795" s="1">
        <v>45760</v>
      </c>
      <c r="I795" s="1">
        <v>45772</v>
      </c>
      <c r="J795" s="3">
        <v>53.97</v>
      </c>
      <c r="K795" s="2">
        <f>Table4[[#This Row],[Stock-Quantity]]*Table4[[#This Row],[Unit-Price]]</f>
        <v>67944.800000000003</v>
      </c>
      <c r="L795" s="2">
        <f>Table4[[#This Row],[Stock-Quantity]]*Table4[[#This Row],[Margin-Unit]]</f>
        <v>16622.759999999998</v>
      </c>
      <c r="M795">
        <f>Table4[[#This Row],[Date-Sales]]-Table4[[#This Row],[Date-Received]]</f>
        <v>12</v>
      </c>
      <c r="N795" s="6">
        <f>Table4[[#This Row],[Margin-Unit]]/Table4[[#This Row],[Unit-Price]]</f>
        <v>0.24465095194922937</v>
      </c>
    </row>
    <row r="796" spans="1:14" x14ac:dyDescent="0.3">
      <c r="A796" t="s">
        <v>839</v>
      </c>
      <c r="B796" t="s">
        <v>50</v>
      </c>
      <c r="C796" t="s">
        <v>17</v>
      </c>
      <c r="D796" t="s">
        <v>40</v>
      </c>
      <c r="E796" t="s">
        <v>41</v>
      </c>
      <c r="F796">
        <v>284</v>
      </c>
      <c r="G796" s="3">
        <v>84.5</v>
      </c>
      <c r="H796" s="1">
        <v>45816</v>
      </c>
      <c r="I796" s="1">
        <v>45821</v>
      </c>
      <c r="J796" s="3">
        <v>11.94</v>
      </c>
      <c r="K796" s="2">
        <f>Table4[[#This Row],[Stock-Quantity]]*Table4[[#This Row],[Unit-Price]]</f>
        <v>23998</v>
      </c>
      <c r="L796" s="2">
        <f>Table4[[#This Row],[Stock-Quantity]]*Table4[[#This Row],[Margin-Unit]]</f>
        <v>3390.96</v>
      </c>
      <c r="M796">
        <f>Table4[[#This Row],[Date-Sales]]-Table4[[#This Row],[Date-Received]]</f>
        <v>5</v>
      </c>
      <c r="N796" s="6">
        <f>Table4[[#This Row],[Margin-Unit]]/Table4[[#This Row],[Unit-Price]]</f>
        <v>0.14130177514792899</v>
      </c>
    </row>
    <row r="797" spans="1:14" x14ac:dyDescent="0.3">
      <c r="A797" t="s">
        <v>840</v>
      </c>
      <c r="B797" t="s">
        <v>65</v>
      </c>
      <c r="C797" t="s">
        <v>22</v>
      </c>
      <c r="D797" t="s">
        <v>13</v>
      </c>
      <c r="E797" t="s">
        <v>14</v>
      </c>
      <c r="F797">
        <v>495</v>
      </c>
      <c r="G797" s="3">
        <v>54.62</v>
      </c>
      <c r="H797" s="1">
        <v>45770</v>
      </c>
      <c r="I797" s="1">
        <v>45784</v>
      </c>
      <c r="J797" s="3">
        <v>11.41</v>
      </c>
      <c r="K797" s="2">
        <f>Table4[[#This Row],[Stock-Quantity]]*Table4[[#This Row],[Unit-Price]]</f>
        <v>27036.899999999998</v>
      </c>
      <c r="L797" s="2">
        <f>Table4[[#This Row],[Stock-Quantity]]*Table4[[#This Row],[Margin-Unit]]</f>
        <v>5647.95</v>
      </c>
      <c r="M797">
        <f>Table4[[#This Row],[Date-Sales]]-Table4[[#This Row],[Date-Received]]</f>
        <v>14</v>
      </c>
      <c r="N797" s="6">
        <f>Table4[[#This Row],[Margin-Unit]]/Table4[[#This Row],[Unit-Price]]</f>
        <v>0.20889783961918712</v>
      </c>
    </row>
    <row r="798" spans="1:14" x14ac:dyDescent="0.3">
      <c r="A798" t="s">
        <v>841</v>
      </c>
      <c r="B798" t="s">
        <v>43</v>
      </c>
      <c r="C798" t="s">
        <v>35</v>
      </c>
      <c r="D798" t="s">
        <v>25</v>
      </c>
      <c r="E798" t="s">
        <v>26</v>
      </c>
      <c r="F798">
        <v>100</v>
      </c>
      <c r="G798" s="3">
        <v>453.84</v>
      </c>
      <c r="H798" s="1">
        <v>45777</v>
      </c>
      <c r="I798" s="1">
        <v>45795</v>
      </c>
      <c r="J798" s="3">
        <v>53.49</v>
      </c>
      <c r="K798" s="2">
        <f>Table4[[#This Row],[Stock-Quantity]]*Table4[[#This Row],[Unit-Price]]</f>
        <v>45384</v>
      </c>
      <c r="L798" s="2">
        <f>Table4[[#This Row],[Stock-Quantity]]*Table4[[#This Row],[Margin-Unit]]</f>
        <v>5349</v>
      </c>
      <c r="M798">
        <f>Table4[[#This Row],[Date-Sales]]-Table4[[#This Row],[Date-Received]]</f>
        <v>18</v>
      </c>
      <c r="N798" s="6">
        <f>Table4[[#This Row],[Margin-Unit]]/Table4[[#This Row],[Unit-Price]]</f>
        <v>0.11786092014806981</v>
      </c>
    </row>
    <row r="799" spans="1:14" x14ac:dyDescent="0.3">
      <c r="A799" t="s">
        <v>842</v>
      </c>
      <c r="B799" t="s">
        <v>63</v>
      </c>
      <c r="C799" t="s">
        <v>35</v>
      </c>
      <c r="D799" t="s">
        <v>40</v>
      </c>
      <c r="E799" t="s">
        <v>41</v>
      </c>
      <c r="F799">
        <v>43</v>
      </c>
      <c r="G799" s="3">
        <v>33.69</v>
      </c>
      <c r="H799" s="1">
        <v>45833</v>
      </c>
      <c r="I799" s="1">
        <v>45837</v>
      </c>
      <c r="J799" s="3">
        <v>7.35</v>
      </c>
      <c r="K799" s="2">
        <f>Table4[[#This Row],[Stock-Quantity]]*Table4[[#This Row],[Unit-Price]]</f>
        <v>1448.6699999999998</v>
      </c>
      <c r="L799" s="2">
        <f>Table4[[#This Row],[Stock-Quantity]]*Table4[[#This Row],[Margin-Unit]]</f>
        <v>316.05</v>
      </c>
      <c r="M799">
        <f>Table4[[#This Row],[Date-Sales]]-Table4[[#This Row],[Date-Received]]</f>
        <v>4</v>
      </c>
      <c r="N799" s="6">
        <f>Table4[[#This Row],[Margin-Unit]]/Table4[[#This Row],[Unit-Price]]</f>
        <v>0.21816562778272486</v>
      </c>
    </row>
    <row r="800" spans="1:14" x14ac:dyDescent="0.3">
      <c r="A800" t="s">
        <v>843</v>
      </c>
      <c r="B800" t="s">
        <v>39</v>
      </c>
      <c r="C800" t="s">
        <v>12</v>
      </c>
      <c r="D800" t="s">
        <v>18</v>
      </c>
      <c r="E800" t="s">
        <v>19</v>
      </c>
      <c r="F800">
        <v>481</v>
      </c>
      <c r="G800" s="3">
        <v>175.06</v>
      </c>
      <c r="H800" s="1">
        <v>45688</v>
      </c>
      <c r="I800" s="1">
        <v>45691</v>
      </c>
      <c r="J800" s="3">
        <v>30.37</v>
      </c>
      <c r="K800" s="2">
        <f>Table4[[#This Row],[Stock-Quantity]]*Table4[[#This Row],[Unit-Price]]</f>
        <v>84203.86</v>
      </c>
      <c r="L800" s="2">
        <f>Table4[[#This Row],[Stock-Quantity]]*Table4[[#This Row],[Margin-Unit]]</f>
        <v>14607.970000000001</v>
      </c>
      <c r="M800">
        <f>Table4[[#This Row],[Date-Sales]]-Table4[[#This Row],[Date-Received]]</f>
        <v>3</v>
      </c>
      <c r="N800" s="6">
        <f>Table4[[#This Row],[Margin-Unit]]/Table4[[#This Row],[Unit-Price]]</f>
        <v>0.1734833771278419</v>
      </c>
    </row>
    <row r="801" spans="1:14" x14ac:dyDescent="0.3">
      <c r="A801" t="s">
        <v>844</v>
      </c>
      <c r="B801" t="s">
        <v>106</v>
      </c>
      <c r="C801" t="s">
        <v>17</v>
      </c>
      <c r="D801" t="s">
        <v>13</v>
      </c>
      <c r="E801" t="s">
        <v>14</v>
      </c>
      <c r="F801">
        <v>495</v>
      </c>
      <c r="G801" s="3">
        <v>347.41</v>
      </c>
      <c r="H801" s="1">
        <v>45726</v>
      </c>
      <c r="I801" s="1">
        <v>45744</v>
      </c>
      <c r="J801" s="3">
        <v>63.68</v>
      </c>
      <c r="K801" s="2">
        <f>Table4[[#This Row],[Stock-Quantity]]*Table4[[#This Row],[Unit-Price]]</f>
        <v>171967.95</v>
      </c>
      <c r="L801" s="2">
        <f>Table4[[#This Row],[Stock-Quantity]]*Table4[[#This Row],[Margin-Unit]]</f>
        <v>31521.599999999999</v>
      </c>
      <c r="M801">
        <f>Table4[[#This Row],[Date-Sales]]-Table4[[#This Row],[Date-Received]]</f>
        <v>18</v>
      </c>
      <c r="N801" s="6">
        <f>Table4[[#This Row],[Margin-Unit]]/Table4[[#This Row],[Unit-Price]]</f>
        <v>0.18329927175383551</v>
      </c>
    </row>
    <row r="802" spans="1:14" x14ac:dyDescent="0.3">
      <c r="A802" t="s">
        <v>845</v>
      </c>
      <c r="B802" t="s">
        <v>52</v>
      </c>
      <c r="C802" t="s">
        <v>12</v>
      </c>
      <c r="D802" t="s">
        <v>18</v>
      </c>
      <c r="E802" t="s">
        <v>19</v>
      </c>
      <c r="F802">
        <v>435</v>
      </c>
      <c r="G802" s="3">
        <v>111.87</v>
      </c>
      <c r="H802" s="1">
        <v>45678</v>
      </c>
      <c r="I802" s="1">
        <v>45684</v>
      </c>
      <c r="J802" s="3">
        <v>31.7</v>
      </c>
      <c r="K802" s="2">
        <f>Table4[[#This Row],[Stock-Quantity]]*Table4[[#This Row],[Unit-Price]]</f>
        <v>48663.450000000004</v>
      </c>
      <c r="L802" s="2">
        <f>Table4[[#This Row],[Stock-Quantity]]*Table4[[#This Row],[Margin-Unit]]</f>
        <v>13789.5</v>
      </c>
      <c r="M802">
        <f>Table4[[#This Row],[Date-Sales]]-Table4[[#This Row],[Date-Received]]</f>
        <v>6</v>
      </c>
      <c r="N802" s="6">
        <f>Table4[[#This Row],[Margin-Unit]]/Table4[[#This Row],[Unit-Price]]</f>
        <v>0.28336461964780546</v>
      </c>
    </row>
    <row r="803" spans="1:14" x14ac:dyDescent="0.3">
      <c r="A803" t="s">
        <v>846</v>
      </c>
      <c r="B803" t="s">
        <v>65</v>
      </c>
      <c r="C803" t="s">
        <v>22</v>
      </c>
      <c r="D803" t="s">
        <v>18</v>
      </c>
      <c r="E803" t="s">
        <v>19</v>
      </c>
      <c r="F803">
        <v>172</v>
      </c>
      <c r="G803" s="3">
        <v>330.47</v>
      </c>
      <c r="H803" s="1">
        <v>45694</v>
      </c>
      <c r="I803" s="1">
        <v>45711</v>
      </c>
      <c r="J803" s="3">
        <v>93.42</v>
      </c>
      <c r="K803" s="2">
        <f>Table4[[#This Row],[Stock-Quantity]]*Table4[[#This Row],[Unit-Price]]</f>
        <v>56840.840000000004</v>
      </c>
      <c r="L803" s="2">
        <f>Table4[[#This Row],[Stock-Quantity]]*Table4[[#This Row],[Margin-Unit]]</f>
        <v>16068.24</v>
      </c>
      <c r="M803">
        <f>Table4[[#This Row],[Date-Sales]]-Table4[[#This Row],[Date-Received]]</f>
        <v>17</v>
      </c>
      <c r="N803" s="6">
        <f>Table4[[#This Row],[Margin-Unit]]/Table4[[#This Row],[Unit-Price]]</f>
        <v>0.28268829243199078</v>
      </c>
    </row>
    <row r="804" spans="1:14" x14ac:dyDescent="0.3">
      <c r="A804" t="s">
        <v>847</v>
      </c>
      <c r="B804" t="s">
        <v>28</v>
      </c>
      <c r="C804" t="s">
        <v>29</v>
      </c>
      <c r="D804" t="s">
        <v>13</v>
      </c>
      <c r="E804" t="s">
        <v>14</v>
      </c>
      <c r="F804">
        <v>13</v>
      </c>
      <c r="G804" s="3">
        <v>202.41</v>
      </c>
      <c r="H804" s="1">
        <v>45759</v>
      </c>
      <c r="I804" s="1">
        <v>45775</v>
      </c>
      <c r="J804" s="3">
        <v>44.55</v>
      </c>
      <c r="K804" s="2">
        <f>Table4[[#This Row],[Stock-Quantity]]*Table4[[#This Row],[Unit-Price]]</f>
        <v>2631.33</v>
      </c>
      <c r="L804" s="2">
        <f>Table4[[#This Row],[Stock-Quantity]]*Table4[[#This Row],[Margin-Unit]]</f>
        <v>579.15</v>
      </c>
      <c r="M804">
        <f>Table4[[#This Row],[Date-Sales]]-Table4[[#This Row],[Date-Received]]</f>
        <v>16</v>
      </c>
      <c r="N804" s="6">
        <f>Table4[[#This Row],[Margin-Unit]]/Table4[[#This Row],[Unit-Price]]</f>
        <v>0.2200978212538906</v>
      </c>
    </row>
    <row r="805" spans="1:14" x14ac:dyDescent="0.3">
      <c r="A805" t="s">
        <v>848</v>
      </c>
      <c r="B805" t="s">
        <v>80</v>
      </c>
      <c r="C805" t="s">
        <v>29</v>
      </c>
      <c r="D805" t="s">
        <v>25</v>
      </c>
      <c r="E805" t="s">
        <v>26</v>
      </c>
      <c r="F805">
        <v>129</v>
      </c>
      <c r="G805" s="3">
        <v>221.61</v>
      </c>
      <c r="H805" s="1">
        <v>45748</v>
      </c>
      <c r="I805" s="1">
        <v>45750</v>
      </c>
      <c r="J805" s="3">
        <v>60.79</v>
      </c>
      <c r="K805" s="2">
        <f>Table4[[#This Row],[Stock-Quantity]]*Table4[[#This Row],[Unit-Price]]</f>
        <v>28587.690000000002</v>
      </c>
      <c r="L805" s="2">
        <f>Table4[[#This Row],[Stock-Quantity]]*Table4[[#This Row],[Margin-Unit]]</f>
        <v>7841.91</v>
      </c>
      <c r="M805">
        <f>Table4[[#This Row],[Date-Sales]]-Table4[[#This Row],[Date-Received]]</f>
        <v>2</v>
      </c>
      <c r="N805" s="6">
        <f>Table4[[#This Row],[Margin-Unit]]/Table4[[#This Row],[Unit-Price]]</f>
        <v>0.27431072605026846</v>
      </c>
    </row>
    <row r="806" spans="1:14" x14ac:dyDescent="0.3">
      <c r="A806" t="s">
        <v>849</v>
      </c>
      <c r="B806" t="s">
        <v>24</v>
      </c>
      <c r="C806" t="s">
        <v>22</v>
      </c>
      <c r="D806" t="s">
        <v>40</v>
      </c>
      <c r="E806" t="s">
        <v>41</v>
      </c>
      <c r="F806">
        <v>401</v>
      </c>
      <c r="G806" s="3">
        <v>120.82</v>
      </c>
      <c r="H806" s="1">
        <v>45733</v>
      </c>
      <c r="I806" s="1">
        <v>45747</v>
      </c>
      <c r="J806" s="3">
        <v>34.89</v>
      </c>
      <c r="K806" s="2">
        <f>Table4[[#This Row],[Stock-Quantity]]*Table4[[#This Row],[Unit-Price]]</f>
        <v>48448.82</v>
      </c>
      <c r="L806" s="2">
        <f>Table4[[#This Row],[Stock-Quantity]]*Table4[[#This Row],[Margin-Unit]]</f>
        <v>13990.89</v>
      </c>
      <c r="M806">
        <f>Table4[[#This Row],[Date-Sales]]-Table4[[#This Row],[Date-Received]]</f>
        <v>14</v>
      </c>
      <c r="N806" s="6">
        <f>Table4[[#This Row],[Margin-Unit]]/Table4[[#This Row],[Unit-Price]]</f>
        <v>0.28877669260056282</v>
      </c>
    </row>
    <row r="807" spans="1:14" x14ac:dyDescent="0.3">
      <c r="A807" t="s">
        <v>850</v>
      </c>
      <c r="B807" t="s">
        <v>34</v>
      </c>
      <c r="C807" t="s">
        <v>35</v>
      </c>
      <c r="D807" t="s">
        <v>18</v>
      </c>
      <c r="E807" t="s">
        <v>19</v>
      </c>
      <c r="F807">
        <v>218</v>
      </c>
      <c r="G807" s="3">
        <v>243.63</v>
      </c>
      <c r="H807" s="1">
        <v>45756</v>
      </c>
      <c r="I807" s="1">
        <v>45758</v>
      </c>
      <c r="J807" s="3">
        <v>50.78</v>
      </c>
      <c r="K807" s="2">
        <f>Table4[[#This Row],[Stock-Quantity]]*Table4[[#This Row],[Unit-Price]]</f>
        <v>53111.34</v>
      </c>
      <c r="L807" s="2">
        <f>Table4[[#This Row],[Stock-Quantity]]*Table4[[#This Row],[Margin-Unit]]</f>
        <v>11070.04</v>
      </c>
      <c r="M807">
        <f>Table4[[#This Row],[Date-Sales]]-Table4[[#This Row],[Date-Received]]</f>
        <v>2</v>
      </c>
      <c r="N807" s="6">
        <f>Table4[[#This Row],[Margin-Unit]]/Table4[[#This Row],[Unit-Price]]</f>
        <v>0.20843081722283791</v>
      </c>
    </row>
    <row r="808" spans="1:14" x14ac:dyDescent="0.3">
      <c r="A808" t="s">
        <v>851</v>
      </c>
      <c r="B808" t="s">
        <v>43</v>
      </c>
      <c r="C808" t="s">
        <v>35</v>
      </c>
      <c r="D808" t="s">
        <v>25</v>
      </c>
      <c r="E808" t="s">
        <v>26</v>
      </c>
      <c r="F808">
        <v>487</v>
      </c>
      <c r="G808" s="3">
        <v>428.25</v>
      </c>
      <c r="H808" s="1">
        <v>45688</v>
      </c>
      <c r="I808" s="1">
        <v>45702</v>
      </c>
      <c r="J808" s="3">
        <v>127.3</v>
      </c>
      <c r="K808" s="2">
        <f>Table4[[#This Row],[Stock-Quantity]]*Table4[[#This Row],[Unit-Price]]</f>
        <v>208557.75</v>
      </c>
      <c r="L808" s="2">
        <f>Table4[[#This Row],[Stock-Quantity]]*Table4[[#This Row],[Margin-Unit]]</f>
        <v>61995.1</v>
      </c>
      <c r="M808">
        <f>Table4[[#This Row],[Date-Sales]]-Table4[[#This Row],[Date-Received]]</f>
        <v>14</v>
      </c>
      <c r="N808" s="6">
        <f>Table4[[#This Row],[Margin-Unit]]/Table4[[#This Row],[Unit-Price]]</f>
        <v>0.29725627553998829</v>
      </c>
    </row>
    <row r="809" spans="1:14" x14ac:dyDescent="0.3">
      <c r="A809" t="s">
        <v>852</v>
      </c>
      <c r="B809" t="s">
        <v>52</v>
      </c>
      <c r="C809" t="s">
        <v>12</v>
      </c>
      <c r="D809" t="s">
        <v>18</v>
      </c>
      <c r="E809" t="s">
        <v>19</v>
      </c>
      <c r="F809">
        <v>460</v>
      </c>
      <c r="G809" s="3">
        <v>498.64</v>
      </c>
      <c r="H809" s="1">
        <v>45768</v>
      </c>
      <c r="I809" s="1">
        <v>45796</v>
      </c>
      <c r="J809" s="3">
        <v>135.38999999999999</v>
      </c>
      <c r="K809" s="2">
        <f>Table4[[#This Row],[Stock-Quantity]]*Table4[[#This Row],[Unit-Price]]</f>
        <v>229374.4</v>
      </c>
      <c r="L809" s="2">
        <f>Table4[[#This Row],[Stock-Quantity]]*Table4[[#This Row],[Margin-Unit]]</f>
        <v>62279.399999999994</v>
      </c>
      <c r="M809">
        <f>Table4[[#This Row],[Date-Sales]]-Table4[[#This Row],[Date-Received]]</f>
        <v>28</v>
      </c>
      <c r="N809" s="6">
        <f>Table4[[#This Row],[Margin-Unit]]/Table4[[#This Row],[Unit-Price]]</f>
        <v>0.2715185304026953</v>
      </c>
    </row>
    <row r="810" spans="1:14" x14ac:dyDescent="0.3">
      <c r="A810" t="s">
        <v>853</v>
      </c>
      <c r="B810" t="s">
        <v>74</v>
      </c>
      <c r="C810" t="s">
        <v>29</v>
      </c>
      <c r="D810" t="s">
        <v>25</v>
      </c>
      <c r="E810" t="s">
        <v>26</v>
      </c>
      <c r="F810">
        <v>151</v>
      </c>
      <c r="G810" s="3">
        <v>55.39</v>
      </c>
      <c r="H810" s="1">
        <v>45792</v>
      </c>
      <c r="I810" s="1">
        <v>45795</v>
      </c>
      <c r="J810" s="3">
        <v>6.87</v>
      </c>
      <c r="K810" s="2">
        <f>Table4[[#This Row],[Stock-Quantity]]*Table4[[#This Row],[Unit-Price]]</f>
        <v>8363.89</v>
      </c>
      <c r="L810" s="2">
        <f>Table4[[#This Row],[Stock-Quantity]]*Table4[[#This Row],[Margin-Unit]]</f>
        <v>1037.3700000000001</v>
      </c>
      <c r="M810">
        <f>Table4[[#This Row],[Date-Sales]]-Table4[[#This Row],[Date-Received]]</f>
        <v>3</v>
      </c>
      <c r="N810" s="6">
        <f>Table4[[#This Row],[Margin-Unit]]/Table4[[#This Row],[Unit-Price]]</f>
        <v>0.12402960823253295</v>
      </c>
    </row>
    <row r="811" spans="1:14" x14ac:dyDescent="0.3">
      <c r="A811" t="s">
        <v>854</v>
      </c>
      <c r="B811" t="s">
        <v>50</v>
      </c>
      <c r="C811" t="s">
        <v>17</v>
      </c>
      <c r="D811" t="s">
        <v>40</v>
      </c>
      <c r="E811" t="s">
        <v>41</v>
      </c>
      <c r="F811">
        <v>294</v>
      </c>
      <c r="G811" s="3">
        <v>491.92</v>
      </c>
      <c r="H811" s="1">
        <v>45762</v>
      </c>
      <c r="I811" s="1">
        <v>45765</v>
      </c>
      <c r="J811" s="3">
        <v>83.65</v>
      </c>
      <c r="K811" s="2">
        <f>Table4[[#This Row],[Stock-Quantity]]*Table4[[#This Row],[Unit-Price]]</f>
        <v>144624.48000000001</v>
      </c>
      <c r="L811" s="2">
        <f>Table4[[#This Row],[Stock-Quantity]]*Table4[[#This Row],[Margin-Unit]]</f>
        <v>24593.100000000002</v>
      </c>
      <c r="M811">
        <f>Table4[[#This Row],[Date-Sales]]-Table4[[#This Row],[Date-Received]]</f>
        <v>3</v>
      </c>
      <c r="N811" s="6">
        <f>Table4[[#This Row],[Margin-Unit]]/Table4[[#This Row],[Unit-Price]]</f>
        <v>0.17004797528053342</v>
      </c>
    </row>
    <row r="812" spans="1:14" x14ac:dyDescent="0.3">
      <c r="A812" t="s">
        <v>855</v>
      </c>
      <c r="B812" t="s">
        <v>37</v>
      </c>
      <c r="C812" t="s">
        <v>22</v>
      </c>
      <c r="D812" t="s">
        <v>40</v>
      </c>
      <c r="E812" t="s">
        <v>41</v>
      </c>
      <c r="F812">
        <v>283</v>
      </c>
      <c r="G812" s="3">
        <v>318.39999999999998</v>
      </c>
      <c r="H812" s="1">
        <v>45688</v>
      </c>
      <c r="I812" s="1">
        <v>45718</v>
      </c>
      <c r="J812" s="3">
        <v>40.020000000000003</v>
      </c>
      <c r="K812" s="2">
        <f>Table4[[#This Row],[Stock-Quantity]]*Table4[[#This Row],[Unit-Price]]</f>
        <v>90107.199999999997</v>
      </c>
      <c r="L812" s="2">
        <f>Table4[[#This Row],[Stock-Quantity]]*Table4[[#This Row],[Margin-Unit]]</f>
        <v>11325.660000000002</v>
      </c>
      <c r="M812">
        <f>Table4[[#This Row],[Date-Sales]]-Table4[[#This Row],[Date-Received]]</f>
        <v>30</v>
      </c>
      <c r="N812" s="6">
        <f>Table4[[#This Row],[Margin-Unit]]/Table4[[#This Row],[Unit-Price]]</f>
        <v>0.12569095477386938</v>
      </c>
    </row>
    <row r="813" spans="1:14" x14ac:dyDescent="0.3">
      <c r="A813" t="s">
        <v>856</v>
      </c>
      <c r="B813" t="s">
        <v>70</v>
      </c>
      <c r="C813" t="s">
        <v>35</v>
      </c>
      <c r="D813" t="s">
        <v>13</v>
      </c>
      <c r="E813" t="s">
        <v>14</v>
      </c>
      <c r="F813">
        <v>355</v>
      </c>
      <c r="G813" s="3">
        <v>443.93</v>
      </c>
      <c r="H813" s="1">
        <v>45720</v>
      </c>
      <c r="I813" s="1">
        <v>45727</v>
      </c>
      <c r="J813" s="3">
        <v>111.65</v>
      </c>
      <c r="K813" s="2">
        <f>Table4[[#This Row],[Stock-Quantity]]*Table4[[#This Row],[Unit-Price]]</f>
        <v>157595.15</v>
      </c>
      <c r="L813" s="2">
        <f>Table4[[#This Row],[Stock-Quantity]]*Table4[[#This Row],[Margin-Unit]]</f>
        <v>39635.75</v>
      </c>
      <c r="M813">
        <f>Table4[[#This Row],[Date-Sales]]-Table4[[#This Row],[Date-Received]]</f>
        <v>7</v>
      </c>
      <c r="N813" s="6">
        <f>Table4[[#This Row],[Margin-Unit]]/Table4[[#This Row],[Unit-Price]]</f>
        <v>0.25150361543486588</v>
      </c>
    </row>
    <row r="814" spans="1:14" x14ac:dyDescent="0.3">
      <c r="A814" t="s">
        <v>857</v>
      </c>
      <c r="B814" t="s">
        <v>74</v>
      </c>
      <c r="C814" t="s">
        <v>29</v>
      </c>
      <c r="D814" t="s">
        <v>40</v>
      </c>
      <c r="E814" t="s">
        <v>41</v>
      </c>
      <c r="F814">
        <v>409</v>
      </c>
      <c r="G814" s="3">
        <v>218.21</v>
      </c>
      <c r="H814" s="1">
        <v>45808</v>
      </c>
      <c r="I814" s="1">
        <v>45816</v>
      </c>
      <c r="J814" s="3">
        <v>60.42</v>
      </c>
      <c r="K814" s="2">
        <f>Table4[[#This Row],[Stock-Quantity]]*Table4[[#This Row],[Unit-Price]]</f>
        <v>89247.89</v>
      </c>
      <c r="L814" s="2">
        <f>Table4[[#This Row],[Stock-Quantity]]*Table4[[#This Row],[Margin-Unit]]</f>
        <v>24711.780000000002</v>
      </c>
      <c r="M814">
        <f>Table4[[#This Row],[Date-Sales]]-Table4[[#This Row],[Date-Received]]</f>
        <v>8</v>
      </c>
      <c r="N814" s="6">
        <f>Table4[[#This Row],[Margin-Unit]]/Table4[[#This Row],[Unit-Price]]</f>
        <v>0.27688923514046104</v>
      </c>
    </row>
    <row r="815" spans="1:14" x14ac:dyDescent="0.3">
      <c r="A815" t="s">
        <v>858</v>
      </c>
      <c r="B815" t="s">
        <v>116</v>
      </c>
      <c r="C815" t="s">
        <v>12</v>
      </c>
      <c r="D815" t="s">
        <v>25</v>
      </c>
      <c r="E815" t="s">
        <v>26</v>
      </c>
      <c r="F815">
        <v>353</v>
      </c>
      <c r="G815" s="3">
        <v>396.81</v>
      </c>
      <c r="H815" s="1">
        <v>45715</v>
      </c>
      <c r="I815" s="1">
        <v>45723</v>
      </c>
      <c r="J815" s="3">
        <v>67.16</v>
      </c>
      <c r="K815" s="2">
        <f>Table4[[#This Row],[Stock-Quantity]]*Table4[[#This Row],[Unit-Price]]</f>
        <v>140073.93</v>
      </c>
      <c r="L815" s="2">
        <f>Table4[[#This Row],[Stock-Quantity]]*Table4[[#This Row],[Margin-Unit]]</f>
        <v>23707.48</v>
      </c>
      <c r="M815">
        <f>Table4[[#This Row],[Date-Sales]]-Table4[[#This Row],[Date-Received]]</f>
        <v>8</v>
      </c>
      <c r="N815" s="6">
        <f>Table4[[#This Row],[Margin-Unit]]/Table4[[#This Row],[Unit-Price]]</f>
        <v>0.16924976689095536</v>
      </c>
    </row>
    <row r="816" spans="1:14" x14ac:dyDescent="0.3">
      <c r="A816" t="s">
        <v>859</v>
      </c>
      <c r="B816" t="s">
        <v>43</v>
      </c>
      <c r="C816" t="s">
        <v>35</v>
      </c>
      <c r="D816" t="s">
        <v>25</v>
      </c>
      <c r="E816" t="s">
        <v>26</v>
      </c>
      <c r="F816">
        <v>177</v>
      </c>
      <c r="G816" s="3">
        <v>175.46</v>
      </c>
      <c r="H816" s="1">
        <v>45779</v>
      </c>
      <c r="I816" s="1">
        <v>45799</v>
      </c>
      <c r="J816" s="3">
        <v>45.04</v>
      </c>
      <c r="K816" s="2">
        <f>Table4[[#This Row],[Stock-Quantity]]*Table4[[#This Row],[Unit-Price]]</f>
        <v>31056.420000000002</v>
      </c>
      <c r="L816" s="2">
        <f>Table4[[#This Row],[Stock-Quantity]]*Table4[[#This Row],[Margin-Unit]]</f>
        <v>7972.08</v>
      </c>
      <c r="M816">
        <f>Table4[[#This Row],[Date-Sales]]-Table4[[#This Row],[Date-Received]]</f>
        <v>20</v>
      </c>
      <c r="N816" s="6">
        <f>Table4[[#This Row],[Margin-Unit]]/Table4[[#This Row],[Unit-Price]]</f>
        <v>0.25669668300467341</v>
      </c>
    </row>
    <row r="817" spans="1:14" x14ac:dyDescent="0.3">
      <c r="A817" t="s">
        <v>860</v>
      </c>
      <c r="B817" t="s">
        <v>39</v>
      </c>
      <c r="C817" t="s">
        <v>12</v>
      </c>
      <c r="D817" t="s">
        <v>25</v>
      </c>
      <c r="E817" t="s">
        <v>26</v>
      </c>
      <c r="F817">
        <v>128</v>
      </c>
      <c r="G817" s="3">
        <v>439.76</v>
      </c>
      <c r="H817" s="1">
        <v>45789</v>
      </c>
      <c r="I817" s="1">
        <v>45808</v>
      </c>
      <c r="J817" s="3">
        <v>95.77</v>
      </c>
      <c r="K817" s="2">
        <f>Table4[[#This Row],[Stock-Quantity]]*Table4[[#This Row],[Unit-Price]]</f>
        <v>56289.279999999999</v>
      </c>
      <c r="L817" s="2">
        <f>Table4[[#This Row],[Stock-Quantity]]*Table4[[#This Row],[Margin-Unit]]</f>
        <v>12258.56</v>
      </c>
      <c r="M817">
        <f>Table4[[#This Row],[Date-Sales]]-Table4[[#This Row],[Date-Received]]</f>
        <v>19</v>
      </c>
      <c r="N817" s="6">
        <f>Table4[[#This Row],[Margin-Unit]]/Table4[[#This Row],[Unit-Price]]</f>
        <v>0.21777787884300528</v>
      </c>
    </row>
    <row r="818" spans="1:14" x14ac:dyDescent="0.3">
      <c r="A818" t="s">
        <v>861</v>
      </c>
      <c r="B818" t="s">
        <v>80</v>
      </c>
      <c r="C818" t="s">
        <v>29</v>
      </c>
      <c r="D818" t="s">
        <v>13</v>
      </c>
      <c r="E818" t="s">
        <v>14</v>
      </c>
      <c r="F818">
        <v>481</v>
      </c>
      <c r="G818" s="3">
        <v>445.28</v>
      </c>
      <c r="H818" s="1">
        <v>45686</v>
      </c>
      <c r="I818" s="1">
        <v>45712</v>
      </c>
      <c r="J818" s="3">
        <v>108.83</v>
      </c>
      <c r="K818" s="2">
        <f>Table4[[#This Row],[Stock-Quantity]]*Table4[[#This Row],[Unit-Price]]</f>
        <v>214179.68</v>
      </c>
      <c r="L818" s="2">
        <f>Table4[[#This Row],[Stock-Quantity]]*Table4[[#This Row],[Margin-Unit]]</f>
        <v>52347.229999999996</v>
      </c>
      <c r="M818">
        <f>Table4[[#This Row],[Date-Sales]]-Table4[[#This Row],[Date-Received]]</f>
        <v>26</v>
      </c>
      <c r="N818" s="6">
        <f>Table4[[#This Row],[Margin-Unit]]/Table4[[#This Row],[Unit-Price]]</f>
        <v>0.24440801293568093</v>
      </c>
    </row>
    <row r="819" spans="1:14" x14ac:dyDescent="0.3">
      <c r="A819" t="s">
        <v>862</v>
      </c>
      <c r="B819" t="s">
        <v>116</v>
      </c>
      <c r="C819" t="s">
        <v>12</v>
      </c>
      <c r="D819" t="s">
        <v>30</v>
      </c>
      <c r="E819" t="s">
        <v>31</v>
      </c>
      <c r="F819">
        <v>275</v>
      </c>
      <c r="G819" s="3">
        <v>353.6</v>
      </c>
      <c r="H819" s="1">
        <v>45817</v>
      </c>
      <c r="I819" s="1">
        <v>45830</v>
      </c>
      <c r="J819" s="3">
        <v>59.81</v>
      </c>
      <c r="K819" s="2">
        <f>Table4[[#This Row],[Stock-Quantity]]*Table4[[#This Row],[Unit-Price]]</f>
        <v>97240</v>
      </c>
      <c r="L819" s="2">
        <f>Table4[[#This Row],[Stock-Quantity]]*Table4[[#This Row],[Margin-Unit]]</f>
        <v>16447.75</v>
      </c>
      <c r="M819">
        <f>Table4[[#This Row],[Date-Sales]]-Table4[[#This Row],[Date-Received]]</f>
        <v>13</v>
      </c>
      <c r="N819" s="6">
        <f>Table4[[#This Row],[Margin-Unit]]/Table4[[#This Row],[Unit-Price]]</f>
        <v>0.16914592760180994</v>
      </c>
    </row>
    <row r="820" spans="1:14" x14ac:dyDescent="0.3">
      <c r="A820" t="s">
        <v>863</v>
      </c>
      <c r="B820" t="s">
        <v>37</v>
      </c>
      <c r="C820" t="s">
        <v>22</v>
      </c>
      <c r="D820" t="s">
        <v>25</v>
      </c>
      <c r="E820" t="s">
        <v>26</v>
      </c>
      <c r="F820">
        <v>61</v>
      </c>
      <c r="G820" s="3">
        <v>280.08999999999997</v>
      </c>
      <c r="H820" s="1">
        <v>45730</v>
      </c>
      <c r="I820" s="1">
        <v>45749</v>
      </c>
      <c r="J820" s="3">
        <v>73.61</v>
      </c>
      <c r="K820" s="2">
        <f>Table4[[#This Row],[Stock-Quantity]]*Table4[[#This Row],[Unit-Price]]</f>
        <v>17085.489999999998</v>
      </c>
      <c r="L820" s="2">
        <f>Table4[[#This Row],[Stock-Quantity]]*Table4[[#This Row],[Margin-Unit]]</f>
        <v>4490.21</v>
      </c>
      <c r="M820">
        <f>Table4[[#This Row],[Date-Sales]]-Table4[[#This Row],[Date-Received]]</f>
        <v>19</v>
      </c>
      <c r="N820" s="6">
        <f>Table4[[#This Row],[Margin-Unit]]/Table4[[#This Row],[Unit-Price]]</f>
        <v>0.26280838301974369</v>
      </c>
    </row>
    <row r="821" spans="1:14" x14ac:dyDescent="0.3">
      <c r="A821" t="s">
        <v>864</v>
      </c>
      <c r="B821" t="s">
        <v>50</v>
      </c>
      <c r="C821" t="s">
        <v>17</v>
      </c>
      <c r="D821" t="s">
        <v>25</v>
      </c>
      <c r="E821" t="s">
        <v>26</v>
      </c>
      <c r="F821">
        <v>238</v>
      </c>
      <c r="G821" s="3">
        <v>471.42</v>
      </c>
      <c r="H821" s="1">
        <v>45833</v>
      </c>
      <c r="I821" s="1">
        <v>45854</v>
      </c>
      <c r="J821" s="3">
        <v>125.05</v>
      </c>
      <c r="K821" s="2">
        <f>Table4[[#This Row],[Stock-Quantity]]*Table4[[#This Row],[Unit-Price]]</f>
        <v>112197.96</v>
      </c>
      <c r="L821" s="2">
        <f>Table4[[#This Row],[Stock-Quantity]]*Table4[[#This Row],[Margin-Unit]]</f>
        <v>29761.899999999998</v>
      </c>
      <c r="M821">
        <f>Table4[[#This Row],[Date-Sales]]-Table4[[#This Row],[Date-Received]]</f>
        <v>21</v>
      </c>
      <c r="N821" s="6">
        <f>Table4[[#This Row],[Margin-Unit]]/Table4[[#This Row],[Unit-Price]]</f>
        <v>0.26526239871027957</v>
      </c>
    </row>
    <row r="822" spans="1:14" x14ac:dyDescent="0.3">
      <c r="A822" t="s">
        <v>865</v>
      </c>
      <c r="B822" t="s">
        <v>52</v>
      </c>
      <c r="C822" t="s">
        <v>12</v>
      </c>
      <c r="D822" t="s">
        <v>30</v>
      </c>
      <c r="E822" t="s">
        <v>31</v>
      </c>
      <c r="F822">
        <v>142</v>
      </c>
      <c r="G822" s="3">
        <v>116.63</v>
      </c>
      <c r="H822" s="1">
        <v>45699</v>
      </c>
      <c r="I822" s="1">
        <v>45729</v>
      </c>
      <c r="J822" s="3">
        <v>26.15</v>
      </c>
      <c r="K822" s="2">
        <f>Table4[[#This Row],[Stock-Quantity]]*Table4[[#This Row],[Unit-Price]]</f>
        <v>16561.46</v>
      </c>
      <c r="L822" s="2">
        <f>Table4[[#This Row],[Stock-Quantity]]*Table4[[#This Row],[Margin-Unit]]</f>
        <v>3713.2999999999997</v>
      </c>
      <c r="M822">
        <f>Table4[[#This Row],[Date-Sales]]-Table4[[#This Row],[Date-Received]]</f>
        <v>30</v>
      </c>
      <c r="N822" s="6">
        <f>Table4[[#This Row],[Margin-Unit]]/Table4[[#This Row],[Unit-Price]]</f>
        <v>0.22421332418760181</v>
      </c>
    </row>
    <row r="823" spans="1:14" x14ac:dyDescent="0.3">
      <c r="A823" t="s">
        <v>866</v>
      </c>
      <c r="B823" t="s">
        <v>34</v>
      </c>
      <c r="C823" t="s">
        <v>35</v>
      </c>
      <c r="D823" t="s">
        <v>30</v>
      </c>
      <c r="E823" t="s">
        <v>31</v>
      </c>
      <c r="F823">
        <v>457</v>
      </c>
      <c r="G823" s="3">
        <v>158.49</v>
      </c>
      <c r="H823" s="1">
        <v>45685</v>
      </c>
      <c r="I823" s="1">
        <v>45715</v>
      </c>
      <c r="J823" s="3">
        <v>19.23</v>
      </c>
      <c r="K823" s="2">
        <f>Table4[[#This Row],[Stock-Quantity]]*Table4[[#This Row],[Unit-Price]]</f>
        <v>72429.930000000008</v>
      </c>
      <c r="L823" s="2">
        <f>Table4[[#This Row],[Stock-Quantity]]*Table4[[#This Row],[Margin-Unit]]</f>
        <v>8788.11</v>
      </c>
      <c r="M823">
        <f>Table4[[#This Row],[Date-Sales]]-Table4[[#This Row],[Date-Received]]</f>
        <v>30</v>
      </c>
      <c r="N823" s="6">
        <f>Table4[[#This Row],[Margin-Unit]]/Table4[[#This Row],[Unit-Price]]</f>
        <v>0.1213325761877721</v>
      </c>
    </row>
    <row r="824" spans="1:14" x14ac:dyDescent="0.3">
      <c r="A824" t="s">
        <v>867</v>
      </c>
      <c r="B824" t="s">
        <v>94</v>
      </c>
      <c r="C824" t="s">
        <v>29</v>
      </c>
      <c r="D824" t="s">
        <v>13</v>
      </c>
      <c r="E824" t="s">
        <v>14</v>
      </c>
      <c r="F824">
        <v>78</v>
      </c>
      <c r="G824" s="3">
        <v>321.02</v>
      </c>
      <c r="H824" s="1">
        <v>45683</v>
      </c>
      <c r="I824" s="1">
        <v>45688</v>
      </c>
      <c r="J824" s="3">
        <v>76.010000000000005</v>
      </c>
      <c r="K824" s="2">
        <f>Table4[[#This Row],[Stock-Quantity]]*Table4[[#This Row],[Unit-Price]]</f>
        <v>25039.559999999998</v>
      </c>
      <c r="L824" s="2">
        <f>Table4[[#This Row],[Stock-Quantity]]*Table4[[#This Row],[Margin-Unit]]</f>
        <v>5928.7800000000007</v>
      </c>
      <c r="M824">
        <f>Table4[[#This Row],[Date-Sales]]-Table4[[#This Row],[Date-Received]]</f>
        <v>5</v>
      </c>
      <c r="N824" s="6">
        <f>Table4[[#This Row],[Margin-Unit]]/Table4[[#This Row],[Unit-Price]]</f>
        <v>0.23677652482711362</v>
      </c>
    </row>
    <row r="825" spans="1:14" x14ac:dyDescent="0.3">
      <c r="A825" t="s">
        <v>868</v>
      </c>
      <c r="B825" t="s">
        <v>34</v>
      </c>
      <c r="C825" t="s">
        <v>35</v>
      </c>
      <c r="D825" t="s">
        <v>25</v>
      </c>
      <c r="E825" t="s">
        <v>26</v>
      </c>
      <c r="F825">
        <v>324</v>
      </c>
      <c r="G825" s="3">
        <v>401.36</v>
      </c>
      <c r="H825" s="1">
        <v>45742</v>
      </c>
      <c r="I825" s="1">
        <v>45744</v>
      </c>
      <c r="J825" s="3">
        <v>46.71</v>
      </c>
      <c r="K825" s="2">
        <f>Table4[[#This Row],[Stock-Quantity]]*Table4[[#This Row],[Unit-Price]]</f>
        <v>130040.64</v>
      </c>
      <c r="L825" s="2">
        <f>Table4[[#This Row],[Stock-Quantity]]*Table4[[#This Row],[Margin-Unit]]</f>
        <v>15134.04</v>
      </c>
      <c r="M825">
        <f>Table4[[#This Row],[Date-Sales]]-Table4[[#This Row],[Date-Received]]</f>
        <v>2</v>
      </c>
      <c r="N825" s="6">
        <f>Table4[[#This Row],[Margin-Unit]]/Table4[[#This Row],[Unit-Price]]</f>
        <v>0.11637931034482758</v>
      </c>
    </row>
    <row r="826" spans="1:14" x14ac:dyDescent="0.3">
      <c r="A826" t="s">
        <v>869</v>
      </c>
      <c r="B826" t="s">
        <v>50</v>
      </c>
      <c r="C826" t="s">
        <v>17</v>
      </c>
      <c r="D826" t="s">
        <v>30</v>
      </c>
      <c r="E826" t="s">
        <v>31</v>
      </c>
      <c r="F826">
        <v>486</v>
      </c>
      <c r="G826" s="3">
        <v>189.03</v>
      </c>
      <c r="H826" s="1">
        <v>45755</v>
      </c>
      <c r="I826" s="1">
        <v>45783</v>
      </c>
      <c r="J826" s="3">
        <v>38.72</v>
      </c>
      <c r="K826" s="2">
        <f>Table4[[#This Row],[Stock-Quantity]]*Table4[[#This Row],[Unit-Price]]</f>
        <v>91868.58</v>
      </c>
      <c r="L826" s="2">
        <f>Table4[[#This Row],[Stock-Quantity]]*Table4[[#This Row],[Margin-Unit]]</f>
        <v>18817.919999999998</v>
      </c>
      <c r="M826">
        <f>Table4[[#This Row],[Date-Sales]]-Table4[[#This Row],[Date-Received]]</f>
        <v>28</v>
      </c>
      <c r="N826" s="6">
        <f>Table4[[#This Row],[Margin-Unit]]/Table4[[#This Row],[Unit-Price]]</f>
        <v>0.20483521134211499</v>
      </c>
    </row>
    <row r="827" spans="1:14" x14ac:dyDescent="0.3">
      <c r="A827" t="s">
        <v>870</v>
      </c>
      <c r="B827" t="s">
        <v>28</v>
      </c>
      <c r="C827" t="s">
        <v>29</v>
      </c>
      <c r="D827" t="s">
        <v>25</v>
      </c>
      <c r="E827" t="s">
        <v>26</v>
      </c>
      <c r="F827">
        <v>324</v>
      </c>
      <c r="G827" s="3">
        <v>475.8</v>
      </c>
      <c r="H827" s="1">
        <v>45760</v>
      </c>
      <c r="I827" s="1">
        <v>45766</v>
      </c>
      <c r="J827" s="3">
        <v>83.76</v>
      </c>
      <c r="K827" s="2">
        <f>Table4[[#This Row],[Stock-Quantity]]*Table4[[#This Row],[Unit-Price]]</f>
        <v>154159.20000000001</v>
      </c>
      <c r="L827" s="2">
        <f>Table4[[#This Row],[Stock-Quantity]]*Table4[[#This Row],[Margin-Unit]]</f>
        <v>27138.240000000002</v>
      </c>
      <c r="M827">
        <f>Table4[[#This Row],[Date-Sales]]-Table4[[#This Row],[Date-Received]]</f>
        <v>6</v>
      </c>
      <c r="N827" s="6">
        <f>Table4[[#This Row],[Margin-Unit]]/Table4[[#This Row],[Unit-Price]]</f>
        <v>0.17604035308953342</v>
      </c>
    </row>
    <row r="828" spans="1:14" x14ac:dyDescent="0.3">
      <c r="A828" t="s">
        <v>871</v>
      </c>
      <c r="B828" t="s">
        <v>106</v>
      </c>
      <c r="C828" t="s">
        <v>17</v>
      </c>
      <c r="D828" t="s">
        <v>30</v>
      </c>
      <c r="E828" t="s">
        <v>31</v>
      </c>
      <c r="F828">
        <v>316</v>
      </c>
      <c r="G828" s="3">
        <v>459.61</v>
      </c>
      <c r="H828" s="1">
        <v>45765</v>
      </c>
      <c r="I828" s="1">
        <v>45767</v>
      </c>
      <c r="J828" s="3">
        <v>118.08</v>
      </c>
      <c r="K828" s="2">
        <f>Table4[[#This Row],[Stock-Quantity]]*Table4[[#This Row],[Unit-Price]]</f>
        <v>145236.76</v>
      </c>
      <c r="L828" s="2">
        <f>Table4[[#This Row],[Stock-Quantity]]*Table4[[#This Row],[Margin-Unit]]</f>
        <v>37313.279999999999</v>
      </c>
      <c r="M828">
        <f>Table4[[#This Row],[Date-Sales]]-Table4[[#This Row],[Date-Received]]</f>
        <v>2</v>
      </c>
      <c r="N828" s="6">
        <f>Table4[[#This Row],[Margin-Unit]]/Table4[[#This Row],[Unit-Price]]</f>
        <v>0.25691347011596788</v>
      </c>
    </row>
    <row r="829" spans="1:14" x14ac:dyDescent="0.3">
      <c r="A829" t="s">
        <v>872</v>
      </c>
      <c r="B829" t="s">
        <v>106</v>
      </c>
      <c r="C829" t="s">
        <v>17</v>
      </c>
      <c r="D829" t="s">
        <v>40</v>
      </c>
      <c r="E829" t="s">
        <v>41</v>
      </c>
      <c r="F829">
        <v>107</v>
      </c>
      <c r="G829" s="3">
        <v>497.86</v>
      </c>
      <c r="H829" s="1">
        <v>45777</v>
      </c>
      <c r="I829" s="1">
        <v>45785</v>
      </c>
      <c r="J829" s="3">
        <v>140.06</v>
      </c>
      <c r="K829" s="2">
        <f>Table4[[#This Row],[Stock-Quantity]]*Table4[[#This Row],[Unit-Price]]</f>
        <v>53271.020000000004</v>
      </c>
      <c r="L829" s="2">
        <f>Table4[[#This Row],[Stock-Quantity]]*Table4[[#This Row],[Margin-Unit]]</f>
        <v>14986.42</v>
      </c>
      <c r="M829">
        <f>Table4[[#This Row],[Date-Sales]]-Table4[[#This Row],[Date-Received]]</f>
        <v>8</v>
      </c>
      <c r="N829" s="6">
        <f>Table4[[#This Row],[Margin-Unit]]/Table4[[#This Row],[Unit-Price]]</f>
        <v>0.28132406700678908</v>
      </c>
    </row>
    <row r="830" spans="1:14" x14ac:dyDescent="0.3">
      <c r="A830" t="s">
        <v>873</v>
      </c>
      <c r="B830" t="s">
        <v>50</v>
      </c>
      <c r="C830" t="s">
        <v>17</v>
      </c>
      <c r="D830" t="s">
        <v>40</v>
      </c>
      <c r="E830" t="s">
        <v>41</v>
      </c>
      <c r="F830">
        <v>208</v>
      </c>
      <c r="G830" s="3">
        <v>394.5</v>
      </c>
      <c r="H830" s="1">
        <v>45708</v>
      </c>
      <c r="I830" s="1">
        <v>45721</v>
      </c>
      <c r="J830" s="3">
        <v>74.03</v>
      </c>
      <c r="K830" s="2">
        <f>Table4[[#This Row],[Stock-Quantity]]*Table4[[#This Row],[Unit-Price]]</f>
        <v>82056</v>
      </c>
      <c r="L830" s="2">
        <f>Table4[[#This Row],[Stock-Quantity]]*Table4[[#This Row],[Margin-Unit]]</f>
        <v>15398.24</v>
      </c>
      <c r="M830">
        <f>Table4[[#This Row],[Date-Sales]]-Table4[[#This Row],[Date-Received]]</f>
        <v>13</v>
      </c>
      <c r="N830" s="6">
        <f>Table4[[#This Row],[Margin-Unit]]/Table4[[#This Row],[Unit-Price]]</f>
        <v>0.18765525982256021</v>
      </c>
    </row>
    <row r="831" spans="1:14" x14ac:dyDescent="0.3">
      <c r="A831" t="s">
        <v>874</v>
      </c>
      <c r="B831" t="s">
        <v>106</v>
      </c>
      <c r="C831" t="s">
        <v>17</v>
      </c>
      <c r="D831" t="s">
        <v>25</v>
      </c>
      <c r="E831" t="s">
        <v>26</v>
      </c>
      <c r="F831">
        <v>91</v>
      </c>
      <c r="G831" s="3">
        <v>342.99</v>
      </c>
      <c r="H831" s="1">
        <v>45789</v>
      </c>
      <c r="I831" s="1">
        <v>45803</v>
      </c>
      <c r="J831" s="3">
        <v>71.08</v>
      </c>
      <c r="K831" s="2">
        <f>Table4[[#This Row],[Stock-Quantity]]*Table4[[#This Row],[Unit-Price]]</f>
        <v>31212.09</v>
      </c>
      <c r="L831" s="2">
        <f>Table4[[#This Row],[Stock-Quantity]]*Table4[[#This Row],[Margin-Unit]]</f>
        <v>6468.28</v>
      </c>
      <c r="M831">
        <f>Table4[[#This Row],[Date-Sales]]-Table4[[#This Row],[Date-Received]]</f>
        <v>14</v>
      </c>
      <c r="N831" s="6">
        <f>Table4[[#This Row],[Margin-Unit]]/Table4[[#This Row],[Unit-Price]]</f>
        <v>0.2072363625761684</v>
      </c>
    </row>
    <row r="832" spans="1:14" x14ac:dyDescent="0.3">
      <c r="A832" t="s">
        <v>875</v>
      </c>
      <c r="B832" t="s">
        <v>16</v>
      </c>
      <c r="C832" t="s">
        <v>17</v>
      </c>
      <c r="D832" t="s">
        <v>13</v>
      </c>
      <c r="E832" t="s">
        <v>14</v>
      </c>
      <c r="F832">
        <v>280</v>
      </c>
      <c r="G832" s="3">
        <v>33.770000000000003</v>
      </c>
      <c r="H832" s="1">
        <v>45707</v>
      </c>
      <c r="I832" s="1">
        <v>45730</v>
      </c>
      <c r="J832" s="3">
        <v>5.63</v>
      </c>
      <c r="K832" s="2">
        <f>Table4[[#This Row],[Stock-Quantity]]*Table4[[#This Row],[Unit-Price]]</f>
        <v>9455.6</v>
      </c>
      <c r="L832" s="2">
        <f>Table4[[#This Row],[Stock-Quantity]]*Table4[[#This Row],[Margin-Unit]]</f>
        <v>1576.3999999999999</v>
      </c>
      <c r="M832">
        <f>Table4[[#This Row],[Date-Sales]]-Table4[[#This Row],[Date-Received]]</f>
        <v>23</v>
      </c>
      <c r="N832" s="6">
        <f>Table4[[#This Row],[Margin-Unit]]/Table4[[#This Row],[Unit-Price]]</f>
        <v>0.16671602013621556</v>
      </c>
    </row>
    <row r="833" spans="1:14" x14ac:dyDescent="0.3">
      <c r="A833" t="s">
        <v>876</v>
      </c>
      <c r="B833" t="s">
        <v>70</v>
      </c>
      <c r="C833" t="s">
        <v>35</v>
      </c>
      <c r="D833" t="s">
        <v>40</v>
      </c>
      <c r="E833" t="s">
        <v>41</v>
      </c>
      <c r="F833">
        <v>390</v>
      </c>
      <c r="G833" s="3">
        <v>212.4</v>
      </c>
      <c r="H833" s="1">
        <v>45668</v>
      </c>
      <c r="I833" s="1">
        <v>45686</v>
      </c>
      <c r="J833" s="3">
        <v>47.14</v>
      </c>
      <c r="K833" s="2">
        <f>Table4[[#This Row],[Stock-Quantity]]*Table4[[#This Row],[Unit-Price]]</f>
        <v>82836</v>
      </c>
      <c r="L833" s="2">
        <f>Table4[[#This Row],[Stock-Quantity]]*Table4[[#This Row],[Margin-Unit]]</f>
        <v>18384.599999999999</v>
      </c>
      <c r="M833">
        <f>Table4[[#This Row],[Date-Sales]]-Table4[[#This Row],[Date-Received]]</f>
        <v>18</v>
      </c>
      <c r="N833" s="6">
        <f>Table4[[#This Row],[Margin-Unit]]/Table4[[#This Row],[Unit-Price]]</f>
        <v>0.22193973634651601</v>
      </c>
    </row>
    <row r="834" spans="1:14" x14ac:dyDescent="0.3">
      <c r="A834" t="s">
        <v>877</v>
      </c>
      <c r="B834" t="s">
        <v>65</v>
      </c>
      <c r="C834" t="s">
        <v>22</v>
      </c>
      <c r="D834" t="s">
        <v>18</v>
      </c>
      <c r="E834" t="s">
        <v>19</v>
      </c>
      <c r="F834">
        <v>189</v>
      </c>
      <c r="G834" s="3">
        <v>183.01</v>
      </c>
      <c r="H834" s="1">
        <v>45691</v>
      </c>
      <c r="I834" s="1">
        <v>45693</v>
      </c>
      <c r="J834" s="3">
        <v>31.67</v>
      </c>
      <c r="K834" s="2">
        <f>Table4[[#This Row],[Stock-Quantity]]*Table4[[#This Row],[Unit-Price]]</f>
        <v>34588.89</v>
      </c>
      <c r="L834" s="2">
        <f>Table4[[#This Row],[Stock-Quantity]]*Table4[[#This Row],[Margin-Unit]]</f>
        <v>5985.63</v>
      </c>
      <c r="M834">
        <f>Table4[[#This Row],[Date-Sales]]-Table4[[#This Row],[Date-Received]]</f>
        <v>2</v>
      </c>
      <c r="N834" s="6">
        <f>Table4[[#This Row],[Margin-Unit]]/Table4[[#This Row],[Unit-Price]]</f>
        <v>0.17305065296978309</v>
      </c>
    </row>
    <row r="835" spans="1:14" x14ac:dyDescent="0.3">
      <c r="A835" t="s">
        <v>878</v>
      </c>
      <c r="B835" t="s">
        <v>106</v>
      </c>
      <c r="C835" t="s">
        <v>17</v>
      </c>
      <c r="D835" t="s">
        <v>13</v>
      </c>
      <c r="E835" t="s">
        <v>14</v>
      </c>
      <c r="F835">
        <v>80</v>
      </c>
      <c r="G835" s="3">
        <v>151.22999999999999</v>
      </c>
      <c r="H835" s="1">
        <v>45665</v>
      </c>
      <c r="I835" s="1">
        <v>45673</v>
      </c>
      <c r="J835" s="3">
        <v>31.42</v>
      </c>
      <c r="K835" s="2">
        <f>Table4[[#This Row],[Stock-Quantity]]*Table4[[#This Row],[Unit-Price]]</f>
        <v>12098.4</v>
      </c>
      <c r="L835" s="2">
        <f>Table4[[#This Row],[Stock-Quantity]]*Table4[[#This Row],[Margin-Unit]]</f>
        <v>2513.6000000000004</v>
      </c>
      <c r="M835">
        <f>Table4[[#This Row],[Date-Sales]]-Table4[[#This Row],[Date-Received]]</f>
        <v>8</v>
      </c>
      <c r="N835" s="6">
        <f>Table4[[#This Row],[Margin-Unit]]/Table4[[#This Row],[Unit-Price]]</f>
        <v>0.20776300998479141</v>
      </c>
    </row>
    <row r="836" spans="1:14" x14ac:dyDescent="0.3">
      <c r="A836" t="s">
        <v>879</v>
      </c>
      <c r="B836" t="s">
        <v>24</v>
      </c>
      <c r="C836" t="s">
        <v>22</v>
      </c>
      <c r="D836" t="s">
        <v>13</v>
      </c>
      <c r="E836" t="s">
        <v>14</v>
      </c>
      <c r="F836">
        <v>233</v>
      </c>
      <c r="G836" s="3">
        <v>425.33</v>
      </c>
      <c r="H836" s="1">
        <v>45832</v>
      </c>
      <c r="I836" s="1">
        <v>45857</v>
      </c>
      <c r="J836" s="3">
        <v>61.43</v>
      </c>
      <c r="K836" s="2">
        <f>Table4[[#This Row],[Stock-Quantity]]*Table4[[#This Row],[Unit-Price]]</f>
        <v>99101.89</v>
      </c>
      <c r="L836" s="2">
        <f>Table4[[#This Row],[Stock-Quantity]]*Table4[[#This Row],[Margin-Unit]]</f>
        <v>14313.19</v>
      </c>
      <c r="M836">
        <f>Table4[[#This Row],[Date-Sales]]-Table4[[#This Row],[Date-Received]]</f>
        <v>25</v>
      </c>
      <c r="N836" s="6">
        <f>Table4[[#This Row],[Margin-Unit]]/Table4[[#This Row],[Unit-Price]]</f>
        <v>0.14442903157548256</v>
      </c>
    </row>
    <row r="837" spans="1:14" x14ac:dyDescent="0.3">
      <c r="A837" t="s">
        <v>880</v>
      </c>
      <c r="B837" t="s">
        <v>116</v>
      </c>
      <c r="C837" t="s">
        <v>12</v>
      </c>
      <c r="D837" t="s">
        <v>13</v>
      </c>
      <c r="E837" t="s">
        <v>14</v>
      </c>
      <c r="F837">
        <v>393</v>
      </c>
      <c r="G837" s="3">
        <v>71.63</v>
      </c>
      <c r="H837" s="1">
        <v>45692</v>
      </c>
      <c r="I837" s="1">
        <v>45716</v>
      </c>
      <c r="J837" s="3">
        <v>13.84</v>
      </c>
      <c r="K837" s="2">
        <f>Table4[[#This Row],[Stock-Quantity]]*Table4[[#This Row],[Unit-Price]]</f>
        <v>28150.589999999997</v>
      </c>
      <c r="L837" s="2">
        <f>Table4[[#This Row],[Stock-Quantity]]*Table4[[#This Row],[Margin-Unit]]</f>
        <v>5439.12</v>
      </c>
      <c r="M837">
        <f>Table4[[#This Row],[Date-Sales]]-Table4[[#This Row],[Date-Received]]</f>
        <v>24</v>
      </c>
      <c r="N837" s="6">
        <f>Table4[[#This Row],[Margin-Unit]]/Table4[[#This Row],[Unit-Price]]</f>
        <v>0.19321513332402626</v>
      </c>
    </row>
    <row r="838" spans="1:14" x14ac:dyDescent="0.3">
      <c r="A838" t="s">
        <v>881</v>
      </c>
      <c r="B838" t="s">
        <v>94</v>
      </c>
      <c r="C838" t="s">
        <v>29</v>
      </c>
      <c r="D838" t="s">
        <v>40</v>
      </c>
      <c r="E838" t="s">
        <v>41</v>
      </c>
      <c r="F838">
        <v>358</v>
      </c>
      <c r="G838" s="3">
        <v>117.39</v>
      </c>
      <c r="H838" s="1">
        <v>45805</v>
      </c>
      <c r="I838" s="1">
        <v>45823</v>
      </c>
      <c r="J838" s="3">
        <v>13.83</v>
      </c>
      <c r="K838" s="2">
        <f>Table4[[#This Row],[Stock-Quantity]]*Table4[[#This Row],[Unit-Price]]</f>
        <v>42025.62</v>
      </c>
      <c r="L838" s="2">
        <f>Table4[[#This Row],[Stock-Quantity]]*Table4[[#This Row],[Margin-Unit]]</f>
        <v>4951.1400000000003</v>
      </c>
      <c r="M838">
        <f>Table4[[#This Row],[Date-Sales]]-Table4[[#This Row],[Date-Received]]</f>
        <v>18</v>
      </c>
      <c r="N838" s="6">
        <f>Table4[[#This Row],[Margin-Unit]]/Table4[[#This Row],[Unit-Price]]</f>
        <v>0.11781242013800153</v>
      </c>
    </row>
    <row r="839" spans="1:14" x14ac:dyDescent="0.3">
      <c r="A839" t="s">
        <v>882</v>
      </c>
      <c r="B839" t="s">
        <v>28</v>
      </c>
      <c r="C839" t="s">
        <v>29</v>
      </c>
      <c r="D839" t="s">
        <v>25</v>
      </c>
      <c r="E839" t="s">
        <v>26</v>
      </c>
      <c r="F839">
        <v>74</v>
      </c>
      <c r="G839" s="3">
        <v>362.3</v>
      </c>
      <c r="H839" s="1">
        <v>45779</v>
      </c>
      <c r="I839" s="1">
        <v>45786</v>
      </c>
      <c r="J839" s="3">
        <v>52.49</v>
      </c>
      <c r="K839" s="2">
        <f>Table4[[#This Row],[Stock-Quantity]]*Table4[[#This Row],[Unit-Price]]</f>
        <v>26810.2</v>
      </c>
      <c r="L839" s="2">
        <f>Table4[[#This Row],[Stock-Quantity]]*Table4[[#This Row],[Margin-Unit]]</f>
        <v>3884.26</v>
      </c>
      <c r="M839">
        <f>Table4[[#This Row],[Date-Sales]]-Table4[[#This Row],[Date-Received]]</f>
        <v>7</v>
      </c>
      <c r="N839" s="6">
        <f>Table4[[#This Row],[Margin-Unit]]/Table4[[#This Row],[Unit-Price]]</f>
        <v>0.14487993375655533</v>
      </c>
    </row>
    <row r="840" spans="1:14" x14ac:dyDescent="0.3">
      <c r="A840" t="s">
        <v>883</v>
      </c>
      <c r="B840" t="s">
        <v>80</v>
      </c>
      <c r="C840" t="s">
        <v>29</v>
      </c>
      <c r="D840" t="s">
        <v>18</v>
      </c>
      <c r="E840" t="s">
        <v>19</v>
      </c>
      <c r="F840">
        <v>99</v>
      </c>
      <c r="G840" s="3">
        <v>187.97</v>
      </c>
      <c r="H840" s="1">
        <v>45813</v>
      </c>
      <c r="I840" s="1">
        <v>45841</v>
      </c>
      <c r="J840" s="3">
        <v>27.15</v>
      </c>
      <c r="K840" s="2">
        <f>Table4[[#This Row],[Stock-Quantity]]*Table4[[#This Row],[Unit-Price]]</f>
        <v>18609.03</v>
      </c>
      <c r="L840" s="2">
        <f>Table4[[#This Row],[Stock-Quantity]]*Table4[[#This Row],[Margin-Unit]]</f>
        <v>2687.85</v>
      </c>
      <c r="M840">
        <f>Table4[[#This Row],[Date-Sales]]-Table4[[#This Row],[Date-Received]]</f>
        <v>28</v>
      </c>
      <c r="N840" s="6">
        <f>Table4[[#This Row],[Margin-Unit]]/Table4[[#This Row],[Unit-Price]]</f>
        <v>0.14443794222482309</v>
      </c>
    </row>
    <row r="841" spans="1:14" x14ac:dyDescent="0.3">
      <c r="A841" t="s">
        <v>884</v>
      </c>
      <c r="B841" t="s">
        <v>74</v>
      </c>
      <c r="C841" t="s">
        <v>29</v>
      </c>
      <c r="D841" t="s">
        <v>30</v>
      </c>
      <c r="E841" t="s">
        <v>31</v>
      </c>
      <c r="F841">
        <v>411</v>
      </c>
      <c r="G841" s="3">
        <v>488.53</v>
      </c>
      <c r="H841" s="1">
        <v>45720</v>
      </c>
      <c r="I841" s="1">
        <v>45723</v>
      </c>
      <c r="J841" s="3">
        <v>134.77000000000001</v>
      </c>
      <c r="K841" s="2">
        <f>Table4[[#This Row],[Stock-Quantity]]*Table4[[#This Row],[Unit-Price]]</f>
        <v>200785.83</v>
      </c>
      <c r="L841" s="2">
        <f>Table4[[#This Row],[Stock-Quantity]]*Table4[[#This Row],[Margin-Unit]]</f>
        <v>55390.47</v>
      </c>
      <c r="M841">
        <f>Table4[[#This Row],[Date-Sales]]-Table4[[#This Row],[Date-Received]]</f>
        <v>3</v>
      </c>
      <c r="N841" s="6">
        <f>Table4[[#This Row],[Margin-Unit]]/Table4[[#This Row],[Unit-Price]]</f>
        <v>0.27586842159130454</v>
      </c>
    </row>
    <row r="842" spans="1:14" x14ac:dyDescent="0.3">
      <c r="A842" t="s">
        <v>885</v>
      </c>
      <c r="B842" t="s">
        <v>21</v>
      </c>
      <c r="C842" t="s">
        <v>22</v>
      </c>
      <c r="D842" t="s">
        <v>25</v>
      </c>
      <c r="E842" t="s">
        <v>26</v>
      </c>
      <c r="F842">
        <v>270</v>
      </c>
      <c r="G842" s="3">
        <v>79.3</v>
      </c>
      <c r="H842" s="1">
        <v>45715</v>
      </c>
      <c r="I842" s="1">
        <v>45717</v>
      </c>
      <c r="J842" s="3">
        <v>21.26</v>
      </c>
      <c r="K842" s="2">
        <f>Table4[[#This Row],[Stock-Quantity]]*Table4[[#This Row],[Unit-Price]]</f>
        <v>21411</v>
      </c>
      <c r="L842" s="2">
        <f>Table4[[#This Row],[Stock-Quantity]]*Table4[[#This Row],[Margin-Unit]]</f>
        <v>5740.2000000000007</v>
      </c>
      <c r="M842">
        <f>Table4[[#This Row],[Date-Sales]]-Table4[[#This Row],[Date-Received]]</f>
        <v>2</v>
      </c>
      <c r="N842" s="6">
        <f>Table4[[#This Row],[Margin-Unit]]/Table4[[#This Row],[Unit-Price]]</f>
        <v>0.26809583858764191</v>
      </c>
    </row>
    <row r="843" spans="1:14" x14ac:dyDescent="0.3">
      <c r="A843" t="s">
        <v>886</v>
      </c>
      <c r="B843" t="s">
        <v>65</v>
      </c>
      <c r="C843" t="s">
        <v>22</v>
      </c>
      <c r="D843" t="s">
        <v>18</v>
      </c>
      <c r="E843" t="s">
        <v>19</v>
      </c>
      <c r="F843">
        <v>348</v>
      </c>
      <c r="G843" s="3">
        <v>435.88</v>
      </c>
      <c r="H843" s="1">
        <v>45838</v>
      </c>
      <c r="I843" s="1">
        <v>45839</v>
      </c>
      <c r="J843" s="3">
        <v>66.650000000000006</v>
      </c>
      <c r="K843" s="2">
        <f>Table4[[#This Row],[Stock-Quantity]]*Table4[[#This Row],[Unit-Price]]</f>
        <v>151686.24</v>
      </c>
      <c r="L843" s="2">
        <f>Table4[[#This Row],[Stock-Quantity]]*Table4[[#This Row],[Margin-Unit]]</f>
        <v>23194.2</v>
      </c>
      <c r="M843">
        <f>Table4[[#This Row],[Date-Sales]]-Table4[[#This Row],[Date-Received]]</f>
        <v>1</v>
      </c>
      <c r="N843" s="6">
        <f>Table4[[#This Row],[Margin-Unit]]/Table4[[#This Row],[Unit-Price]]</f>
        <v>0.15290905753877215</v>
      </c>
    </row>
    <row r="844" spans="1:14" x14ac:dyDescent="0.3">
      <c r="A844" t="s">
        <v>887</v>
      </c>
      <c r="B844" t="s">
        <v>37</v>
      </c>
      <c r="C844" t="s">
        <v>22</v>
      </c>
      <c r="D844" t="s">
        <v>25</v>
      </c>
      <c r="E844" t="s">
        <v>26</v>
      </c>
      <c r="F844">
        <v>112</v>
      </c>
      <c r="G844" s="3">
        <v>454</v>
      </c>
      <c r="H844" s="1">
        <v>45763</v>
      </c>
      <c r="I844" s="1">
        <v>45787</v>
      </c>
      <c r="J844" s="3">
        <v>57.11</v>
      </c>
      <c r="K844" s="2">
        <f>Table4[[#This Row],[Stock-Quantity]]*Table4[[#This Row],[Unit-Price]]</f>
        <v>50848</v>
      </c>
      <c r="L844" s="2">
        <f>Table4[[#This Row],[Stock-Quantity]]*Table4[[#This Row],[Margin-Unit]]</f>
        <v>6396.32</v>
      </c>
      <c r="M844">
        <f>Table4[[#This Row],[Date-Sales]]-Table4[[#This Row],[Date-Received]]</f>
        <v>24</v>
      </c>
      <c r="N844" s="6">
        <f>Table4[[#This Row],[Margin-Unit]]/Table4[[#This Row],[Unit-Price]]</f>
        <v>0.12579295154185022</v>
      </c>
    </row>
    <row r="845" spans="1:14" x14ac:dyDescent="0.3">
      <c r="A845" t="s">
        <v>888</v>
      </c>
      <c r="B845" t="s">
        <v>24</v>
      </c>
      <c r="C845" t="s">
        <v>22</v>
      </c>
      <c r="D845" t="s">
        <v>18</v>
      </c>
      <c r="E845" t="s">
        <v>19</v>
      </c>
      <c r="F845">
        <v>94</v>
      </c>
      <c r="G845" s="3">
        <v>232.8</v>
      </c>
      <c r="H845" s="1">
        <v>45819</v>
      </c>
      <c r="I845" s="1">
        <v>45847</v>
      </c>
      <c r="J845" s="3">
        <v>42.54</v>
      </c>
      <c r="K845" s="2">
        <f>Table4[[#This Row],[Stock-Quantity]]*Table4[[#This Row],[Unit-Price]]</f>
        <v>21883.200000000001</v>
      </c>
      <c r="L845" s="2">
        <f>Table4[[#This Row],[Stock-Quantity]]*Table4[[#This Row],[Margin-Unit]]</f>
        <v>3998.7599999999998</v>
      </c>
      <c r="M845">
        <f>Table4[[#This Row],[Date-Sales]]-Table4[[#This Row],[Date-Received]]</f>
        <v>28</v>
      </c>
      <c r="N845" s="6">
        <f>Table4[[#This Row],[Margin-Unit]]/Table4[[#This Row],[Unit-Price]]</f>
        <v>0.18273195876288659</v>
      </c>
    </row>
    <row r="846" spans="1:14" x14ac:dyDescent="0.3">
      <c r="A846" t="s">
        <v>889</v>
      </c>
      <c r="B846" t="s">
        <v>65</v>
      </c>
      <c r="C846" t="s">
        <v>22</v>
      </c>
      <c r="D846" t="s">
        <v>13</v>
      </c>
      <c r="E846" t="s">
        <v>14</v>
      </c>
      <c r="F846">
        <v>442</v>
      </c>
      <c r="G846" s="3">
        <v>416.18</v>
      </c>
      <c r="H846" s="1">
        <v>45778</v>
      </c>
      <c r="I846" s="1">
        <v>45791</v>
      </c>
      <c r="J846" s="3">
        <v>67.73</v>
      </c>
      <c r="K846" s="2">
        <f>Table4[[#This Row],[Stock-Quantity]]*Table4[[#This Row],[Unit-Price]]</f>
        <v>183951.56</v>
      </c>
      <c r="L846" s="2">
        <f>Table4[[#This Row],[Stock-Quantity]]*Table4[[#This Row],[Margin-Unit]]</f>
        <v>29936.660000000003</v>
      </c>
      <c r="M846">
        <f>Table4[[#This Row],[Date-Sales]]-Table4[[#This Row],[Date-Received]]</f>
        <v>13</v>
      </c>
      <c r="N846" s="6">
        <f>Table4[[#This Row],[Margin-Unit]]/Table4[[#This Row],[Unit-Price]]</f>
        <v>0.16274208275265512</v>
      </c>
    </row>
    <row r="847" spans="1:14" x14ac:dyDescent="0.3">
      <c r="A847" t="s">
        <v>890</v>
      </c>
      <c r="B847" t="s">
        <v>106</v>
      </c>
      <c r="C847" t="s">
        <v>17</v>
      </c>
      <c r="D847" t="s">
        <v>25</v>
      </c>
      <c r="E847" t="s">
        <v>26</v>
      </c>
      <c r="F847">
        <v>434</v>
      </c>
      <c r="G847" s="3">
        <v>238.88</v>
      </c>
      <c r="H847" s="1">
        <v>45791</v>
      </c>
      <c r="I847" s="1">
        <v>45810</v>
      </c>
      <c r="J847" s="3">
        <v>61.58</v>
      </c>
      <c r="K847" s="2">
        <f>Table4[[#This Row],[Stock-Quantity]]*Table4[[#This Row],[Unit-Price]]</f>
        <v>103673.92</v>
      </c>
      <c r="L847" s="2">
        <f>Table4[[#This Row],[Stock-Quantity]]*Table4[[#This Row],[Margin-Unit]]</f>
        <v>26725.719999999998</v>
      </c>
      <c r="M847">
        <f>Table4[[#This Row],[Date-Sales]]-Table4[[#This Row],[Date-Received]]</f>
        <v>19</v>
      </c>
      <c r="N847" s="6">
        <f>Table4[[#This Row],[Margin-Unit]]/Table4[[#This Row],[Unit-Price]]</f>
        <v>0.25778633623576691</v>
      </c>
    </row>
    <row r="848" spans="1:14" x14ac:dyDescent="0.3">
      <c r="A848" t="s">
        <v>891</v>
      </c>
      <c r="B848" t="s">
        <v>63</v>
      </c>
      <c r="C848" t="s">
        <v>35</v>
      </c>
      <c r="D848" t="s">
        <v>18</v>
      </c>
      <c r="E848" t="s">
        <v>19</v>
      </c>
      <c r="F848">
        <v>274</v>
      </c>
      <c r="G848" s="3">
        <v>301.04000000000002</v>
      </c>
      <c r="H848" s="1">
        <v>45803</v>
      </c>
      <c r="I848" s="1">
        <v>45817</v>
      </c>
      <c r="J848" s="3">
        <v>75.63</v>
      </c>
      <c r="K848" s="2">
        <f>Table4[[#This Row],[Stock-Quantity]]*Table4[[#This Row],[Unit-Price]]</f>
        <v>82484.960000000006</v>
      </c>
      <c r="L848" s="2">
        <f>Table4[[#This Row],[Stock-Quantity]]*Table4[[#This Row],[Margin-Unit]]</f>
        <v>20722.62</v>
      </c>
      <c r="M848">
        <f>Table4[[#This Row],[Date-Sales]]-Table4[[#This Row],[Date-Received]]</f>
        <v>14</v>
      </c>
      <c r="N848" s="6">
        <f>Table4[[#This Row],[Margin-Unit]]/Table4[[#This Row],[Unit-Price]]</f>
        <v>0.25122907254849852</v>
      </c>
    </row>
    <row r="849" spans="1:14" x14ac:dyDescent="0.3">
      <c r="A849" t="s">
        <v>892</v>
      </c>
      <c r="B849" t="s">
        <v>43</v>
      </c>
      <c r="C849" t="s">
        <v>35</v>
      </c>
      <c r="D849" t="s">
        <v>18</v>
      </c>
      <c r="E849" t="s">
        <v>19</v>
      </c>
      <c r="F849">
        <v>382</v>
      </c>
      <c r="G849" s="3">
        <v>11.91</v>
      </c>
      <c r="H849" s="1">
        <v>45733</v>
      </c>
      <c r="I849" s="1">
        <v>45763</v>
      </c>
      <c r="J849" s="3">
        <v>1.67</v>
      </c>
      <c r="K849" s="2">
        <f>Table4[[#This Row],[Stock-Quantity]]*Table4[[#This Row],[Unit-Price]]</f>
        <v>4549.62</v>
      </c>
      <c r="L849" s="2">
        <f>Table4[[#This Row],[Stock-Quantity]]*Table4[[#This Row],[Margin-Unit]]</f>
        <v>637.93999999999994</v>
      </c>
      <c r="M849">
        <f>Table4[[#This Row],[Date-Sales]]-Table4[[#This Row],[Date-Received]]</f>
        <v>30</v>
      </c>
      <c r="N849" s="6">
        <f>Table4[[#This Row],[Margin-Unit]]/Table4[[#This Row],[Unit-Price]]</f>
        <v>0.14021830394626364</v>
      </c>
    </row>
    <row r="850" spans="1:14" x14ac:dyDescent="0.3">
      <c r="A850" t="s">
        <v>893</v>
      </c>
      <c r="B850" t="s">
        <v>28</v>
      </c>
      <c r="C850" t="s">
        <v>29</v>
      </c>
      <c r="D850" t="s">
        <v>25</v>
      </c>
      <c r="E850" t="s">
        <v>26</v>
      </c>
      <c r="F850">
        <v>164</v>
      </c>
      <c r="G850" s="3">
        <v>494.71</v>
      </c>
      <c r="H850" s="1">
        <v>45808</v>
      </c>
      <c r="I850" s="1">
        <v>45834</v>
      </c>
      <c r="J850" s="3">
        <v>57.05</v>
      </c>
      <c r="K850" s="2">
        <f>Table4[[#This Row],[Stock-Quantity]]*Table4[[#This Row],[Unit-Price]]</f>
        <v>81132.44</v>
      </c>
      <c r="L850" s="2">
        <f>Table4[[#This Row],[Stock-Quantity]]*Table4[[#This Row],[Margin-Unit]]</f>
        <v>9356.1999999999989</v>
      </c>
      <c r="M850">
        <f>Table4[[#This Row],[Date-Sales]]-Table4[[#This Row],[Date-Received]]</f>
        <v>26</v>
      </c>
      <c r="N850" s="6">
        <f>Table4[[#This Row],[Margin-Unit]]/Table4[[#This Row],[Unit-Price]]</f>
        <v>0.11532008651533221</v>
      </c>
    </row>
    <row r="851" spans="1:14" x14ac:dyDescent="0.3">
      <c r="A851" t="s">
        <v>894</v>
      </c>
      <c r="B851" t="s">
        <v>74</v>
      </c>
      <c r="C851" t="s">
        <v>29</v>
      </c>
      <c r="D851" t="s">
        <v>13</v>
      </c>
      <c r="E851" t="s">
        <v>14</v>
      </c>
      <c r="F851">
        <v>170</v>
      </c>
      <c r="G851" s="3">
        <v>315.07</v>
      </c>
      <c r="H851" s="1">
        <v>45759</v>
      </c>
      <c r="I851" s="1">
        <v>45764</v>
      </c>
      <c r="J851" s="3">
        <v>82.34</v>
      </c>
      <c r="K851" s="2">
        <f>Table4[[#This Row],[Stock-Quantity]]*Table4[[#This Row],[Unit-Price]]</f>
        <v>53561.9</v>
      </c>
      <c r="L851" s="2">
        <f>Table4[[#This Row],[Stock-Quantity]]*Table4[[#This Row],[Margin-Unit]]</f>
        <v>13997.800000000001</v>
      </c>
      <c r="M851">
        <f>Table4[[#This Row],[Date-Sales]]-Table4[[#This Row],[Date-Received]]</f>
        <v>5</v>
      </c>
      <c r="N851" s="6">
        <f>Table4[[#This Row],[Margin-Unit]]/Table4[[#This Row],[Unit-Price]]</f>
        <v>0.26133875011902119</v>
      </c>
    </row>
    <row r="852" spans="1:14" x14ac:dyDescent="0.3">
      <c r="A852" t="s">
        <v>895</v>
      </c>
      <c r="B852" t="s">
        <v>16</v>
      </c>
      <c r="C852" t="s">
        <v>17</v>
      </c>
      <c r="D852" t="s">
        <v>25</v>
      </c>
      <c r="E852" t="s">
        <v>26</v>
      </c>
      <c r="F852">
        <v>437</v>
      </c>
      <c r="G852" s="3">
        <v>187.61</v>
      </c>
      <c r="H852" s="1">
        <v>45695</v>
      </c>
      <c r="I852" s="1">
        <v>45725</v>
      </c>
      <c r="J852" s="3">
        <v>49.08</v>
      </c>
      <c r="K852" s="2">
        <f>Table4[[#This Row],[Stock-Quantity]]*Table4[[#This Row],[Unit-Price]]</f>
        <v>81985.570000000007</v>
      </c>
      <c r="L852" s="2">
        <f>Table4[[#This Row],[Stock-Quantity]]*Table4[[#This Row],[Margin-Unit]]</f>
        <v>21447.96</v>
      </c>
      <c r="M852">
        <f>Table4[[#This Row],[Date-Sales]]-Table4[[#This Row],[Date-Received]]</f>
        <v>30</v>
      </c>
      <c r="N852" s="6">
        <f>Table4[[#This Row],[Margin-Unit]]/Table4[[#This Row],[Unit-Price]]</f>
        <v>0.26160652417248542</v>
      </c>
    </row>
    <row r="853" spans="1:14" x14ac:dyDescent="0.3">
      <c r="A853" t="s">
        <v>896</v>
      </c>
      <c r="B853" t="s">
        <v>116</v>
      </c>
      <c r="C853" t="s">
        <v>12</v>
      </c>
      <c r="D853" t="s">
        <v>13</v>
      </c>
      <c r="E853" t="s">
        <v>14</v>
      </c>
      <c r="F853">
        <v>152</v>
      </c>
      <c r="G853" s="3">
        <v>460.62</v>
      </c>
      <c r="H853" s="1">
        <v>45681</v>
      </c>
      <c r="I853" s="1">
        <v>45691</v>
      </c>
      <c r="J853" s="3">
        <v>56.45</v>
      </c>
      <c r="K853" s="2">
        <f>Table4[[#This Row],[Stock-Quantity]]*Table4[[#This Row],[Unit-Price]]</f>
        <v>70014.240000000005</v>
      </c>
      <c r="L853" s="2">
        <f>Table4[[#This Row],[Stock-Quantity]]*Table4[[#This Row],[Margin-Unit]]</f>
        <v>8580.4</v>
      </c>
      <c r="M853">
        <f>Table4[[#This Row],[Date-Sales]]-Table4[[#This Row],[Date-Received]]</f>
        <v>10</v>
      </c>
      <c r="N853" s="6">
        <f>Table4[[#This Row],[Margin-Unit]]/Table4[[#This Row],[Unit-Price]]</f>
        <v>0.12255221223568234</v>
      </c>
    </row>
    <row r="854" spans="1:14" x14ac:dyDescent="0.3">
      <c r="A854" t="s">
        <v>897</v>
      </c>
      <c r="B854" t="s">
        <v>43</v>
      </c>
      <c r="C854" t="s">
        <v>35</v>
      </c>
      <c r="D854" t="s">
        <v>30</v>
      </c>
      <c r="E854" t="s">
        <v>31</v>
      </c>
      <c r="F854">
        <v>47</v>
      </c>
      <c r="G854" s="3">
        <v>58.87</v>
      </c>
      <c r="H854" s="1">
        <v>45660</v>
      </c>
      <c r="I854" s="1">
        <v>45680</v>
      </c>
      <c r="J854" s="3">
        <v>10.67</v>
      </c>
      <c r="K854" s="2">
        <f>Table4[[#This Row],[Stock-Quantity]]*Table4[[#This Row],[Unit-Price]]</f>
        <v>2766.89</v>
      </c>
      <c r="L854" s="2">
        <f>Table4[[#This Row],[Stock-Quantity]]*Table4[[#This Row],[Margin-Unit]]</f>
        <v>501.49</v>
      </c>
      <c r="M854">
        <f>Table4[[#This Row],[Date-Sales]]-Table4[[#This Row],[Date-Received]]</f>
        <v>20</v>
      </c>
      <c r="N854" s="6">
        <f>Table4[[#This Row],[Margin-Unit]]/Table4[[#This Row],[Unit-Price]]</f>
        <v>0.18124681501613726</v>
      </c>
    </row>
    <row r="855" spans="1:14" x14ac:dyDescent="0.3">
      <c r="A855" t="s">
        <v>898</v>
      </c>
      <c r="B855" t="s">
        <v>11</v>
      </c>
      <c r="C855" t="s">
        <v>12</v>
      </c>
      <c r="D855" t="s">
        <v>40</v>
      </c>
      <c r="E855" t="s">
        <v>41</v>
      </c>
      <c r="F855">
        <v>395</v>
      </c>
      <c r="G855" s="3">
        <v>93</v>
      </c>
      <c r="H855" s="1">
        <v>45771</v>
      </c>
      <c r="I855" s="1">
        <v>45799</v>
      </c>
      <c r="J855" s="3">
        <v>12.9</v>
      </c>
      <c r="K855" s="2">
        <f>Table4[[#This Row],[Stock-Quantity]]*Table4[[#This Row],[Unit-Price]]</f>
        <v>36735</v>
      </c>
      <c r="L855" s="2">
        <f>Table4[[#This Row],[Stock-Quantity]]*Table4[[#This Row],[Margin-Unit]]</f>
        <v>5095.5</v>
      </c>
      <c r="M855">
        <f>Table4[[#This Row],[Date-Sales]]-Table4[[#This Row],[Date-Received]]</f>
        <v>28</v>
      </c>
      <c r="N855" s="6">
        <f>Table4[[#This Row],[Margin-Unit]]/Table4[[#This Row],[Unit-Price]]</f>
        <v>0.13870967741935483</v>
      </c>
    </row>
    <row r="856" spans="1:14" x14ac:dyDescent="0.3">
      <c r="A856" t="s">
        <v>899</v>
      </c>
      <c r="B856" t="s">
        <v>74</v>
      </c>
      <c r="C856" t="s">
        <v>29</v>
      </c>
      <c r="D856" t="s">
        <v>13</v>
      </c>
      <c r="E856" t="s">
        <v>14</v>
      </c>
      <c r="F856">
        <v>226</v>
      </c>
      <c r="G856" s="3">
        <v>150.96</v>
      </c>
      <c r="H856" s="1">
        <v>45689</v>
      </c>
      <c r="I856" s="1">
        <v>45714</v>
      </c>
      <c r="J856" s="3">
        <v>33.549999999999997</v>
      </c>
      <c r="K856" s="2">
        <f>Table4[[#This Row],[Stock-Quantity]]*Table4[[#This Row],[Unit-Price]]</f>
        <v>34116.959999999999</v>
      </c>
      <c r="L856" s="2">
        <f>Table4[[#This Row],[Stock-Quantity]]*Table4[[#This Row],[Margin-Unit]]</f>
        <v>7582.2999999999993</v>
      </c>
      <c r="M856">
        <f>Table4[[#This Row],[Date-Sales]]-Table4[[#This Row],[Date-Received]]</f>
        <v>25</v>
      </c>
      <c r="N856" s="6">
        <f>Table4[[#This Row],[Margin-Unit]]/Table4[[#This Row],[Unit-Price]]</f>
        <v>0.22224430312665605</v>
      </c>
    </row>
    <row r="857" spans="1:14" x14ac:dyDescent="0.3">
      <c r="A857" t="s">
        <v>900</v>
      </c>
      <c r="B857" t="s">
        <v>39</v>
      </c>
      <c r="C857" t="s">
        <v>12</v>
      </c>
      <c r="D857" t="s">
        <v>13</v>
      </c>
      <c r="E857" t="s">
        <v>14</v>
      </c>
      <c r="F857">
        <v>36</v>
      </c>
      <c r="G857" s="3">
        <v>497.42</v>
      </c>
      <c r="H857" s="1">
        <v>45693</v>
      </c>
      <c r="I857" s="1">
        <v>45722</v>
      </c>
      <c r="J857" s="3">
        <v>85.13</v>
      </c>
      <c r="K857" s="2">
        <f>Table4[[#This Row],[Stock-Quantity]]*Table4[[#This Row],[Unit-Price]]</f>
        <v>17907.12</v>
      </c>
      <c r="L857" s="2">
        <f>Table4[[#This Row],[Stock-Quantity]]*Table4[[#This Row],[Margin-Unit]]</f>
        <v>3064.68</v>
      </c>
      <c r="M857">
        <f>Table4[[#This Row],[Date-Sales]]-Table4[[#This Row],[Date-Received]]</f>
        <v>29</v>
      </c>
      <c r="N857" s="6">
        <f>Table4[[#This Row],[Margin-Unit]]/Table4[[#This Row],[Unit-Price]]</f>
        <v>0.17114309838768041</v>
      </c>
    </row>
    <row r="858" spans="1:14" x14ac:dyDescent="0.3">
      <c r="A858" t="s">
        <v>901</v>
      </c>
      <c r="B858" t="s">
        <v>21</v>
      </c>
      <c r="C858" t="s">
        <v>22</v>
      </c>
      <c r="D858" t="s">
        <v>40</v>
      </c>
      <c r="E858" t="s">
        <v>41</v>
      </c>
      <c r="F858">
        <v>372</v>
      </c>
      <c r="G858" s="3">
        <v>462.6</v>
      </c>
      <c r="H858" s="1">
        <v>45801</v>
      </c>
      <c r="I858" s="1">
        <v>45806</v>
      </c>
      <c r="J858" s="3">
        <v>65.56</v>
      </c>
      <c r="K858" s="2">
        <f>Table4[[#This Row],[Stock-Quantity]]*Table4[[#This Row],[Unit-Price]]</f>
        <v>172087.2</v>
      </c>
      <c r="L858" s="2">
        <f>Table4[[#This Row],[Stock-Quantity]]*Table4[[#This Row],[Margin-Unit]]</f>
        <v>24388.32</v>
      </c>
      <c r="M858">
        <f>Table4[[#This Row],[Date-Sales]]-Table4[[#This Row],[Date-Received]]</f>
        <v>5</v>
      </c>
      <c r="N858" s="6">
        <f>Table4[[#This Row],[Margin-Unit]]/Table4[[#This Row],[Unit-Price]]</f>
        <v>0.14172070903588413</v>
      </c>
    </row>
    <row r="859" spans="1:14" x14ac:dyDescent="0.3">
      <c r="A859" t="s">
        <v>902</v>
      </c>
      <c r="B859" t="s">
        <v>70</v>
      </c>
      <c r="C859" t="s">
        <v>35</v>
      </c>
      <c r="D859" t="s">
        <v>13</v>
      </c>
      <c r="E859" t="s">
        <v>14</v>
      </c>
      <c r="F859">
        <v>460</v>
      </c>
      <c r="G859" s="3">
        <v>495.03</v>
      </c>
      <c r="H859" s="1">
        <v>45756</v>
      </c>
      <c r="I859" s="1">
        <v>45757</v>
      </c>
      <c r="J859" s="3">
        <v>68.52</v>
      </c>
      <c r="K859" s="2">
        <f>Table4[[#This Row],[Stock-Quantity]]*Table4[[#This Row],[Unit-Price]]</f>
        <v>227713.8</v>
      </c>
      <c r="L859" s="2">
        <f>Table4[[#This Row],[Stock-Quantity]]*Table4[[#This Row],[Margin-Unit]]</f>
        <v>31519.199999999997</v>
      </c>
      <c r="M859">
        <f>Table4[[#This Row],[Date-Sales]]-Table4[[#This Row],[Date-Received]]</f>
        <v>1</v>
      </c>
      <c r="N859" s="6">
        <f>Table4[[#This Row],[Margin-Unit]]/Table4[[#This Row],[Unit-Price]]</f>
        <v>0.13841585358463124</v>
      </c>
    </row>
    <row r="860" spans="1:14" x14ac:dyDescent="0.3">
      <c r="A860" t="s">
        <v>903</v>
      </c>
      <c r="B860" t="s">
        <v>47</v>
      </c>
      <c r="C860" t="s">
        <v>17</v>
      </c>
      <c r="D860" t="s">
        <v>30</v>
      </c>
      <c r="E860" t="s">
        <v>31</v>
      </c>
      <c r="F860">
        <v>449</v>
      </c>
      <c r="G860" s="3">
        <v>165.44</v>
      </c>
      <c r="H860" s="1">
        <v>45681</v>
      </c>
      <c r="I860" s="1">
        <v>45688</v>
      </c>
      <c r="J860" s="3">
        <v>16.600000000000001</v>
      </c>
      <c r="K860" s="2">
        <f>Table4[[#This Row],[Stock-Quantity]]*Table4[[#This Row],[Unit-Price]]</f>
        <v>74282.559999999998</v>
      </c>
      <c r="L860" s="2">
        <f>Table4[[#This Row],[Stock-Quantity]]*Table4[[#This Row],[Margin-Unit]]</f>
        <v>7453.4000000000005</v>
      </c>
      <c r="M860">
        <f>Table4[[#This Row],[Date-Sales]]-Table4[[#This Row],[Date-Received]]</f>
        <v>7</v>
      </c>
      <c r="N860" s="6">
        <f>Table4[[#This Row],[Margin-Unit]]/Table4[[#This Row],[Unit-Price]]</f>
        <v>0.10033849129593811</v>
      </c>
    </row>
    <row r="861" spans="1:14" x14ac:dyDescent="0.3">
      <c r="A861" t="s">
        <v>904</v>
      </c>
      <c r="B861" t="s">
        <v>50</v>
      </c>
      <c r="C861" t="s">
        <v>17</v>
      </c>
      <c r="D861" t="s">
        <v>18</v>
      </c>
      <c r="E861" t="s">
        <v>19</v>
      </c>
      <c r="F861">
        <v>460</v>
      </c>
      <c r="G861" s="3">
        <v>198.18</v>
      </c>
      <c r="H861" s="1">
        <v>45775</v>
      </c>
      <c r="I861" s="1">
        <v>45778</v>
      </c>
      <c r="J861" s="3">
        <v>43.26</v>
      </c>
      <c r="K861" s="2">
        <f>Table4[[#This Row],[Stock-Quantity]]*Table4[[#This Row],[Unit-Price]]</f>
        <v>91162.8</v>
      </c>
      <c r="L861" s="2">
        <f>Table4[[#This Row],[Stock-Quantity]]*Table4[[#This Row],[Margin-Unit]]</f>
        <v>19899.599999999999</v>
      </c>
      <c r="M861">
        <f>Table4[[#This Row],[Date-Sales]]-Table4[[#This Row],[Date-Received]]</f>
        <v>3</v>
      </c>
      <c r="N861" s="6">
        <f>Table4[[#This Row],[Margin-Unit]]/Table4[[#This Row],[Unit-Price]]</f>
        <v>0.21828640629730547</v>
      </c>
    </row>
    <row r="862" spans="1:14" x14ac:dyDescent="0.3">
      <c r="A862" t="s">
        <v>905</v>
      </c>
      <c r="B862" t="s">
        <v>74</v>
      </c>
      <c r="C862" t="s">
        <v>29</v>
      </c>
      <c r="D862" t="s">
        <v>40</v>
      </c>
      <c r="E862" t="s">
        <v>41</v>
      </c>
      <c r="F862">
        <v>371</v>
      </c>
      <c r="G862" s="3">
        <v>428.42</v>
      </c>
      <c r="H862" s="1">
        <v>45670</v>
      </c>
      <c r="I862" s="1">
        <v>45694</v>
      </c>
      <c r="J862" s="3">
        <v>127.63</v>
      </c>
      <c r="K862" s="2">
        <f>Table4[[#This Row],[Stock-Quantity]]*Table4[[#This Row],[Unit-Price]]</f>
        <v>158943.82</v>
      </c>
      <c r="L862" s="2">
        <f>Table4[[#This Row],[Stock-Quantity]]*Table4[[#This Row],[Margin-Unit]]</f>
        <v>47350.729999999996</v>
      </c>
      <c r="M862">
        <f>Table4[[#This Row],[Date-Sales]]-Table4[[#This Row],[Date-Received]]</f>
        <v>24</v>
      </c>
      <c r="N862" s="6">
        <f>Table4[[#This Row],[Margin-Unit]]/Table4[[#This Row],[Unit-Price]]</f>
        <v>0.29790859437001072</v>
      </c>
    </row>
    <row r="863" spans="1:14" x14ac:dyDescent="0.3">
      <c r="A863" t="s">
        <v>906</v>
      </c>
      <c r="B863" t="s">
        <v>65</v>
      </c>
      <c r="C863" t="s">
        <v>22</v>
      </c>
      <c r="D863" t="s">
        <v>25</v>
      </c>
      <c r="E863" t="s">
        <v>26</v>
      </c>
      <c r="F863">
        <v>461</v>
      </c>
      <c r="G863" s="3">
        <v>35.9</v>
      </c>
      <c r="H863" s="1">
        <v>45721</v>
      </c>
      <c r="I863" s="1">
        <v>45740</v>
      </c>
      <c r="J863" s="3">
        <v>10.55</v>
      </c>
      <c r="K863" s="2">
        <f>Table4[[#This Row],[Stock-Quantity]]*Table4[[#This Row],[Unit-Price]]</f>
        <v>16549.899999999998</v>
      </c>
      <c r="L863" s="2">
        <f>Table4[[#This Row],[Stock-Quantity]]*Table4[[#This Row],[Margin-Unit]]</f>
        <v>4863.55</v>
      </c>
      <c r="M863">
        <f>Table4[[#This Row],[Date-Sales]]-Table4[[#This Row],[Date-Received]]</f>
        <v>19</v>
      </c>
      <c r="N863" s="6">
        <f>Table4[[#This Row],[Margin-Unit]]/Table4[[#This Row],[Unit-Price]]</f>
        <v>0.29387186629526463</v>
      </c>
    </row>
    <row r="864" spans="1:14" x14ac:dyDescent="0.3">
      <c r="A864" t="s">
        <v>907</v>
      </c>
      <c r="B864" t="s">
        <v>50</v>
      </c>
      <c r="C864" t="s">
        <v>17</v>
      </c>
      <c r="D864" t="s">
        <v>25</v>
      </c>
      <c r="E864" t="s">
        <v>26</v>
      </c>
      <c r="F864">
        <v>203</v>
      </c>
      <c r="G864" s="3">
        <v>294.37</v>
      </c>
      <c r="H864" s="1">
        <v>45727</v>
      </c>
      <c r="I864" s="1">
        <v>45751</v>
      </c>
      <c r="J864" s="3">
        <v>81.430000000000007</v>
      </c>
      <c r="K864" s="2">
        <f>Table4[[#This Row],[Stock-Quantity]]*Table4[[#This Row],[Unit-Price]]</f>
        <v>59757.11</v>
      </c>
      <c r="L864" s="2">
        <f>Table4[[#This Row],[Stock-Quantity]]*Table4[[#This Row],[Margin-Unit]]</f>
        <v>16530.29</v>
      </c>
      <c r="M864">
        <f>Table4[[#This Row],[Date-Sales]]-Table4[[#This Row],[Date-Received]]</f>
        <v>24</v>
      </c>
      <c r="N864" s="6">
        <f>Table4[[#This Row],[Margin-Unit]]/Table4[[#This Row],[Unit-Price]]</f>
        <v>0.27662465604511333</v>
      </c>
    </row>
    <row r="865" spans="1:14" x14ac:dyDescent="0.3">
      <c r="A865" t="s">
        <v>908</v>
      </c>
      <c r="B865" t="s">
        <v>47</v>
      </c>
      <c r="C865" t="s">
        <v>17</v>
      </c>
      <c r="D865" t="s">
        <v>18</v>
      </c>
      <c r="E865" t="s">
        <v>19</v>
      </c>
      <c r="F865">
        <v>275</v>
      </c>
      <c r="G865" s="3">
        <v>121.04</v>
      </c>
      <c r="H865" s="1">
        <v>45791</v>
      </c>
      <c r="I865" s="1">
        <v>45803</v>
      </c>
      <c r="J865" s="3">
        <v>31.58</v>
      </c>
      <c r="K865" s="2">
        <f>Table4[[#This Row],[Stock-Quantity]]*Table4[[#This Row],[Unit-Price]]</f>
        <v>33286</v>
      </c>
      <c r="L865" s="2">
        <f>Table4[[#This Row],[Stock-Quantity]]*Table4[[#This Row],[Margin-Unit]]</f>
        <v>8684.5</v>
      </c>
      <c r="M865">
        <f>Table4[[#This Row],[Date-Sales]]-Table4[[#This Row],[Date-Received]]</f>
        <v>12</v>
      </c>
      <c r="N865" s="6">
        <f>Table4[[#This Row],[Margin-Unit]]/Table4[[#This Row],[Unit-Price]]</f>
        <v>0.26090548578982153</v>
      </c>
    </row>
    <row r="866" spans="1:14" x14ac:dyDescent="0.3">
      <c r="A866" t="s">
        <v>909</v>
      </c>
      <c r="B866" t="s">
        <v>50</v>
      </c>
      <c r="C866" t="s">
        <v>17</v>
      </c>
      <c r="D866" t="s">
        <v>18</v>
      </c>
      <c r="E866" t="s">
        <v>19</v>
      </c>
      <c r="F866">
        <v>130</v>
      </c>
      <c r="G866" s="3">
        <v>432.09</v>
      </c>
      <c r="H866" s="1">
        <v>45756</v>
      </c>
      <c r="I866" s="1">
        <v>45783</v>
      </c>
      <c r="J866" s="3">
        <v>73.83</v>
      </c>
      <c r="K866" s="2">
        <f>Table4[[#This Row],[Stock-Quantity]]*Table4[[#This Row],[Unit-Price]]</f>
        <v>56171.7</v>
      </c>
      <c r="L866" s="2">
        <f>Table4[[#This Row],[Stock-Quantity]]*Table4[[#This Row],[Margin-Unit]]</f>
        <v>9597.9</v>
      </c>
      <c r="M866">
        <f>Table4[[#This Row],[Date-Sales]]-Table4[[#This Row],[Date-Received]]</f>
        <v>27</v>
      </c>
      <c r="N866" s="6">
        <f>Table4[[#This Row],[Margin-Unit]]/Table4[[#This Row],[Unit-Price]]</f>
        <v>0.17086718044851767</v>
      </c>
    </row>
    <row r="867" spans="1:14" x14ac:dyDescent="0.3">
      <c r="A867" t="s">
        <v>910</v>
      </c>
      <c r="B867" t="s">
        <v>21</v>
      </c>
      <c r="C867" t="s">
        <v>22</v>
      </c>
      <c r="D867" t="s">
        <v>40</v>
      </c>
      <c r="E867" t="s">
        <v>41</v>
      </c>
      <c r="F867">
        <v>305</v>
      </c>
      <c r="G867" s="3">
        <v>217.96</v>
      </c>
      <c r="H867" s="1">
        <v>45738</v>
      </c>
      <c r="I867" s="1">
        <v>45762</v>
      </c>
      <c r="J867" s="3">
        <v>43.96</v>
      </c>
      <c r="K867" s="2">
        <f>Table4[[#This Row],[Stock-Quantity]]*Table4[[#This Row],[Unit-Price]]</f>
        <v>66477.8</v>
      </c>
      <c r="L867" s="2">
        <f>Table4[[#This Row],[Stock-Quantity]]*Table4[[#This Row],[Margin-Unit]]</f>
        <v>13407.800000000001</v>
      </c>
      <c r="M867">
        <f>Table4[[#This Row],[Date-Sales]]-Table4[[#This Row],[Date-Received]]</f>
        <v>24</v>
      </c>
      <c r="N867" s="6">
        <f>Table4[[#This Row],[Margin-Unit]]/Table4[[#This Row],[Unit-Price]]</f>
        <v>0.20168838318957608</v>
      </c>
    </row>
    <row r="868" spans="1:14" x14ac:dyDescent="0.3">
      <c r="A868" t="s">
        <v>911</v>
      </c>
      <c r="B868" t="s">
        <v>74</v>
      </c>
      <c r="C868" t="s">
        <v>29</v>
      </c>
      <c r="D868" t="s">
        <v>13</v>
      </c>
      <c r="E868" t="s">
        <v>14</v>
      </c>
      <c r="F868">
        <v>169</v>
      </c>
      <c r="G868" s="3">
        <v>231.12</v>
      </c>
      <c r="H868" s="1">
        <v>45672</v>
      </c>
      <c r="I868" s="1">
        <v>45674</v>
      </c>
      <c r="J868" s="3">
        <v>25.21</v>
      </c>
      <c r="K868" s="2">
        <f>Table4[[#This Row],[Stock-Quantity]]*Table4[[#This Row],[Unit-Price]]</f>
        <v>39059.279999999999</v>
      </c>
      <c r="L868" s="2">
        <f>Table4[[#This Row],[Stock-Quantity]]*Table4[[#This Row],[Margin-Unit]]</f>
        <v>4260.49</v>
      </c>
      <c r="M868">
        <f>Table4[[#This Row],[Date-Sales]]-Table4[[#This Row],[Date-Received]]</f>
        <v>2</v>
      </c>
      <c r="N868" s="6">
        <f>Table4[[#This Row],[Margin-Unit]]/Table4[[#This Row],[Unit-Price]]</f>
        <v>0.10907753547940464</v>
      </c>
    </row>
    <row r="869" spans="1:14" x14ac:dyDescent="0.3">
      <c r="A869" t="s">
        <v>912</v>
      </c>
      <c r="B869" t="s">
        <v>74</v>
      </c>
      <c r="C869" t="s">
        <v>29</v>
      </c>
      <c r="D869" t="s">
        <v>18</v>
      </c>
      <c r="E869" t="s">
        <v>19</v>
      </c>
      <c r="F869">
        <v>318</v>
      </c>
      <c r="G869" s="3">
        <v>389.35</v>
      </c>
      <c r="H869" s="1">
        <v>45677</v>
      </c>
      <c r="I869" s="1">
        <v>45695</v>
      </c>
      <c r="J869" s="3">
        <v>111.62</v>
      </c>
      <c r="K869" s="2">
        <f>Table4[[#This Row],[Stock-Quantity]]*Table4[[#This Row],[Unit-Price]]</f>
        <v>123813.3</v>
      </c>
      <c r="L869" s="2">
        <f>Table4[[#This Row],[Stock-Quantity]]*Table4[[#This Row],[Margin-Unit]]</f>
        <v>35495.160000000003</v>
      </c>
      <c r="M869">
        <f>Table4[[#This Row],[Date-Sales]]-Table4[[#This Row],[Date-Received]]</f>
        <v>18</v>
      </c>
      <c r="N869" s="6">
        <f>Table4[[#This Row],[Margin-Unit]]/Table4[[#This Row],[Unit-Price]]</f>
        <v>0.28668293309361759</v>
      </c>
    </row>
    <row r="870" spans="1:14" x14ac:dyDescent="0.3">
      <c r="A870" t="s">
        <v>913</v>
      </c>
      <c r="B870" t="s">
        <v>80</v>
      </c>
      <c r="C870" t="s">
        <v>29</v>
      </c>
      <c r="D870" t="s">
        <v>13</v>
      </c>
      <c r="E870" t="s">
        <v>14</v>
      </c>
      <c r="F870">
        <v>417</v>
      </c>
      <c r="G870" s="3">
        <v>10.130000000000001</v>
      </c>
      <c r="H870" s="1">
        <v>45767</v>
      </c>
      <c r="I870" s="1">
        <v>45769</v>
      </c>
      <c r="J870" s="3">
        <v>1.5</v>
      </c>
      <c r="K870" s="2">
        <f>Table4[[#This Row],[Stock-Quantity]]*Table4[[#This Row],[Unit-Price]]</f>
        <v>4224.21</v>
      </c>
      <c r="L870" s="2">
        <f>Table4[[#This Row],[Stock-Quantity]]*Table4[[#This Row],[Margin-Unit]]</f>
        <v>625.5</v>
      </c>
      <c r="M870">
        <f>Table4[[#This Row],[Date-Sales]]-Table4[[#This Row],[Date-Received]]</f>
        <v>2</v>
      </c>
      <c r="N870" s="6">
        <f>Table4[[#This Row],[Margin-Unit]]/Table4[[#This Row],[Unit-Price]]</f>
        <v>0.14807502467917077</v>
      </c>
    </row>
    <row r="871" spans="1:14" x14ac:dyDescent="0.3">
      <c r="A871" t="s">
        <v>914</v>
      </c>
      <c r="B871" t="s">
        <v>94</v>
      </c>
      <c r="C871" t="s">
        <v>29</v>
      </c>
      <c r="D871" t="s">
        <v>13</v>
      </c>
      <c r="E871" t="s">
        <v>14</v>
      </c>
      <c r="F871">
        <v>419</v>
      </c>
      <c r="G871" s="3">
        <v>233.78</v>
      </c>
      <c r="H871" s="1">
        <v>45735</v>
      </c>
      <c r="I871" s="1">
        <v>45744</v>
      </c>
      <c r="J871" s="3">
        <v>51.27</v>
      </c>
      <c r="K871" s="2">
        <f>Table4[[#This Row],[Stock-Quantity]]*Table4[[#This Row],[Unit-Price]]</f>
        <v>97953.82</v>
      </c>
      <c r="L871" s="2">
        <f>Table4[[#This Row],[Stock-Quantity]]*Table4[[#This Row],[Margin-Unit]]</f>
        <v>21482.13</v>
      </c>
      <c r="M871">
        <f>Table4[[#This Row],[Date-Sales]]-Table4[[#This Row],[Date-Received]]</f>
        <v>9</v>
      </c>
      <c r="N871" s="6">
        <f>Table4[[#This Row],[Margin-Unit]]/Table4[[#This Row],[Unit-Price]]</f>
        <v>0.21930875181794851</v>
      </c>
    </row>
    <row r="872" spans="1:14" x14ac:dyDescent="0.3">
      <c r="A872" t="s">
        <v>915</v>
      </c>
      <c r="B872" t="s">
        <v>37</v>
      </c>
      <c r="C872" t="s">
        <v>22</v>
      </c>
      <c r="D872" t="s">
        <v>30</v>
      </c>
      <c r="E872" t="s">
        <v>31</v>
      </c>
      <c r="F872">
        <v>219</v>
      </c>
      <c r="G872" s="3">
        <v>442.91</v>
      </c>
      <c r="H872" s="1">
        <v>45741</v>
      </c>
      <c r="I872" s="1">
        <v>45768</v>
      </c>
      <c r="J872" s="3">
        <v>56.43</v>
      </c>
      <c r="K872" s="2">
        <f>Table4[[#This Row],[Stock-Quantity]]*Table4[[#This Row],[Unit-Price]]</f>
        <v>96997.290000000008</v>
      </c>
      <c r="L872" s="2">
        <f>Table4[[#This Row],[Stock-Quantity]]*Table4[[#This Row],[Margin-Unit]]</f>
        <v>12358.17</v>
      </c>
      <c r="M872">
        <f>Table4[[#This Row],[Date-Sales]]-Table4[[#This Row],[Date-Received]]</f>
        <v>27</v>
      </c>
      <c r="N872" s="6">
        <f>Table4[[#This Row],[Margin-Unit]]/Table4[[#This Row],[Unit-Price]]</f>
        <v>0.12740737395859203</v>
      </c>
    </row>
    <row r="873" spans="1:14" x14ac:dyDescent="0.3">
      <c r="A873" t="s">
        <v>916</v>
      </c>
      <c r="B873" t="s">
        <v>74</v>
      </c>
      <c r="C873" t="s">
        <v>29</v>
      </c>
      <c r="D873" t="s">
        <v>18</v>
      </c>
      <c r="E873" t="s">
        <v>19</v>
      </c>
      <c r="F873">
        <v>114</v>
      </c>
      <c r="G873" s="3">
        <v>464.14</v>
      </c>
      <c r="H873" s="1">
        <v>45672</v>
      </c>
      <c r="I873" s="1">
        <v>45694</v>
      </c>
      <c r="J873" s="3">
        <v>108.98</v>
      </c>
      <c r="K873" s="2">
        <f>Table4[[#This Row],[Stock-Quantity]]*Table4[[#This Row],[Unit-Price]]</f>
        <v>52911.96</v>
      </c>
      <c r="L873" s="2">
        <f>Table4[[#This Row],[Stock-Quantity]]*Table4[[#This Row],[Margin-Unit]]</f>
        <v>12423.720000000001</v>
      </c>
      <c r="M873">
        <f>Table4[[#This Row],[Date-Sales]]-Table4[[#This Row],[Date-Received]]</f>
        <v>22</v>
      </c>
      <c r="N873" s="6">
        <f>Table4[[#This Row],[Margin-Unit]]/Table4[[#This Row],[Unit-Price]]</f>
        <v>0.23479984487439137</v>
      </c>
    </row>
    <row r="874" spans="1:14" x14ac:dyDescent="0.3">
      <c r="A874" t="s">
        <v>917</v>
      </c>
      <c r="B874" t="s">
        <v>116</v>
      </c>
      <c r="C874" t="s">
        <v>12</v>
      </c>
      <c r="D874" t="s">
        <v>13</v>
      </c>
      <c r="E874" t="s">
        <v>14</v>
      </c>
      <c r="F874">
        <v>486</v>
      </c>
      <c r="G874" s="3">
        <v>494.91</v>
      </c>
      <c r="H874" s="1">
        <v>45767</v>
      </c>
      <c r="I874" s="1">
        <v>45775</v>
      </c>
      <c r="J874" s="3">
        <v>71.44</v>
      </c>
      <c r="K874" s="2">
        <f>Table4[[#This Row],[Stock-Quantity]]*Table4[[#This Row],[Unit-Price]]</f>
        <v>240526.26</v>
      </c>
      <c r="L874" s="2">
        <f>Table4[[#This Row],[Stock-Quantity]]*Table4[[#This Row],[Margin-Unit]]</f>
        <v>34719.839999999997</v>
      </c>
      <c r="M874">
        <f>Table4[[#This Row],[Date-Sales]]-Table4[[#This Row],[Date-Received]]</f>
        <v>8</v>
      </c>
      <c r="N874" s="6">
        <f>Table4[[#This Row],[Margin-Unit]]/Table4[[#This Row],[Unit-Price]]</f>
        <v>0.14434947768281101</v>
      </c>
    </row>
    <row r="875" spans="1:14" x14ac:dyDescent="0.3">
      <c r="A875" t="s">
        <v>918</v>
      </c>
      <c r="B875" t="s">
        <v>74</v>
      </c>
      <c r="C875" t="s">
        <v>29</v>
      </c>
      <c r="D875" t="s">
        <v>25</v>
      </c>
      <c r="E875" t="s">
        <v>26</v>
      </c>
      <c r="F875">
        <v>445</v>
      </c>
      <c r="G875" s="3">
        <v>291.02999999999997</v>
      </c>
      <c r="H875" s="1">
        <v>45709</v>
      </c>
      <c r="I875" s="1">
        <v>45724</v>
      </c>
      <c r="J875" s="3">
        <v>48.71</v>
      </c>
      <c r="K875" s="2">
        <f>Table4[[#This Row],[Stock-Quantity]]*Table4[[#This Row],[Unit-Price]]</f>
        <v>129508.34999999999</v>
      </c>
      <c r="L875" s="2">
        <f>Table4[[#This Row],[Stock-Quantity]]*Table4[[#This Row],[Margin-Unit]]</f>
        <v>21675.95</v>
      </c>
      <c r="M875">
        <f>Table4[[#This Row],[Date-Sales]]-Table4[[#This Row],[Date-Received]]</f>
        <v>15</v>
      </c>
      <c r="N875" s="6">
        <f>Table4[[#This Row],[Margin-Unit]]/Table4[[#This Row],[Unit-Price]]</f>
        <v>0.16737106140260455</v>
      </c>
    </row>
    <row r="876" spans="1:14" x14ac:dyDescent="0.3">
      <c r="A876" t="s">
        <v>919</v>
      </c>
      <c r="B876" t="s">
        <v>37</v>
      </c>
      <c r="C876" t="s">
        <v>22</v>
      </c>
      <c r="D876" t="s">
        <v>13</v>
      </c>
      <c r="E876" t="s">
        <v>14</v>
      </c>
      <c r="F876">
        <v>292</v>
      </c>
      <c r="G876" s="3">
        <v>466.34</v>
      </c>
      <c r="H876" s="1">
        <v>45746</v>
      </c>
      <c r="I876" s="1">
        <v>45768</v>
      </c>
      <c r="J876" s="3">
        <v>75.599999999999994</v>
      </c>
      <c r="K876" s="2">
        <f>Table4[[#This Row],[Stock-Quantity]]*Table4[[#This Row],[Unit-Price]]</f>
        <v>136171.28</v>
      </c>
      <c r="L876" s="2">
        <f>Table4[[#This Row],[Stock-Quantity]]*Table4[[#This Row],[Margin-Unit]]</f>
        <v>22075.199999999997</v>
      </c>
      <c r="M876">
        <f>Table4[[#This Row],[Date-Sales]]-Table4[[#This Row],[Date-Received]]</f>
        <v>22</v>
      </c>
      <c r="N876" s="6">
        <f>Table4[[#This Row],[Margin-Unit]]/Table4[[#This Row],[Unit-Price]]</f>
        <v>0.16211347943560492</v>
      </c>
    </row>
    <row r="877" spans="1:14" x14ac:dyDescent="0.3">
      <c r="A877" t="s">
        <v>920</v>
      </c>
      <c r="B877" t="s">
        <v>116</v>
      </c>
      <c r="C877" t="s">
        <v>12</v>
      </c>
      <c r="D877" t="s">
        <v>30</v>
      </c>
      <c r="E877" t="s">
        <v>31</v>
      </c>
      <c r="F877">
        <v>228</v>
      </c>
      <c r="G877" s="3">
        <v>216.34</v>
      </c>
      <c r="H877" s="1">
        <v>45725</v>
      </c>
      <c r="I877" s="1">
        <v>45742</v>
      </c>
      <c r="J877" s="3">
        <v>53.07</v>
      </c>
      <c r="K877" s="2">
        <f>Table4[[#This Row],[Stock-Quantity]]*Table4[[#This Row],[Unit-Price]]</f>
        <v>49325.520000000004</v>
      </c>
      <c r="L877" s="2">
        <f>Table4[[#This Row],[Stock-Quantity]]*Table4[[#This Row],[Margin-Unit]]</f>
        <v>12099.960000000001</v>
      </c>
      <c r="M877">
        <f>Table4[[#This Row],[Date-Sales]]-Table4[[#This Row],[Date-Received]]</f>
        <v>17</v>
      </c>
      <c r="N877" s="6">
        <f>Table4[[#This Row],[Margin-Unit]]/Table4[[#This Row],[Unit-Price]]</f>
        <v>0.2453083109919571</v>
      </c>
    </row>
    <row r="878" spans="1:14" x14ac:dyDescent="0.3">
      <c r="A878" t="s">
        <v>921</v>
      </c>
      <c r="B878" t="s">
        <v>34</v>
      </c>
      <c r="C878" t="s">
        <v>35</v>
      </c>
      <c r="D878" t="s">
        <v>18</v>
      </c>
      <c r="E878" t="s">
        <v>19</v>
      </c>
      <c r="F878">
        <v>89</v>
      </c>
      <c r="G878" s="3">
        <v>16.829999999999998</v>
      </c>
      <c r="H878" s="1">
        <v>45762</v>
      </c>
      <c r="I878" s="1">
        <v>45768</v>
      </c>
      <c r="J878" s="3">
        <v>4.24</v>
      </c>
      <c r="K878" s="2">
        <f>Table4[[#This Row],[Stock-Quantity]]*Table4[[#This Row],[Unit-Price]]</f>
        <v>1497.87</v>
      </c>
      <c r="L878" s="2">
        <f>Table4[[#This Row],[Stock-Quantity]]*Table4[[#This Row],[Margin-Unit]]</f>
        <v>377.36</v>
      </c>
      <c r="M878">
        <f>Table4[[#This Row],[Date-Sales]]-Table4[[#This Row],[Date-Received]]</f>
        <v>6</v>
      </c>
      <c r="N878" s="6">
        <f>Table4[[#This Row],[Margin-Unit]]/Table4[[#This Row],[Unit-Price]]</f>
        <v>0.25193107546048726</v>
      </c>
    </row>
    <row r="879" spans="1:14" x14ac:dyDescent="0.3">
      <c r="A879" t="s">
        <v>922</v>
      </c>
      <c r="B879" t="s">
        <v>106</v>
      </c>
      <c r="C879" t="s">
        <v>17</v>
      </c>
      <c r="D879" t="s">
        <v>18</v>
      </c>
      <c r="E879" t="s">
        <v>19</v>
      </c>
      <c r="F879">
        <v>155</v>
      </c>
      <c r="G879" s="3">
        <v>336.42</v>
      </c>
      <c r="H879" s="1">
        <v>45677</v>
      </c>
      <c r="I879" s="1">
        <v>45682</v>
      </c>
      <c r="J879" s="3">
        <v>57.32</v>
      </c>
      <c r="K879" s="2">
        <f>Table4[[#This Row],[Stock-Quantity]]*Table4[[#This Row],[Unit-Price]]</f>
        <v>52145.100000000006</v>
      </c>
      <c r="L879" s="2">
        <f>Table4[[#This Row],[Stock-Quantity]]*Table4[[#This Row],[Margin-Unit]]</f>
        <v>8884.6</v>
      </c>
      <c r="M879">
        <f>Table4[[#This Row],[Date-Sales]]-Table4[[#This Row],[Date-Received]]</f>
        <v>5</v>
      </c>
      <c r="N879" s="6">
        <f>Table4[[#This Row],[Margin-Unit]]/Table4[[#This Row],[Unit-Price]]</f>
        <v>0.17038226026990072</v>
      </c>
    </row>
    <row r="880" spans="1:14" x14ac:dyDescent="0.3">
      <c r="A880" t="s">
        <v>923</v>
      </c>
      <c r="B880" t="s">
        <v>28</v>
      </c>
      <c r="C880" t="s">
        <v>29</v>
      </c>
      <c r="D880" t="s">
        <v>30</v>
      </c>
      <c r="E880" t="s">
        <v>31</v>
      </c>
      <c r="F880">
        <v>116</v>
      </c>
      <c r="G880" s="3">
        <v>283.99</v>
      </c>
      <c r="H880" s="1">
        <v>45764</v>
      </c>
      <c r="I880" s="1">
        <v>45776</v>
      </c>
      <c r="J880" s="3">
        <v>47.32</v>
      </c>
      <c r="K880" s="2">
        <f>Table4[[#This Row],[Stock-Quantity]]*Table4[[#This Row],[Unit-Price]]</f>
        <v>32942.840000000004</v>
      </c>
      <c r="L880" s="2">
        <f>Table4[[#This Row],[Stock-Quantity]]*Table4[[#This Row],[Margin-Unit]]</f>
        <v>5489.12</v>
      </c>
      <c r="M880">
        <f>Table4[[#This Row],[Date-Sales]]-Table4[[#This Row],[Date-Received]]</f>
        <v>12</v>
      </c>
      <c r="N880" s="6">
        <f>Table4[[#This Row],[Margin-Unit]]/Table4[[#This Row],[Unit-Price]]</f>
        <v>0.1666255854079369</v>
      </c>
    </row>
    <row r="881" spans="1:14" x14ac:dyDescent="0.3">
      <c r="A881" t="s">
        <v>924</v>
      </c>
      <c r="B881" t="s">
        <v>74</v>
      </c>
      <c r="C881" t="s">
        <v>29</v>
      </c>
      <c r="D881" t="s">
        <v>18</v>
      </c>
      <c r="E881" t="s">
        <v>19</v>
      </c>
      <c r="F881">
        <v>419</v>
      </c>
      <c r="G881" s="3">
        <v>285.55</v>
      </c>
      <c r="H881" s="1">
        <v>45755</v>
      </c>
      <c r="I881" s="1">
        <v>45783</v>
      </c>
      <c r="J881" s="3">
        <v>36.340000000000003</v>
      </c>
      <c r="K881" s="2">
        <f>Table4[[#This Row],[Stock-Quantity]]*Table4[[#This Row],[Unit-Price]]</f>
        <v>119645.45000000001</v>
      </c>
      <c r="L881" s="2">
        <f>Table4[[#This Row],[Stock-Quantity]]*Table4[[#This Row],[Margin-Unit]]</f>
        <v>15226.460000000001</v>
      </c>
      <c r="M881">
        <f>Table4[[#This Row],[Date-Sales]]-Table4[[#This Row],[Date-Received]]</f>
        <v>28</v>
      </c>
      <c r="N881" s="6">
        <f>Table4[[#This Row],[Margin-Unit]]/Table4[[#This Row],[Unit-Price]]</f>
        <v>0.12726317632638767</v>
      </c>
    </row>
    <row r="882" spans="1:14" x14ac:dyDescent="0.3">
      <c r="A882" t="s">
        <v>925</v>
      </c>
      <c r="B882" t="s">
        <v>94</v>
      </c>
      <c r="C882" t="s">
        <v>29</v>
      </c>
      <c r="D882" t="s">
        <v>18</v>
      </c>
      <c r="E882" t="s">
        <v>19</v>
      </c>
      <c r="F882">
        <v>370</v>
      </c>
      <c r="G882" s="3">
        <v>489.49</v>
      </c>
      <c r="H882" s="1">
        <v>45682</v>
      </c>
      <c r="I882" s="1">
        <v>45696</v>
      </c>
      <c r="J882" s="3">
        <v>64.099999999999994</v>
      </c>
      <c r="K882" s="2">
        <f>Table4[[#This Row],[Stock-Quantity]]*Table4[[#This Row],[Unit-Price]]</f>
        <v>181111.30000000002</v>
      </c>
      <c r="L882" s="2">
        <f>Table4[[#This Row],[Stock-Quantity]]*Table4[[#This Row],[Margin-Unit]]</f>
        <v>23716.999999999996</v>
      </c>
      <c r="M882">
        <f>Table4[[#This Row],[Date-Sales]]-Table4[[#This Row],[Date-Received]]</f>
        <v>14</v>
      </c>
      <c r="N882" s="6">
        <f>Table4[[#This Row],[Margin-Unit]]/Table4[[#This Row],[Unit-Price]]</f>
        <v>0.13095262415983983</v>
      </c>
    </row>
    <row r="883" spans="1:14" x14ac:dyDescent="0.3">
      <c r="A883" t="s">
        <v>926</v>
      </c>
      <c r="B883" t="s">
        <v>70</v>
      </c>
      <c r="C883" t="s">
        <v>35</v>
      </c>
      <c r="D883" t="s">
        <v>30</v>
      </c>
      <c r="E883" t="s">
        <v>31</v>
      </c>
      <c r="F883">
        <v>422</v>
      </c>
      <c r="G883" s="3">
        <v>88.77</v>
      </c>
      <c r="H883" s="1">
        <v>45702</v>
      </c>
      <c r="I883" s="1">
        <v>45705</v>
      </c>
      <c r="J883" s="3">
        <v>11.55</v>
      </c>
      <c r="K883" s="2">
        <f>Table4[[#This Row],[Stock-Quantity]]*Table4[[#This Row],[Unit-Price]]</f>
        <v>37460.939999999995</v>
      </c>
      <c r="L883" s="2">
        <f>Table4[[#This Row],[Stock-Quantity]]*Table4[[#This Row],[Margin-Unit]]</f>
        <v>4874.1000000000004</v>
      </c>
      <c r="M883">
        <f>Table4[[#This Row],[Date-Sales]]-Table4[[#This Row],[Date-Received]]</f>
        <v>3</v>
      </c>
      <c r="N883" s="6">
        <f>Table4[[#This Row],[Margin-Unit]]/Table4[[#This Row],[Unit-Price]]</f>
        <v>0.13011152416356878</v>
      </c>
    </row>
    <row r="884" spans="1:14" x14ac:dyDescent="0.3">
      <c r="A884" t="s">
        <v>927</v>
      </c>
      <c r="B884" t="s">
        <v>37</v>
      </c>
      <c r="C884" t="s">
        <v>22</v>
      </c>
      <c r="D884" t="s">
        <v>13</v>
      </c>
      <c r="E884" t="s">
        <v>14</v>
      </c>
      <c r="F884">
        <v>434</v>
      </c>
      <c r="G884" s="3">
        <v>398.26</v>
      </c>
      <c r="H884" s="1">
        <v>45733</v>
      </c>
      <c r="I884" s="1">
        <v>45757</v>
      </c>
      <c r="J884" s="3">
        <v>82.63</v>
      </c>
      <c r="K884" s="2">
        <f>Table4[[#This Row],[Stock-Quantity]]*Table4[[#This Row],[Unit-Price]]</f>
        <v>172844.84</v>
      </c>
      <c r="L884" s="2">
        <f>Table4[[#This Row],[Stock-Quantity]]*Table4[[#This Row],[Margin-Unit]]</f>
        <v>35861.42</v>
      </c>
      <c r="M884">
        <f>Table4[[#This Row],[Date-Sales]]-Table4[[#This Row],[Date-Received]]</f>
        <v>24</v>
      </c>
      <c r="N884" s="6">
        <f>Table4[[#This Row],[Margin-Unit]]/Table4[[#This Row],[Unit-Price]]</f>
        <v>0.20747752724350926</v>
      </c>
    </row>
    <row r="885" spans="1:14" x14ac:dyDescent="0.3">
      <c r="A885" t="s">
        <v>928</v>
      </c>
      <c r="B885" t="s">
        <v>70</v>
      </c>
      <c r="C885" t="s">
        <v>35</v>
      </c>
      <c r="D885" t="s">
        <v>25</v>
      </c>
      <c r="E885" t="s">
        <v>26</v>
      </c>
      <c r="F885">
        <v>378</v>
      </c>
      <c r="G885" s="3">
        <v>295.2</v>
      </c>
      <c r="H885" s="1">
        <v>45696</v>
      </c>
      <c r="I885" s="1">
        <v>45698</v>
      </c>
      <c r="J885" s="3">
        <v>43.1</v>
      </c>
      <c r="K885" s="2">
        <f>Table4[[#This Row],[Stock-Quantity]]*Table4[[#This Row],[Unit-Price]]</f>
        <v>111585.59999999999</v>
      </c>
      <c r="L885" s="2">
        <f>Table4[[#This Row],[Stock-Quantity]]*Table4[[#This Row],[Margin-Unit]]</f>
        <v>16291.800000000001</v>
      </c>
      <c r="M885">
        <f>Table4[[#This Row],[Date-Sales]]-Table4[[#This Row],[Date-Received]]</f>
        <v>2</v>
      </c>
      <c r="N885" s="6">
        <f>Table4[[#This Row],[Margin-Unit]]/Table4[[#This Row],[Unit-Price]]</f>
        <v>0.14600271002710027</v>
      </c>
    </row>
    <row r="886" spans="1:14" x14ac:dyDescent="0.3">
      <c r="A886" t="s">
        <v>929</v>
      </c>
      <c r="B886" t="s">
        <v>16</v>
      </c>
      <c r="C886" t="s">
        <v>17</v>
      </c>
      <c r="D886" t="s">
        <v>30</v>
      </c>
      <c r="E886" t="s">
        <v>31</v>
      </c>
      <c r="F886">
        <v>136</v>
      </c>
      <c r="G886" s="3">
        <v>215.58</v>
      </c>
      <c r="H886" s="1">
        <v>45757</v>
      </c>
      <c r="I886" s="1">
        <v>45776</v>
      </c>
      <c r="J886" s="3">
        <v>54.45</v>
      </c>
      <c r="K886" s="2">
        <f>Table4[[#This Row],[Stock-Quantity]]*Table4[[#This Row],[Unit-Price]]</f>
        <v>29318.880000000001</v>
      </c>
      <c r="L886" s="2">
        <f>Table4[[#This Row],[Stock-Quantity]]*Table4[[#This Row],[Margin-Unit]]</f>
        <v>7405.2000000000007</v>
      </c>
      <c r="M886">
        <f>Table4[[#This Row],[Date-Sales]]-Table4[[#This Row],[Date-Received]]</f>
        <v>19</v>
      </c>
      <c r="N886" s="6">
        <f>Table4[[#This Row],[Margin-Unit]]/Table4[[#This Row],[Unit-Price]]</f>
        <v>0.25257445032006681</v>
      </c>
    </row>
    <row r="887" spans="1:14" x14ac:dyDescent="0.3">
      <c r="A887" t="s">
        <v>930</v>
      </c>
      <c r="B887" t="s">
        <v>34</v>
      </c>
      <c r="C887" t="s">
        <v>35</v>
      </c>
      <c r="D887" t="s">
        <v>25</v>
      </c>
      <c r="E887" t="s">
        <v>26</v>
      </c>
      <c r="F887">
        <v>242</v>
      </c>
      <c r="G887" s="3">
        <v>109.11</v>
      </c>
      <c r="H887" s="1">
        <v>45662</v>
      </c>
      <c r="I887" s="1">
        <v>45685</v>
      </c>
      <c r="J887" s="3">
        <v>13.95</v>
      </c>
      <c r="K887" s="2">
        <f>Table4[[#This Row],[Stock-Quantity]]*Table4[[#This Row],[Unit-Price]]</f>
        <v>26404.62</v>
      </c>
      <c r="L887" s="2">
        <f>Table4[[#This Row],[Stock-Quantity]]*Table4[[#This Row],[Margin-Unit]]</f>
        <v>3375.8999999999996</v>
      </c>
      <c r="M887">
        <f>Table4[[#This Row],[Date-Sales]]-Table4[[#This Row],[Date-Received]]</f>
        <v>23</v>
      </c>
      <c r="N887" s="6">
        <f>Table4[[#This Row],[Margin-Unit]]/Table4[[#This Row],[Unit-Price]]</f>
        <v>0.12785262579048665</v>
      </c>
    </row>
    <row r="888" spans="1:14" x14ac:dyDescent="0.3">
      <c r="A888" t="s">
        <v>931</v>
      </c>
      <c r="B888" t="s">
        <v>116</v>
      </c>
      <c r="C888" t="s">
        <v>12</v>
      </c>
      <c r="D888" t="s">
        <v>40</v>
      </c>
      <c r="E888" t="s">
        <v>41</v>
      </c>
      <c r="F888">
        <v>350</v>
      </c>
      <c r="G888" s="3">
        <v>419.1</v>
      </c>
      <c r="H888" s="1">
        <v>45670</v>
      </c>
      <c r="I888" s="1">
        <v>45691</v>
      </c>
      <c r="J888" s="3">
        <v>86.74</v>
      </c>
      <c r="K888" s="2">
        <f>Table4[[#This Row],[Stock-Quantity]]*Table4[[#This Row],[Unit-Price]]</f>
        <v>146685</v>
      </c>
      <c r="L888" s="2">
        <f>Table4[[#This Row],[Stock-Quantity]]*Table4[[#This Row],[Margin-Unit]]</f>
        <v>30359</v>
      </c>
      <c r="M888">
        <f>Table4[[#This Row],[Date-Sales]]-Table4[[#This Row],[Date-Received]]</f>
        <v>21</v>
      </c>
      <c r="N888" s="6">
        <f>Table4[[#This Row],[Margin-Unit]]/Table4[[#This Row],[Unit-Price]]</f>
        <v>0.20696731090431875</v>
      </c>
    </row>
    <row r="889" spans="1:14" x14ac:dyDescent="0.3">
      <c r="A889" t="s">
        <v>932</v>
      </c>
      <c r="B889" t="s">
        <v>28</v>
      </c>
      <c r="C889" t="s">
        <v>29</v>
      </c>
      <c r="D889" t="s">
        <v>25</v>
      </c>
      <c r="E889" t="s">
        <v>26</v>
      </c>
      <c r="F889">
        <v>305</v>
      </c>
      <c r="G889" s="3">
        <v>220.04</v>
      </c>
      <c r="H889" s="1">
        <v>45794</v>
      </c>
      <c r="I889" s="1">
        <v>45797</v>
      </c>
      <c r="J889" s="3">
        <v>63.37</v>
      </c>
      <c r="K889" s="2">
        <f>Table4[[#This Row],[Stock-Quantity]]*Table4[[#This Row],[Unit-Price]]</f>
        <v>67112.2</v>
      </c>
      <c r="L889" s="2">
        <f>Table4[[#This Row],[Stock-Quantity]]*Table4[[#This Row],[Margin-Unit]]</f>
        <v>19327.849999999999</v>
      </c>
      <c r="M889">
        <f>Table4[[#This Row],[Date-Sales]]-Table4[[#This Row],[Date-Received]]</f>
        <v>3</v>
      </c>
      <c r="N889" s="6">
        <f>Table4[[#This Row],[Margin-Unit]]/Table4[[#This Row],[Unit-Price]]</f>
        <v>0.28799309216506092</v>
      </c>
    </row>
    <row r="890" spans="1:14" x14ac:dyDescent="0.3">
      <c r="A890" t="s">
        <v>933</v>
      </c>
      <c r="B890" t="s">
        <v>16</v>
      </c>
      <c r="C890" t="s">
        <v>17</v>
      </c>
      <c r="D890" t="s">
        <v>25</v>
      </c>
      <c r="E890" t="s">
        <v>26</v>
      </c>
      <c r="F890">
        <v>308</v>
      </c>
      <c r="G890" s="3">
        <v>406.73</v>
      </c>
      <c r="H890" s="1">
        <v>45683</v>
      </c>
      <c r="I890" s="1">
        <v>45707</v>
      </c>
      <c r="J890" s="3">
        <v>48.16</v>
      </c>
      <c r="K890" s="2">
        <f>Table4[[#This Row],[Stock-Quantity]]*Table4[[#This Row],[Unit-Price]]</f>
        <v>125272.84000000001</v>
      </c>
      <c r="L890" s="2">
        <f>Table4[[#This Row],[Stock-Quantity]]*Table4[[#This Row],[Margin-Unit]]</f>
        <v>14833.279999999999</v>
      </c>
      <c r="M890">
        <f>Table4[[#This Row],[Date-Sales]]-Table4[[#This Row],[Date-Received]]</f>
        <v>24</v>
      </c>
      <c r="N890" s="6">
        <f>Table4[[#This Row],[Margin-Unit]]/Table4[[#This Row],[Unit-Price]]</f>
        <v>0.11840778895090108</v>
      </c>
    </row>
    <row r="891" spans="1:14" x14ac:dyDescent="0.3">
      <c r="A891" t="s">
        <v>934</v>
      </c>
      <c r="B891" t="s">
        <v>34</v>
      </c>
      <c r="C891" t="s">
        <v>35</v>
      </c>
      <c r="D891" t="s">
        <v>40</v>
      </c>
      <c r="E891" t="s">
        <v>41</v>
      </c>
      <c r="F891">
        <v>278</v>
      </c>
      <c r="G891" s="3">
        <v>447.69</v>
      </c>
      <c r="H891" s="1">
        <v>45808</v>
      </c>
      <c r="I891" s="1">
        <v>45824</v>
      </c>
      <c r="J891" s="3">
        <v>124.15</v>
      </c>
      <c r="K891" s="2">
        <f>Table4[[#This Row],[Stock-Quantity]]*Table4[[#This Row],[Unit-Price]]</f>
        <v>124457.81999999999</v>
      </c>
      <c r="L891" s="2">
        <f>Table4[[#This Row],[Stock-Quantity]]*Table4[[#This Row],[Margin-Unit]]</f>
        <v>34513.700000000004</v>
      </c>
      <c r="M891">
        <f>Table4[[#This Row],[Date-Sales]]-Table4[[#This Row],[Date-Received]]</f>
        <v>16</v>
      </c>
      <c r="N891" s="6">
        <f>Table4[[#This Row],[Margin-Unit]]/Table4[[#This Row],[Unit-Price]]</f>
        <v>0.2773124260090688</v>
      </c>
    </row>
    <row r="892" spans="1:14" x14ac:dyDescent="0.3">
      <c r="A892" t="s">
        <v>935</v>
      </c>
      <c r="B892" t="s">
        <v>47</v>
      </c>
      <c r="C892" t="s">
        <v>17</v>
      </c>
      <c r="D892" t="s">
        <v>13</v>
      </c>
      <c r="E892" t="s">
        <v>14</v>
      </c>
      <c r="F892">
        <v>463</v>
      </c>
      <c r="G892" s="3">
        <v>389.06</v>
      </c>
      <c r="H892" s="1">
        <v>45815</v>
      </c>
      <c r="I892" s="1">
        <v>45839</v>
      </c>
      <c r="J892" s="3">
        <v>88.29</v>
      </c>
      <c r="K892" s="2">
        <f>Table4[[#This Row],[Stock-Quantity]]*Table4[[#This Row],[Unit-Price]]</f>
        <v>180134.78</v>
      </c>
      <c r="L892" s="2">
        <f>Table4[[#This Row],[Stock-Quantity]]*Table4[[#This Row],[Margin-Unit]]</f>
        <v>40878.270000000004</v>
      </c>
      <c r="M892">
        <f>Table4[[#This Row],[Date-Sales]]-Table4[[#This Row],[Date-Received]]</f>
        <v>24</v>
      </c>
      <c r="N892" s="6">
        <f>Table4[[#This Row],[Margin-Unit]]/Table4[[#This Row],[Unit-Price]]</f>
        <v>0.2269315786768108</v>
      </c>
    </row>
    <row r="893" spans="1:14" x14ac:dyDescent="0.3">
      <c r="A893" t="s">
        <v>936</v>
      </c>
      <c r="B893" t="s">
        <v>65</v>
      </c>
      <c r="C893" t="s">
        <v>22</v>
      </c>
      <c r="D893" t="s">
        <v>13</v>
      </c>
      <c r="E893" t="s">
        <v>14</v>
      </c>
      <c r="F893">
        <v>175</v>
      </c>
      <c r="G893" s="3">
        <v>425.71</v>
      </c>
      <c r="H893" s="1">
        <v>45764</v>
      </c>
      <c r="I893" s="1">
        <v>45785</v>
      </c>
      <c r="J893" s="3">
        <v>78.39</v>
      </c>
      <c r="K893" s="2">
        <f>Table4[[#This Row],[Stock-Quantity]]*Table4[[#This Row],[Unit-Price]]</f>
        <v>74499.25</v>
      </c>
      <c r="L893" s="2">
        <f>Table4[[#This Row],[Stock-Quantity]]*Table4[[#This Row],[Margin-Unit]]</f>
        <v>13718.25</v>
      </c>
      <c r="M893">
        <f>Table4[[#This Row],[Date-Sales]]-Table4[[#This Row],[Date-Received]]</f>
        <v>21</v>
      </c>
      <c r="N893" s="6">
        <f>Table4[[#This Row],[Margin-Unit]]/Table4[[#This Row],[Unit-Price]]</f>
        <v>0.18413943764534543</v>
      </c>
    </row>
    <row r="894" spans="1:14" x14ac:dyDescent="0.3">
      <c r="A894" t="s">
        <v>937</v>
      </c>
      <c r="B894" t="s">
        <v>28</v>
      </c>
      <c r="C894" t="s">
        <v>29</v>
      </c>
      <c r="D894" t="s">
        <v>30</v>
      </c>
      <c r="E894" t="s">
        <v>31</v>
      </c>
      <c r="F894">
        <v>420</v>
      </c>
      <c r="G894" s="3">
        <v>27.54</v>
      </c>
      <c r="H894" s="1">
        <v>45727</v>
      </c>
      <c r="I894" s="1">
        <v>45746</v>
      </c>
      <c r="J894" s="3">
        <v>7.09</v>
      </c>
      <c r="K894" s="2">
        <f>Table4[[#This Row],[Stock-Quantity]]*Table4[[#This Row],[Unit-Price]]</f>
        <v>11566.8</v>
      </c>
      <c r="L894" s="2">
        <f>Table4[[#This Row],[Stock-Quantity]]*Table4[[#This Row],[Margin-Unit]]</f>
        <v>2977.7999999999997</v>
      </c>
      <c r="M894">
        <f>Table4[[#This Row],[Date-Sales]]-Table4[[#This Row],[Date-Received]]</f>
        <v>19</v>
      </c>
      <c r="N894" s="6">
        <f>Table4[[#This Row],[Margin-Unit]]/Table4[[#This Row],[Unit-Price]]</f>
        <v>0.25744371822803197</v>
      </c>
    </row>
    <row r="895" spans="1:14" x14ac:dyDescent="0.3">
      <c r="A895" t="s">
        <v>938</v>
      </c>
      <c r="B895" t="s">
        <v>39</v>
      </c>
      <c r="C895" t="s">
        <v>12</v>
      </c>
      <c r="D895" t="s">
        <v>40</v>
      </c>
      <c r="E895" t="s">
        <v>41</v>
      </c>
      <c r="F895">
        <v>227</v>
      </c>
      <c r="G895" s="3">
        <v>331.15</v>
      </c>
      <c r="H895" s="1">
        <v>45677</v>
      </c>
      <c r="I895" s="1">
        <v>45702</v>
      </c>
      <c r="J895" s="3">
        <v>84.71</v>
      </c>
      <c r="K895" s="2">
        <f>Table4[[#This Row],[Stock-Quantity]]*Table4[[#This Row],[Unit-Price]]</f>
        <v>75171.049999999988</v>
      </c>
      <c r="L895" s="2">
        <f>Table4[[#This Row],[Stock-Quantity]]*Table4[[#This Row],[Margin-Unit]]</f>
        <v>19229.169999999998</v>
      </c>
      <c r="M895">
        <f>Table4[[#This Row],[Date-Sales]]-Table4[[#This Row],[Date-Received]]</f>
        <v>25</v>
      </c>
      <c r="N895" s="6">
        <f>Table4[[#This Row],[Margin-Unit]]/Table4[[#This Row],[Unit-Price]]</f>
        <v>0.25580552619658764</v>
      </c>
    </row>
    <row r="896" spans="1:14" x14ac:dyDescent="0.3">
      <c r="A896" t="s">
        <v>939</v>
      </c>
      <c r="B896" t="s">
        <v>39</v>
      </c>
      <c r="C896" t="s">
        <v>12</v>
      </c>
      <c r="D896" t="s">
        <v>25</v>
      </c>
      <c r="E896" t="s">
        <v>26</v>
      </c>
      <c r="F896">
        <v>113</v>
      </c>
      <c r="G896" s="3">
        <v>332.46</v>
      </c>
      <c r="H896" s="1">
        <v>45669</v>
      </c>
      <c r="I896" s="1">
        <v>45692</v>
      </c>
      <c r="J896" s="3">
        <v>82.62</v>
      </c>
      <c r="K896" s="2">
        <f>Table4[[#This Row],[Stock-Quantity]]*Table4[[#This Row],[Unit-Price]]</f>
        <v>37567.979999999996</v>
      </c>
      <c r="L896" s="2">
        <f>Table4[[#This Row],[Stock-Quantity]]*Table4[[#This Row],[Margin-Unit]]</f>
        <v>9336.0600000000013</v>
      </c>
      <c r="M896">
        <f>Table4[[#This Row],[Date-Sales]]-Table4[[#This Row],[Date-Received]]</f>
        <v>23</v>
      </c>
      <c r="N896" s="6">
        <f>Table4[[#This Row],[Margin-Unit]]/Table4[[#This Row],[Unit-Price]]</f>
        <v>0.24851109907958854</v>
      </c>
    </row>
    <row r="897" spans="1:14" x14ac:dyDescent="0.3">
      <c r="A897" t="s">
        <v>940</v>
      </c>
      <c r="B897" t="s">
        <v>11</v>
      </c>
      <c r="C897" t="s">
        <v>12</v>
      </c>
      <c r="D897" t="s">
        <v>30</v>
      </c>
      <c r="E897" t="s">
        <v>31</v>
      </c>
      <c r="F897">
        <v>282</v>
      </c>
      <c r="G897" s="3">
        <v>203.04</v>
      </c>
      <c r="H897" s="1">
        <v>45709</v>
      </c>
      <c r="I897" s="1">
        <v>45713</v>
      </c>
      <c r="J897" s="3">
        <v>32.26</v>
      </c>
      <c r="K897" s="2">
        <f>Table4[[#This Row],[Stock-Quantity]]*Table4[[#This Row],[Unit-Price]]</f>
        <v>57257.279999999999</v>
      </c>
      <c r="L897" s="2">
        <f>Table4[[#This Row],[Stock-Quantity]]*Table4[[#This Row],[Margin-Unit]]</f>
        <v>9097.32</v>
      </c>
      <c r="M897">
        <f>Table4[[#This Row],[Date-Sales]]-Table4[[#This Row],[Date-Received]]</f>
        <v>4</v>
      </c>
      <c r="N897" s="6">
        <f>Table4[[#This Row],[Margin-Unit]]/Table4[[#This Row],[Unit-Price]]</f>
        <v>0.15888494877856579</v>
      </c>
    </row>
    <row r="898" spans="1:14" x14ac:dyDescent="0.3">
      <c r="A898" t="s">
        <v>941</v>
      </c>
      <c r="B898" t="s">
        <v>37</v>
      </c>
      <c r="C898" t="s">
        <v>22</v>
      </c>
      <c r="D898" t="s">
        <v>18</v>
      </c>
      <c r="E898" t="s">
        <v>19</v>
      </c>
      <c r="F898">
        <v>192</v>
      </c>
      <c r="G898" s="3">
        <v>291.26</v>
      </c>
      <c r="H898" s="1">
        <v>45675</v>
      </c>
      <c r="I898" s="1">
        <v>45683</v>
      </c>
      <c r="J898" s="3">
        <v>86.55</v>
      </c>
      <c r="K898" s="2">
        <f>Table4[[#This Row],[Stock-Quantity]]*Table4[[#This Row],[Unit-Price]]</f>
        <v>55921.919999999998</v>
      </c>
      <c r="L898" s="2">
        <f>Table4[[#This Row],[Stock-Quantity]]*Table4[[#This Row],[Margin-Unit]]</f>
        <v>16617.599999999999</v>
      </c>
      <c r="M898">
        <f>Table4[[#This Row],[Date-Sales]]-Table4[[#This Row],[Date-Received]]</f>
        <v>8</v>
      </c>
      <c r="N898" s="6">
        <f>Table4[[#This Row],[Margin-Unit]]/Table4[[#This Row],[Unit-Price]]</f>
        <v>0.29715717915264711</v>
      </c>
    </row>
    <row r="899" spans="1:14" x14ac:dyDescent="0.3">
      <c r="A899" t="s">
        <v>942</v>
      </c>
      <c r="B899" t="s">
        <v>37</v>
      </c>
      <c r="C899" t="s">
        <v>22</v>
      </c>
      <c r="D899" t="s">
        <v>30</v>
      </c>
      <c r="E899" t="s">
        <v>31</v>
      </c>
      <c r="F899">
        <v>291</v>
      </c>
      <c r="G899" s="3">
        <v>165.8</v>
      </c>
      <c r="H899" s="1">
        <v>45771</v>
      </c>
      <c r="I899" s="1">
        <v>45776</v>
      </c>
      <c r="J899" s="3">
        <v>28.61</v>
      </c>
      <c r="K899" s="2">
        <f>Table4[[#This Row],[Stock-Quantity]]*Table4[[#This Row],[Unit-Price]]</f>
        <v>48247.8</v>
      </c>
      <c r="L899" s="2">
        <f>Table4[[#This Row],[Stock-Quantity]]*Table4[[#This Row],[Margin-Unit]]</f>
        <v>8325.51</v>
      </c>
      <c r="M899">
        <f>Table4[[#This Row],[Date-Sales]]-Table4[[#This Row],[Date-Received]]</f>
        <v>5</v>
      </c>
      <c r="N899" s="6">
        <f>Table4[[#This Row],[Margin-Unit]]/Table4[[#This Row],[Unit-Price]]</f>
        <v>0.17255729794933652</v>
      </c>
    </row>
    <row r="900" spans="1:14" x14ac:dyDescent="0.3">
      <c r="A900" t="s">
        <v>943</v>
      </c>
      <c r="B900" t="s">
        <v>39</v>
      </c>
      <c r="C900" t="s">
        <v>12</v>
      </c>
      <c r="D900" t="s">
        <v>13</v>
      </c>
      <c r="E900" t="s">
        <v>14</v>
      </c>
      <c r="F900">
        <v>432</v>
      </c>
      <c r="G900" s="3">
        <v>270.08</v>
      </c>
      <c r="H900" s="1">
        <v>45800</v>
      </c>
      <c r="I900" s="1">
        <v>45804</v>
      </c>
      <c r="J900" s="3">
        <v>41.61</v>
      </c>
      <c r="K900" s="2">
        <f>Table4[[#This Row],[Stock-Quantity]]*Table4[[#This Row],[Unit-Price]]</f>
        <v>116674.56</v>
      </c>
      <c r="L900" s="2">
        <f>Table4[[#This Row],[Stock-Quantity]]*Table4[[#This Row],[Margin-Unit]]</f>
        <v>17975.52</v>
      </c>
      <c r="M900">
        <f>Table4[[#This Row],[Date-Sales]]-Table4[[#This Row],[Date-Received]]</f>
        <v>4</v>
      </c>
      <c r="N900" s="6">
        <f>Table4[[#This Row],[Margin-Unit]]/Table4[[#This Row],[Unit-Price]]</f>
        <v>0.15406546208530805</v>
      </c>
    </row>
    <row r="901" spans="1:14" x14ac:dyDescent="0.3">
      <c r="A901" t="s">
        <v>944</v>
      </c>
      <c r="B901" t="s">
        <v>28</v>
      </c>
      <c r="C901" t="s">
        <v>29</v>
      </c>
      <c r="D901" t="s">
        <v>40</v>
      </c>
      <c r="E901" t="s">
        <v>41</v>
      </c>
      <c r="F901">
        <v>118</v>
      </c>
      <c r="G901" s="3">
        <v>478.85</v>
      </c>
      <c r="H901" s="1">
        <v>45732</v>
      </c>
      <c r="I901" s="1">
        <v>45762</v>
      </c>
      <c r="J901" s="3">
        <v>129.4</v>
      </c>
      <c r="K901" s="2">
        <f>Table4[[#This Row],[Stock-Quantity]]*Table4[[#This Row],[Unit-Price]]</f>
        <v>56504.3</v>
      </c>
      <c r="L901" s="2">
        <f>Table4[[#This Row],[Stock-Quantity]]*Table4[[#This Row],[Margin-Unit]]</f>
        <v>15269.2</v>
      </c>
      <c r="M901">
        <f>Table4[[#This Row],[Date-Sales]]-Table4[[#This Row],[Date-Received]]</f>
        <v>30</v>
      </c>
      <c r="N901" s="6">
        <f>Table4[[#This Row],[Margin-Unit]]/Table4[[#This Row],[Unit-Price]]</f>
        <v>0.2702307611987052</v>
      </c>
    </row>
    <row r="902" spans="1:14" x14ac:dyDescent="0.3">
      <c r="A902" t="s">
        <v>945</v>
      </c>
      <c r="B902" t="s">
        <v>24</v>
      </c>
      <c r="C902" t="s">
        <v>22</v>
      </c>
      <c r="D902" t="s">
        <v>40</v>
      </c>
      <c r="E902" t="s">
        <v>41</v>
      </c>
      <c r="F902">
        <v>84</v>
      </c>
      <c r="G902" s="3">
        <v>289.31</v>
      </c>
      <c r="H902" s="1">
        <v>45696</v>
      </c>
      <c r="I902" s="1">
        <v>45726</v>
      </c>
      <c r="J902" s="3">
        <v>52.82</v>
      </c>
      <c r="K902" s="2">
        <f>Table4[[#This Row],[Stock-Quantity]]*Table4[[#This Row],[Unit-Price]]</f>
        <v>24302.04</v>
      </c>
      <c r="L902" s="2">
        <f>Table4[[#This Row],[Stock-Quantity]]*Table4[[#This Row],[Margin-Unit]]</f>
        <v>4436.88</v>
      </c>
      <c r="M902">
        <f>Table4[[#This Row],[Date-Sales]]-Table4[[#This Row],[Date-Received]]</f>
        <v>30</v>
      </c>
      <c r="N902" s="6">
        <f>Table4[[#This Row],[Margin-Unit]]/Table4[[#This Row],[Unit-Price]]</f>
        <v>0.18257232726141509</v>
      </c>
    </row>
    <row r="903" spans="1:14" x14ac:dyDescent="0.3">
      <c r="A903" t="s">
        <v>946</v>
      </c>
      <c r="B903" t="s">
        <v>24</v>
      </c>
      <c r="C903" t="s">
        <v>22</v>
      </c>
      <c r="D903" t="s">
        <v>13</v>
      </c>
      <c r="E903" t="s">
        <v>14</v>
      </c>
      <c r="F903">
        <v>309</v>
      </c>
      <c r="G903" s="3">
        <v>435.49</v>
      </c>
      <c r="H903" s="1">
        <v>45708</v>
      </c>
      <c r="I903" s="1">
        <v>45736</v>
      </c>
      <c r="J903" s="3">
        <v>127.06</v>
      </c>
      <c r="K903" s="2">
        <f>Table4[[#This Row],[Stock-Quantity]]*Table4[[#This Row],[Unit-Price]]</f>
        <v>134566.41</v>
      </c>
      <c r="L903" s="2">
        <f>Table4[[#This Row],[Stock-Quantity]]*Table4[[#This Row],[Margin-Unit]]</f>
        <v>39261.54</v>
      </c>
      <c r="M903">
        <f>Table4[[#This Row],[Date-Sales]]-Table4[[#This Row],[Date-Received]]</f>
        <v>28</v>
      </c>
      <c r="N903" s="6">
        <f>Table4[[#This Row],[Margin-Unit]]/Table4[[#This Row],[Unit-Price]]</f>
        <v>0.29176330110909549</v>
      </c>
    </row>
    <row r="904" spans="1:14" x14ac:dyDescent="0.3">
      <c r="A904" t="s">
        <v>947</v>
      </c>
      <c r="B904" t="s">
        <v>74</v>
      </c>
      <c r="C904" t="s">
        <v>29</v>
      </c>
      <c r="D904" t="s">
        <v>40</v>
      </c>
      <c r="E904" t="s">
        <v>41</v>
      </c>
      <c r="F904">
        <v>169</v>
      </c>
      <c r="G904" s="3">
        <v>125.79</v>
      </c>
      <c r="H904" s="1">
        <v>45787</v>
      </c>
      <c r="I904" s="1">
        <v>45800</v>
      </c>
      <c r="J904" s="3">
        <v>36.659999999999997</v>
      </c>
      <c r="K904" s="2">
        <f>Table4[[#This Row],[Stock-Quantity]]*Table4[[#This Row],[Unit-Price]]</f>
        <v>21258.510000000002</v>
      </c>
      <c r="L904" s="2">
        <f>Table4[[#This Row],[Stock-Quantity]]*Table4[[#This Row],[Margin-Unit]]</f>
        <v>6195.5399999999991</v>
      </c>
      <c r="M904">
        <f>Table4[[#This Row],[Date-Sales]]-Table4[[#This Row],[Date-Received]]</f>
        <v>13</v>
      </c>
      <c r="N904" s="6">
        <f>Table4[[#This Row],[Margin-Unit]]/Table4[[#This Row],[Unit-Price]]</f>
        <v>0.29143811113761026</v>
      </c>
    </row>
    <row r="905" spans="1:14" x14ac:dyDescent="0.3">
      <c r="A905" t="s">
        <v>948</v>
      </c>
      <c r="B905" t="s">
        <v>65</v>
      </c>
      <c r="C905" t="s">
        <v>22</v>
      </c>
      <c r="D905" t="s">
        <v>18</v>
      </c>
      <c r="E905" t="s">
        <v>19</v>
      </c>
      <c r="F905">
        <v>278</v>
      </c>
      <c r="G905" s="3">
        <v>236.88</v>
      </c>
      <c r="H905" s="1">
        <v>45778</v>
      </c>
      <c r="I905" s="1">
        <v>45779</v>
      </c>
      <c r="J905" s="3">
        <v>26.92</v>
      </c>
      <c r="K905" s="2">
        <f>Table4[[#This Row],[Stock-Quantity]]*Table4[[#This Row],[Unit-Price]]</f>
        <v>65852.639999999999</v>
      </c>
      <c r="L905" s="2">
        <f>Table4[[#This Row],[Stock-Quantity]]*Table4[[#This Row],[Margin-Unit]]</f>
        <v>7483.76</v>
      </c>
      <c r="M905">
        <f>Table4[[#This Row],[Date-Sales]]-Table4[[#This Row],[Date-Received]]</f>
        <v>1</v>
      </c>
      <c r="N905" s="6">
        <f>Table4[[#This Row],[Margin-Unit]]/Table4[[#This Row],[Unit-Price]]</f>
        <v>0.11364403917595407</v>
      </c>
    </row>
    <row r="906" spans="1:14" x14ac:dyDescent="0.3">
      <c r="A906" t="s">
        <v>949</v>
      </c>
      <c r="B906" t="s">
        <v>24</v>
      </c>
      <c r="C906" t="s">
        <v>22</v>
      </c>
      <c r="D906" t="s">
        <v>30</v>
      </c>
      <c r="E906" t="s">
        <v>31</v>
      </c>
      <c r="F906">
        <v>106</v>
      </c>
      <c r="G906" s="3">
        <v>128.15</v>
      </c>
      <c r="H906" s="1">
        <v>45817</v>
      </c>
      <c r="I906" s="1">
        <v>45832</v>
      </c>
      <c r="J906" s="3">
        <v>36.130000000000003</v>
      </c>
      <c r="K906" s="2">
        <f>Table4[[#This Row],[Stock-Quantity]]*Table4[[#This Row],[Unit-Price]]</f>
        <v>13583.900000000001</v>
      </c>
      <c r="L906" s="2">
        <f>Table4[[#This Row],[Stock-Quantity]]*Table4[[#This Row],[Margin-Unit]]</f>
        <v>3829.78</v>
      </c>
      <c r="M906">
        <f>Table4[[#This Row],[Date-Sales]]-Table4[[#This Row],[Date-Received]]</f>
        <v>15</v>
      </c>
      <c r="N906" s="6">
        <f>Table4[[#This Row],[Margin-Unit]]/Table4[[#This Row],[Unit-Price]]</f>
        <v>0.28193523214982441</v>
      </c>
    </row>
    <row r="907" spans="1:14" x14ac:dyDescent="0.3">
      <c r="A907" t="s">
        <v>950</v>
      </c>
      <c r="B907" t="s">
        <v>37</v>
      </c>
      <c r="C907" t="s">
        <v>22</v>
      </c>
      <c r="D907" t="s">
        <v>25</v>
      </c>
      <c r="E907" t="s">
        <v>26</v>
      </c>
      <c r="F907">
        <v>469</v>
      </c>
      <c r="G907" s="3">
        <v>139.38999999999999</v>
      </c>
      <c r="H907" s="1">
        <v>45755</v>
      </c>
      <c r="I907" s="1">
        <v>45760</v>
      </c>
      <c r="J907" s="3">
        <v>41.32</v>
      </c>
      <c r="K907" s="2">
        <f>Table4[[#This Row],[Stock-Quantity]]*Table4[[#This Row],[Unit-Price]]</f>
        <v>65373.909999999996</v>
      </c>
      <c r="L907" s="2">
        <f>Table4[[#This Row],[Stock-Quantity]]*Table4[[#This Row],[Margin-Unit]]</f>
        <v>19379.080000000002</v>
      </c>
      <c r="M907">
        <f>Table4[[#This Row],[Date-Sales]]-Table4[[#This Row],[Date-Received]]</f>
        <v>5</v>
      </c>
      <c r="N907" s="6">
        <f>Table4[[#This Row],[Margin-Unit]]/Table4[[#This Row],[Unit-Price]]</f>
        <v>0.2964344644522563</v>
      </c>
    </row>
    <row r="908" spans="1:14" x14ac:dyDescent="0.3">
      <c r="A908" t="s">
        <v>951</v>
      </c>
      <c r="B908" t="s">
        <v>74</v>
      </c>
      <c r="C908" t="s">
        <v>29</v>
      </c>
      <c r="D908" t="s">
        <v>25</v>
      </c>
      <c r="E908" t="s">
        <v>26</v>
      </c>
      <c r="F908">
        <v>494</v>
      </c>
      <c r="G908" s="3">
        <v>18.260000000000002</v>
      </c>
      <c r="H908" s="1">
        <v>45732</v>
      </c>
      <c r="I908" s="1">
        <v>45739</v>
      </c>
      <c r="J908" s="3">
        <v>5.09</v>
      </c>
      <c r="K908" s="2">
        <f>Table4[[#This Row],[Stock-Quantity]]*Table4[[#This Row],[Unit-Price]]</f>
        <v>9020.44</v>
      </c>
      <c r="L908" s="2">
        <f>Table4[[#This Row],[Stock-Quantity]]*Table4[[#This Row],[Margin-Unit]]</f>
        <v>2514.46</v>
      </c>
      <c r="M908">
        <f>Table4[[#This Row],[Date-Sales]]-Table4[[#This Row],[Date-Received]]</f>
        <v>7</v>
      </c>
      <c r="N908" s="6">
        <f>Table4[[#This Row],[Margin-Unit]]/Table4[[#This Row],[Unit-Price]]</f>
        <v>0.27875136911281484</v>
      </c>
    </row>
    <row r="909" spans="1:14" x14ac:dyDescent="0.3">
      <c r="A909" t="s">
        <v>952</v>
      </c>
      <c r="B909" t="s">
        <v>52</v>
      </c>
      <c r="C909" t="s">
        <v>12</v>
      </c>
      <c r="D909" t="s">
        <v>13</v>
      </c>
      <c r="E909" t="s">
        <v>14</v>
      </c>
      <c r="F909">
        <v>33</v>
      </c>
      <c r="G909" s="3">
        <v>235.72</v>
      </c>
      <c r="H909" s="1">
        <v>45714</v>
      </c>
      <c r="I909" s="1">
        <v>45733</v>
      </c>
      <c r="J909" s="3">
        <v>31.98</v>
      </c>
      <c r="K909" s="2">
        <f>Table4[[#This Row],[Stock-Quantity]]*Table4[[#This Row],[Unit-Price]]</f>
        <v>7778.76</v>
      </c>
      <c r="L909" s="2">
        <f>Table4[[#This Row],[Stock-Quantity]]*Table4[[#This Row],[Margin-Unit]]</f>
        <v>1055.3399999999999</v>
      </c>
      <c r="M909">
        <f>Table4[[#This Row],[Date-Sales]]-Table4[[#This Row],[Date-Received]]</f>
        <v>19</v>
      </c>
      <c r="N909" s="6">
        <f>Table4[[#This Row],[Margin-Unit]]/Table4[[#This Row],[Unit-Price]]</f>
        <v>0.13566943831664688</v>
      </c>
    </row>
    <row r="910" spans="1:14" x14ac:dyDescent="0.3">
      <c r="A910" t="s">
        <v>953</v>
      </c>
      <c r="B910" t="s">
        <v>74</v>
      </c>
      <c r="C910" t="s">
        <v>29</v>
      </c>
      <c r="D910" t="s">
        <v>40</v>
      </c>
      <c r="E910" t="s">
        <v>41</v>
      </c>
      <c r="F910">
        <v>316</v>
      </c>
      <c r="G910" s="3">
        <v>212.59</v>
      </c>
      <c r="H910" s="1">
        <v>45678</v>
      </c>
      <c r="I910" s="1">
        <v>45685</v>
      </c>
      <c r="J910" s="3">
        <v>35.61</v>
      </c>
      <c r="K910" s="2">
        <f>Table4[[#This Row],[Stock-Quantity]]*Table4[[#This Row],[Unit-Price]]</f>
        <v>67178.44</v>
      </c>
      <c r="L910" s="2">
        <f>Table4[[#This Row],[Stock-Quantity]]*Table4[[#This Row],[Margin-Unit]]</f>
        <v>11252.76</v>
      </c>
      <c r="M910">
        <f>Table4[[#This Row],[Date-Sales]]-Table4[[#This Row],[Date-Received]]</f>
        <v>7</v>
      </c>
      <c r="N910" s="6">
        <f>Table4[[#This Row],[Margin-Unit]]/Table4[[#This Row],[Unit-Price]]</f>
        <v>0.16750552707088762</v>
      </c>
    </row>
    <row r="911" spans="1:14" x14ac:dyDescent="0.3">
      <c r="A911" t="s">
        <v>954</v>
      </c>
      <c r="B911" t="s">
        <v>39</v>
      </c>
      <c r="C911" t="s">
        <v>12</v>
      </c>
      <c r="D911" t="s">
        <v>13</v>
      </c>
      <c r="E911" t="s">
        <v>14</v>
      </c>
      <c r="F911">
        <v>478</v>
      </c>
      <c r="G911" s="3">
        <v>221.73</v>
      </c>
      <c r="H911" s="1">
        <v>45689</v>
      </c>
      <c r="I911" s="1">
        <v>45701</v>
      </c>
      <c r="J911" s="3">
        <v>54.39</v>
      </c>
      <c r="K911" s="2">
        <f>Table4[[#This Row],[Stock-Quantity]]*Table4[[#This Row],[Unit-Price]]</f>
        <v>105986.94</v>
      </c>
      <c r="L911" s="2">
        <f>Table4[[#This Row],[Stock-Quantity]]*Table4[[#This Row],[Margin-Unit]]</f>
        <v>25998.420000000002</v>
      </c>
      <c r="M911">
        <f>Table4[[#This Row],[Date-Sales]]-Table4[[#This Row],[Date-Received]]</f>
        <v>12</v>
      </c>
      <c r="N911" s="6">
        <f>Table4[[#This Row],[Margin-Unit]]/Table4[[#This Row],[Unit-Price]]</f>
        <v>0.24529833581382765</v>
      </c>
    </row>
    <row r="912" spans="1:14" x14ac:dyDescent="0.3">
      <c r="A912" t="s">
        <v>955</v>
      </c>
      <c r="B912" t="s">
        <v>43</v>
      </c>
      <c r="C912" t="s">
        <v>35</v>
      </c>
      <c r="D912" t="s">
        <v>18</v>
      </c>
      <c r="E912" t="s">
        <v>19</v>
      </c>
      <c r="F912">
        <v>407</v>
      </c>
      <c r="G912" s="3">
        <v>300.16000000000003</v>
      </c>
      <c r="H912" s="1">
        <v>45770</v>
      </c>
      <c r="I912" s="1">
        <v>45800</v>
      </c>
      <c r="J912" s="3">
        <v>30.71</v>
      </c>
      <c r="K912" s="2">
        <f>Table4[[#This Row],[Stock-Quantity]]*Table4[[#This Row],[Unit-Price]]</f>
        <v>122165.12000000001</v>
      </c>
      <c r="L912" s="2">
        <f>Table4[[#This Row],[Stock-Quantity]]*Table4[[#This Row],[Margin-Unit]]</f>
        <v>12498.970000000001</v>
      </c>
      <c r="M912">
        <f>Table4[[#This Row],[Date-Sales]]-Table4[[#This Row],[Date-Received]]</f>
        <v>30</v>
      </c>
      <c r="N912" s="6">
        <f>Table4[[#This Row],[Margin-Unit]]/Table4[[#This Row],[Unit-Price]]</f>
        <v>0.10231210021321961</v>
      </c>
    </row>
    <row r="913" spans="1:14" x14ac:dyDescent="0.3">
      <c r="A913" t="s">
        <v>956</v>
      </c>
      <c r="B913" t="s">
        <v>34</v>
      </c>
      <c r="C913" t="s">
        <v>35</v>
      </c>
      <c r="D913" t="s">
        <v>40</v>
      </c>
      <c r="E913" t="s">
        <v>41</v>
      </c>
      <c r="F913">
        <v>317</v>
      </c>
      <c r="G913" s="3">
        <v>431.74</v>
      </c>
      <c r="H913" s="1">
        <v>45784</v>
      </c>
      <c r="I913" s="1">
        <v>45790</v>
      </c>
      <c r="J913" s="3">
        <v>57.92</v>
      </c>
      <c r="K913" s="2">
        <f>Table4[[#This Row],[Stock-Quantity]]*Table4[[#This Row],[Unit-Price]]</f>
        <v>136861.58000000002</v>
      </c>
      <c r="L913" s="2">
        <f>Table4[[#This Row],[Stock-Quantity]]*Table4[[#This Row],[Margin-Unit]]</f>
        <v>18360.64</v>
      </c>
      <c r="M913">
        <f>Table4[[#This Row],[Date-Sales]]-Table4[[#This Row],[Date-Received]]</f>
        <v>6</v>
      </c>
      <c r="N913" s="6">
        <f>Table4[[#This Row],[Margin-Unit]]/Table4[[#This Row],[Unit-Price]]</f>
        <v>0.1341548153981563</v>
      </c>
    </row>
    <row r="914" spans="1:14" x14ac:dyDescent="0.3">
      <c r="A914" t="s">
        <v>957</v>
      </c>
      <c r="B914" t="s">
        <v>16</v>
      </c>
      <c r="C914" t="s">
        <v>17</v>
      </c>
      <c r="D914" t="s">
        <v>25</v>
      </c>
      <c r="E914" t="s">
        <v>26</v>
      </c>
      <c r="F914">
        <v>490</v>
      </c>
      <c r="G914" s="3">
        <v>153.51</v>
      </c>
      <c r="H914" s="1">
        <v>45687</v>
      </c>
      <c r="I914" s="1">
        <v>45707</v>
      </c>
      <c r="J914" s="3">
        <v>41.52</v>
      </c>
      <c r="K914" s="2">
        <f>Table4[[#This Row],[Stock-Quantity]]*Table4[[#This Row],[Unit-Price]]</f>
        <v>75219.899999999994</v>
      </c>
      <c r="L914" s="2">
        <f>Table4[[#This Row],[Stock-Quantity]]*Table4[[#This Row],[Margin-Unit]]</f>
        <v>20344.800000000003</v>
      </c>
      <c r="M914">
        <f>Table4[[#This Row],[Date-Sales]]-Table4[[#This Row],[Date-Received]]</f>
        <v>20</v>
      </c>
      <c r="N914" s="6">
        <f>Table4[[#This Row],[Margin-Unit]]/Table4[[#This Row],[Unit-Price]]</f>
        <v>0.27047097908931017</v>
      </c>
    </row>
    <row r="915" spans="1:14" x14ac:dyDescent="0.3">
      <c r="A915" t="s">
        <v>958</v>
      </c>
      <c r="B915" t="s">
        <v>70</v>
      </c>
      <c r="C915" t="s">
        <v>35</v>
      </c>
      <c r="D915" t="s">
        <v>18</v>
      </c>
      <c r="E915" t="s">
        <v>19</v>
      </c>
      <c r="F915">
        <v>18</v>
      </c>
      <c r="G915" s="3">
        <v>411.53</v>
      </c>
      <c r="H915" s="1">
        <v>45682</v>
      </c>
      <c r="I915" s="1">
        <v>45703</v>
      </c>
      <c r="J915" s="3">
        <v>113.29</v>
      </c>
      <c r="K915" s="2">
        <f>Table4[[#This Row],[Stock-Quantity]]*Table4[[#This Row],[Unit-Price]]</f>
        <v>7407.5399999999991</v>
      </c>
      <c r="L915" s="2">
        <f>Table4[[#This Row],[Stock-Quantity]]*Table4[[#This Row],[Margin-Unit]]</f>
        <v>2039.22</v>
      </c>
      <c r="M915">
        <f>Table4[[#This Row],[Date-Sales]]-Table4[[#This Row],[Date-Received]]</f>
        <v>21</v>
      </c>
      <c r="N915" s="6">
        <f>Table4[[#This Row],[Margin-Unit]]/Table4[[#This Row],[Unit-Price]]</f>
        <v>0.27528977231307561</v>
      </c>
    </row>
    <row r="916" spans="1:14" x14ac:dyDescent="0.3">
      <c r="A916" t="s">
        <v>959</v>
      </c>
      <c r="B916" t="s">
        <v>34</v>
      </c>
      <c r="C916" t="s">
        <v>35</v>
      </c>
      <c r="D916" t="s">
        <v>13</v>
      </c>
      <c r="E916" t="s">
        <v>14</v>
      </c>
      <c r="F916">
        <v>231</v>
      </c>
      <c r="G916" s="3">
        <v>498.4</v>
      </c>
      <c r="H916" s="1">
        <v>45792</v>
      </c>
      <c r="I916" s="1">
        <v>45794</v>
      </c>
      <c r="J916" s="3">
        <v>79.53</v>
      </c>
      <c r="K916" s="2">
        <f>Table4[[#This Row],[Stock-Quantity]]*Table4[[#This Row],[Unit-Price]]</f>
        <v>115130.4</v>
      </c>
      <c r="L916" s="2">
        <f>Table4[[#This Row],[Stock-Quantity]]*Table4[[#This Row],[Margin-Unit]]</f>
        <v>18371.43</v>
      </c>
      <c r="M916">
        <f>Table4[[#This Row],[Date-Sales]]-Table4[[#This Row],[Date-Received]]</f>
        <v>2</v>
      </c>
      <c r="N916" s="6">
        <f>Table4[[#This Row],[Margin-Unit]]/Table4[[#This Row],[Unit-Price]]</f>
        <v>0.15957062600321029</v>
      </c>
    </row>
    <row r="917" spans="1:14" x14ac:dyDescent="0.3">
      <c r="A917" t="s">
        <v>960</v>
      </c>
      <c r="B917" t="s">
        <v>52</v>
      </c>
      <c r="C917" t="s">
        <v>12</v>
      </c>
      <c r="D917" t="s">
        <v>30</v>
      </c>
      <c r="E917" t="s">
        <v>31</v>
      </c>
      <c r="F917">
        <v>143</v>
      </c>
      <c r="G917" s="3">
        <v>341.58</v>
      </c>
      <c r="H917" s="1">
        <v>45673</v>
      </c>
      <c r="I917" s="1">
        <v>45697</v>
      </c>
      <c r="J917" s="3">
        <v>64.3</v>
      </c>
      <c r="K917" s="2">
        <f>Table4[[#This Row],[Stock-Quantity]]*Table4[[#This Row],[Unit-Price]]</f>
        <v>48845.939999999995</v>
      </c>
      <c r="L917" s="2">
        <f>Table4[[#This Row],[Stock-Quantity]]*Table4[[#This Row],[Margin-Unit]]</f>
        <v>9194.9</v>
      </c>
      <c r="M917">
        <f>Table4[[#This Row],[Date-Sales]]-Table4[[#This Row],[Date-Received]]</f>
        <v>24</v>
      </c>
      <c r="N917" s="6">
        <f>Table4[[#This Row],[Margin-Unit]]/Table4[[#This Row],[Unit-Price]]</f>
        <v>0.18824287136249196</v>
      </c>
    </row>
    <row r="918" spans="1:14" x14ac:dyDescent="0.3">
      <c r="A918" t="s">
        <v>961</v>
      </c>
      <c r="B918" t="s">
        <v>74</v>
      </c>
      <c r="C918" t="s">
        <v>29</v>
      </c>
      <c r="D918" t="s">
        <v>13</v>
      </c>
      <c r="E918" t="s">
        <v>14</v>
      </c>
      <c r="F918">
        <v>443</v>
      </c>
      <c r="G918" s="3">
        <v>451.43</v>
      </c>
      <c r="H918" s="1">
        <v>45687</v>
      </c>
      <c r="I918" s="1">
        <v>45695</v>
      </c>
      <c r="J918" s="3">
        <v>132.75</v>
      </c>
      <c r="K918" s="2">
        <f>Table4[[#This Row],[Stock-Quantity]]*Table4[[#This Row],[Unit-Price]]</f>
        <v>199983.49</v>
      </c>
      <c r="L918" s="2">
        <f>Table4[[#This Row],[Stock-Quantity]]*Table4[[#This Row],[Margin-Unit]]</f>
        <v>58808.25</v>
      </c>
      <c r="M918">
        <f>Table4[[#This Row],[Date-Sales]]-Table4[[#This Row],[Date-Received]]</f>
        <v>8</v>
      </c>
      <c r="N918" s="6">
        <f>Table4[[#This Row],[Margin-Unit]]/Table4[[#This Row],[Unit-Price]]</f>
        <v>0.29406552510909773</v>
      </c>
    </row>
    <row r="919" spans="1:14" x14ac:dyDescent="0.3">
      <c r="A919" t="s">
        <v>962</v>
      </c>
      <c r="B919" t="s">
        <v>39</v>
      </c>
      <c r="C919" t="s">
        <v>12</v>
      </c>
      <c r="D919" t="s">
        <v>13</v>
      </c>
      <c r="E919" t="s">
        <v>14</v>
      </c>
      <c r="F919">
        <v>187</v>
      </c>
      <c r="G919" s="3">
        <v>389.59</v>
      </c>
      <c r="H919" s="1">
        <v>45711</v>
      </c>
      <c r="I919" s="1">
        <v>45717</v>
      </c>
      <c r="J919" s="3">
        <v>102.05</v>
      </c>
      <c r="K919" s="2">
        <f>Table4[[#This Row],[Stock-Quantity]]*Table4[[#This Row],[Unit-Price]]</f>
        <v>72853.33</v>
      </c>
      <c r="L919" s="2">
        <f>Table4[[#This Row],[Stock-Quantity]]*Table4[[#This Row],[Margin-Unit]]</f>
        <v>19083.349999999999</v>
      </c>
      <c r="M919">
        <f>Table4[[#This Row],[Date-Sales]]-Table4[[#This Row],[Date-Received]]</f>
        <v>6</v>
      </c>
      <c r="N919" s="6">
        <f>Table4[[#This Row],[Margin-Unit]]/Table4[[#This Row],[Unit-Price]]</f>
        <v>0.26194204163351215</v>
      </c>
    </row>
    <row r="920" spans="1:14" x14ac:dyDescent="0.3">
      <c r="A920" t="s">
        <v>963</v>
      </c>
      <c r="B920" t="s">
        <v>28</v>
      </c>
      <c r="C920" t="s">
        <v>29</v>
      </c>
      <c r="D920" t="s">
        <v>30</v>
      </c>
      <c r="E920" t="s">
        <v>31</v>
      </c>
      <c r="F920">
        <v>387</v>
      </c>
      <c r="G920" s="3">
        <v>432.74</v>
      </c>
      <c r="H920" s="1">
        <v>45762</v>
      </c>
      <c r="I920" s="1">
        <v>45768</v>
      </c>
      <c r="J920" s="3">
        <v>77.69</v>
      </c>
      <c r="K920" s="2">
        <f>Table4[[#This Row],[Stock-Quantity]]*Table4[[#This Row],[Unit-Price]]</f>
        <v>167470.38</v>
      </c>
      <c r="L920" s="2">
        <f>Table4[[#This Row],[Stock-Quantity]]*Table4[[#This Row],[Margin-Unit]]</f>
        <v>30066.03</v>
      </c>
      <c r="M920">
        <f>Table4[[#This Row],[Date-Sales]]-Table4[[#This Row],[Date-Received]]</f>
        <v>6</v>
      </c>
      <c r="N920" s="6">
        <f>Table4[[#This Row],[Margin-Unit]]/Table4[[#This Row],[Unit-Price]]</f>
        <v>0.17953043397883256</v>
      </c>
    </row>
    <row r="921" spans="1:14" x14ac:dyDescent="0.3">
      <c r="A921" t="s">
        <v>964</v>
      </c>
      <c r="B921" t="s">
        <v>80</v>
      </c>
      <c r="C921" t="s">
        <v>29</v>
      </c>
      <c r="D921" t="s">
        <v>40</v>
      </c>
      <c r="E921" t="s">
        <v>41</v>
      </c>
      <c r="F921">
        <v>406</v>
      </c>
      <c r="G921" s="3">
        <v>157.03</v>
      </c>
      <c r="H921" s="1">
        <v>45705</v>
      </c>
      <c r="I921" s="1">
        <v>45712</v>
      </c>
      <c r="J921" s="3">
        <v>22.05</v>
      </c>
      <c r="K921" s="2">
        <f>Table4[[#This Row],[Stock-Quantity]]*Table4[[#This Row],[Unit-Price]]</f>
        <v>63754.18</v>
      </c>
      <c r="L921" s="2">
        <f>Table4[[#This Row],[Stock-Quantity]]*Table4[[#This Row],[Margin-Unit]]</f>
        <v>8952.3000000000011</v>
      </c>
      <c r="M921">
        <f>Table4[[#This Row],[Date-Sales]]-Table4[[#This Row],[Date-Received]]</f>
        <v>7</v>
      </c>
      <c r="N921" s="6">
        <f>Table4[[#This Row],[Margin-Unit]]/Table4[[#This Row],[Unit-Price]]</f>
        <v>0.14041902821116983</v>
      </c>
    </row>
    <row r="922" spans="1:14" x14ac:dyDescent="0.3">
      <c r="A922" t="s">
        <v>965</v>
      </c>
      <c r="B922" t="s">
        <v>24</v>
      </c>
      <c r="C922" t="s">
        <v>22</v>
      </c>
      <c r="D922" t="s">
        <v>30</v>
      </c>
      <c r="E922" t="s">
        <v>31</v>
      </c>
      <c r="F922">
        <v>474</v>
      </c>
      <c r="G922" s="3">
        <v>222.28</v>
      </c>
      <c r="H922" s="1">
        <v>45787</v>
      </c>
      <c r="I922" s="1">
        <v>45799</v>
      </c>
      <c r="J922" s="3">
        <v>38.43</v>
      </c>
      <c r="K922" s="2">
        <f>Table4[[#This Row],[Stock-Quantity]]*Table4[[#This Row],[Unit-Price]]</f>
        <v>105360.72</v>
      </c>
      <c r="L922" s="2">
        <f>Table4[[#This Row],[Stock-Quantity]]*Table4[[#This Row],[Margin-Unit]]</f>
        <v>18215.82</v>
      </c>
      <c r="M922">
        <f>Table4[[#This Row],[Date-Sales]]-Table4[[#This Row],[Date-Received]]</f>
        <v>12</v>
      </c>
      <c r="N922" s="6">
        <f>Table4[[#This Row],[Margin-Unit]]/Table4[[#This Row],[Unit-Price]]</f>
        <v>0.17289004858736728</v>
      </c>
    </row>
    <row r="923" spans="1:14" x14ac:dyDescent="0.3">
      <c r="A923" t="s">
        <v>966</v>
      </c>
      <c r="B923" t="s">
        <v>52</v>
      </c>
      <c r="C923" t="s">
        <v>12</v>
      </c>
      <c r="D923" t="s">
        <v>30</v>
      </c>
      <c r="E923" t="s">
        <v>31</v>
      </c>
      <c r="F923">
        <v>392</v>
      </c>
      <c r="G923" s="3">
        <v>111.21</v>
      </c>
      <c r="H923" s="1">
        <v>45771</v>
      </c>
      <c r="I923" s="1">
        <v>45786</v>
      </c>
      <c r="J923" s="3">
        <v>21.69</v>
      </c>
      <c r="K923" s="2">
        <f>Table4[[#This Row],[Stock-Quantity]]*Table4[[#This Row],[Unit-Price]]</f>
        <v>43594.32</v>
      </c>
      <c r="L923" s="2">
        <f>Table4[[#This Row],[Stock-Quantity]]*Table4[[#This Row],[Margin-Unit]]</f>
        <v>8502.4800000000014</v>
      </c>
      <c r="M923">
        <f>Table4[[#This Row],[Date-Sales]]-Table4[[#This Row],[Date-Received]]</f>
        <v>15</v>
      </c>
      <c r="N923" s="6">
        <f>Table4[[#This Row],[Margin-Unit]]/Table4[[#This Row],[Unit-Price]]</f>
        <v>0.19503641758834639</v>
      </c>
    </row>
    <row r="924" spans="1:14" x14ac:dyDescent="0.3">
      <c r="A924" t="s">
        <v>967</v>
      </c>
      <c r="B924" t="s">
        <v>21</v>
      </c>
      <c r="C924" t="s">
        <v>22</v>
      </c>
      <c r="D924" t="s">
        <v>18</v>
      </c>
      <c r="E924" t="s">
        <v>19</v>
      </c>
      <c r="F924">
        <v>98</v>
      </c>
      <c r="G924" s="3">
        <v>282.51</v>
      </c>
      <c r="H924" s="1">
        <v>45813</v>
      </c>
      <c r="I924" s="1">
        <v>45834</v>
      </c>
      <c r="J924" s="3">
        <v>74.819999999999993</v>
      </c>
      <c r="K924" s="2">
        <f>Table4[[#This Row],[Stock-Quantity]]*Table4[[#This Row],[Unit-Price]]</f>
        <v>27685.98</v>
      </c>
      <c r="L924" s="2">
        <f>Table4[[#This Row],[Stock-Quantity]]*Table4[[#This Row],[Margin-Unit]]</f>
        <v>7332.36</v>
      </c>
      <c r="M924">
        <f>Table4[[#This Row],[Date-Sales]]-Table4[[#This Row],[Date-Received]]</f>
        <v>21</v>
      </c>
      <c r="N924" s="6">
        <f>Table4[[#This Row],[Margin-Unit]]/Table4[[#This Row],[Unit-Price]]</f>
        <v>0.26484018264840181</v>
      </c>
    </row>
    <row r="925" spans="1:14" x14ac:dyDescent="0.3">
      <c r="A925" t="s">
        <v>968</v>
      </c>
      <c r="B925" t="s">
        <v>28</v>
      </c>
      <c r="C925" t="s">
        <v>29</v>
      </c>
      <c r="D925" t="s">
        <v>25</v>
      </c>
      <c r="E925" t="s">
        <v>26</v>
      </c>
      <c r="F925">
        <v>154</v>
      </c>
      <c r="G925" s="3">
        <v>66.77</v>
      </c>
      <c r="H925" s="1">
        <v>45836</v>
      </c>
      <c r="I925" s="1">
        <v>45866</v>
      </c>
      <c r="J925" s="3">
        <v>7.53</v>
      </c>
      <c r="K925" s="2">
        <f>Table4[[#This Row],[Stock-Quantity]]*Table4[[#This Row],[Unit-Price]]</f>
        <v>10282.58</v>
      </c>
      <c r="L925" s="2">
        <f>Table4[[#This Row],[Stock-Quantity]]*Table4[[#This Row],[Margin-Unit]]</f>
        <v>1159.6200000000001</v>
      </c>
      <c r="M925">
        <f>Table4[[#This Row],[Date-Sales]]-Table4[[#This Row],[Date-Received]]</f>
        <v>30</v>
      </c>
      <c r="N925" s="6">
        <f>Table4[[#This Row],[Margin-Unit]]/Table4[[#This Row],[Unit-Price]]</f>
        <v>0.11277519844241427</v>
      </c>
    </row>
    <row r="926" spans="1:14" x14ac:dyDescent="0.3">
      <c r="A926" t="s">
        <v>969</v>
      </c>
      <c r="B926" t="s">
        <v>63</v>
      </c>
      <c r="C926" t="s">
        <v>35</v>
      </c>
      <c r="D926" t="s">
        <v>40</v>
      </c>
      <c r="E926" t="s">
        <v>41</v>
      </c>
      <c r="F926">
        <v>241</v>
      </c>
      <c r="G926" s="3">
        <v>75.62</v>
      </c>
      <c r="H926" s="1">
        <v>45755</v>
      </c>
      <c r="I926" s="1">
        <v>45776</v>
      </c>
      <c r="J926" s="3">
        <v>11.11</v>
      </c>
      <c r="K926" s="2">
        <f>Table4[[#This Row],[Stock-Quantity]]*Table4[[#This Row],[Unit-Price]]</f>
        <v>18224.420000000002</v>
      </c>
      <c r="L926" s="2">
        <f>Table4[[#This Row],[Stock-Quantity]]*Table4[[#This Row],[Margin-Unit]]</f>
        <v>2677.5099999999998</v>
      </c>
      <c r="M926">
        <f>Table4[[#This Row],[Date-Sales]]-Table4[[#This Row],[Date-Received]]</f>
        <v>21</v>
      </c>
      <c r="N926" s="6">
        <f>Table4[[#This Row],[Margin-Unit]]/Table4[[#This Row],[Unit-Price]]</f>
        <v>0.14691880454906109</v>
      </c>
    </row>
    <row r="927" spans="1:14" x14ac:dyDescent="0.3">
      <c r="A927" t="s">
        <v>970</v>
      </c>
      <c r="B927" t="s">
        <v>74</v>
      </c>
      <c r="C927" t="s">
        <v>29</v>
      </c>
      <c r="D927" t="s">
        <v>13</v>
      </c>
      <c r="E927" t="s">
        <v>14</v>
      </c>
      <c r="F927">
        <v>130</v>
      </c>
      <c r="G927" s="3">
        <v>30.65</v>
      </c>
      <c r="H927" s="1">
        <v>45720</v>
      </c>
      <c r="I927" s="1">
        <v>45733</v>
      </c>
      <c r="J927" s="3">
        <v>3.33</v>
      </c>
      <c r="K927" s="2">
        <f>Table4[[#This Row],[Stock-Quantity]]*Table4[[#This Row],[Unit-Price]]</f>
        <v>3984.5</v>
      </c>
      <c r="L927" s="2">
        <f>Table4[[#This Row],[Stock-Quantity]]*Table4[[#This Row],[Margin-Unit]]</f>
        <v>432.90000000000003</v>
      </c>
      <c r="M927">
        <f>Table4[[#This Row],[Date-Sales]]-Table4[[#This Row],[Date-Received]]</f>
        <v>13</v>
      </c>
      <c r="N927" s="6">
        <f>Table4[[#This Row],[Margin-Unit]]/Table4[[#This Row],[Unit-Price]]</f>
        <v>0.10864600326264275</v>
      </c>
    </row>
    <row r="928" spans="1:14" x14ac:dyDescent="0.3">
      <c r="A928" t="s">
        <v>971</v>
      </c>
      <c r="B928" t="s">
        <v>70</v>
      </c>
      <c r="C928" t="s">
        <v>35</v>
      </c>
      <c r="D928" t="s">
        <v>13</v>
      </c>
      <c r="E928" t="s">
        <v>14</v>
      </c>
      <c r="F928">
        <v>272</v>
      </c>
      <c r="G928" s="3">
        <v>202.26</v>
      </c>
      <c r="H928" s="1">
        <v>45830</v>
      </c>
      <c r="I928" s="1">
        <v>45841</v>
      </c>
      <c r="J928" s="3">
        <v>51.06</v>
      </c>
      <c r="K928" s="2">
        <f>Table4[[#This Row],[Stock-Quantity]]*Table4[[#This Row],[Unit-Price]]</f>
        <v>55014.720000000001</v>
      </c>
      <c r="L928" s="2">
        <f>Table4[[#This Row],[Stock-Quantity]]*Table4[[#This Row],[Margin-Unit]]</f>
        <v>13888.32</v>
      </c>
      <c r="M928">
        <f>Table4[[#This Row],[Date-Sales]]-Table4[[#This Row],[Date-Received]]</f>
        <v>11</v>
      </c>
      <c r="N928" s="6">
        <f>Table4[[#This Row],[Margin-Unit]]/Table4[[#This Row],[Unit-Price]]</f>
        <v>0.25244734500148325</v>
      </c>
    </row>
    <row r="929" spans="1:14" x14ac:dyDescent="0.3">
      <c r="A929" t="s">
        <v>972</v>
      </c>
      <c r="B929" t="s">
        <v>39</v>
      </c>
      <c r="C929" t="s">
        <v>12</v>
      </c>
      <c r="D929" t="s">
        <v>13</v>
      </c>
      <c r="E929" t="s">
        <v>14</v>
      </c>
      <c r="F929">
        <v>429</v>
      </c>
      <c r="G929" s="3">
        <v>31.22</v>
      </c>
      <c r="H929" s="1">
        <v>45749</v>
      </c>
      <c r="I929" s="1">
        <v>45771</v>
      </c>
      <c r="J929" s="3">
        <v>3.51</v>
      </c>
      <c r="K929" s="2">
        <f>Table4[[#This Row],[Stock-Quantity]]*Table4[[#This Row],[Unit-Price]]</f>
        <v>13393.38</v>
      </c>
      <c r="L929" s="2">
        <f>Table4[[#This Row],[Stock-Quantity]]*Table4[[#This Row],[Margin-Unit]]</f>
        <v>1505.79</v>
      </c>
      <c r="M929">
        <f>Table4[[#This Row],[Date-Sales]]-Table4[[#This Row],[Date-Received]]</f>
        <v>22</v>
      </c>
      <c r="N929" s="6">
        <f>Table4[[#This Row],[Margin-Unit]]/Table4[[#This Row],[Unit-Price]]</f>
        <v>0.11242793081358103</v>
      </c>
    </row>
    <row r="930" spans="1:14" x14ac:dyDescent="0.3">
      <c r="A930" t="s">
        <v>973</v>
      </c>
      <c r="B930" t="s">
        <v>74</v>
      </c>
      <c r="C930" t="s">
        <v>29</v>
      </c>
      <c r="D930" t="s">
        <v>18</v>
      </c>
      <c r="E930" t="s">
        <v>19</v>
      </c>
      <c r="F930">
        <v>426</v>
      </c>
      <c r="G930" s="3">
        <v>293.64999999999998</v>
      </c>
      <c r="H930" s="1">
        <v>45768</v>
      </c>
      <c r="I930" s="1">
        <v>45769</v>
      </c>
      <c r="J930" s="3">
        <v>56.04</v>
      </c>
      <c r="K930" s="2">
        <f>Table4[[#This Row],[Stock-Quantity]]*Table4[[#This Row],[Unit-Price]]</f>
        <v>125094.9</v>
      </c>
      <c r="L930" s="2">
        <f>Table4[[#This Row],[Stock-Quantity]]*Table4[[#This Row],[Margin-Unit]]</f>
        <v>23873.040000000001</v>
      </c>
      <c r="M930">
        <f>Table4[[#This Row],[Date-Sales]]-Table4[[#This Row],[Date-Received]]</f>
        <v>1</v>
      </c>
      <c r="N930" s="6">
        <f>Table4[[#This Row],[Margin-Unit]]/Table4[[#This Row],[Unit-Price]]</f>
        <v>0.19083943470117487</v>
      </c>
    </row>
    <row r="931" spans="1:14" x14ac:dyDescent="0.3">
      <c r="A931" t="s">
        <v>974</v>
      </c>
      <c r="B931" t="s">
        <v>63</v>
      </c>
      <c r="C931" t="s">
        <v>35</v>
      </c>
      <c r="D931" t="s">
        <v>30</v>
      </c>
      <c r="E931" t="s">
        <v>31</v>
      </c>
      <c r="F931">
        <v>59</v>
      </c>
      <c r="G931" s="3">
        <v>277.07</v>
      </c>
      <c r="H931" s="1">
        <v>45814</v>
      </c>
      <c r="I931" s="1">
        <v>45837</v>
      </c>
      <c r="J931" s="3">
        <v>82.57</v>
      </c>
      <c r="K931" s="2">
        <f>Table4[[#This Row],[Stock-Quantity]]*Table4[[#This Row],[Unit-Price]]</f>
        <v>16347.13</v>
      </c>
      <c r="L931" s="2">
        <f>Table4[[#This Row],[Stock-Quantity]]*Table4[[#This Row],[Margin-Unit]]</f>
        <v>4871.6299999999992</v>
      </c>
      <c r="M931">
        <f>Table4[[#This Row],[Date-Sales]]-Table4[[#This Row],[Date-Received]]</f>
        <v>23</v>
      </c>
      <c r="N931" s="6">
        <f>Table4[[#This Row],[Margin-Unit]]/Table4[[#This Row],[Unit-Price]]</f>
        <v>0.29801133287616843</v>
      </c>
    </row>
    <row r="932" spans="1:14" x14ac:dyDescent="0.3">
      <c r="A932" t="s">
        <v>975</v>
      </c>
      <c r="B932" t="s">
        <v>16</v>
      </c>
      <c r="C932" t="s">
        <v>17</v>
      </c>
      <c r="D932" t="s">
        <v>13</v>
      </c>
      <c r="E932" t="s">
        <v>14</v>
      </c>
      <c r="F932">
        <v>335</v>
      </c>
      <c r="G932" s="3">
        <v>256.57</v>
      </c>
      <c r="H932" s="1">
        <v>45674</v>
      </c>
      <c r="I932" s="1">
        <v>45681</v>
      </c>
      <c r="J932" s="3">
        <v>46.85</v>
      </c>
      <c r="K932" s="2">
        <f>Table4[[#This Row],[Stock-Quantity]]*Table4[[#This Row],[Unit-Price]]</f>
        <v>85950.95</v>
      </c>
      <c r="L932" s="2">
        <f>Table4[[#This Row],[Stock-Quantity]]*Table4[[#This Row],[Margin-Unit]]</f>
        <v>15694.75</v>
      </c>
      <c r="M932">
        <f>Table4[[#This Row],[Date-Sales]]-Table4[[#This Row],[Date-Received]]</f>
        <v>7</v>
      </c>
      <c r="N932" s="6">
        <f>Table4[[#This Row],[Margin-Unit]]/Table4[[#This Row],[Unit-Price]]</f>
        <v>0.18260123942783646</v>
      </c>
    </row>
    <row r="933" spans="1:14" x14ac:dyDescent="0.3">
      <c r="A933" t="s">
        <v>976</v>
      </c>
      <c r="B933" t="s">
        <v>47</v>
      </c>
      <c r="C933" t="s">
        <v>17</v>
      </c>
      <c r="D933" t="s">
        <v>40</v>
      </c>
      <c r="E933" t="s">
        <v>41</v>
      </c>
      <c r="F933">
        <v>365</v>
      </c>
      <c r="G933" s="3">
        <v>169.22</v>
      </c>
      <c r="H933" s="1">
        <v>45829</v>
      </c>
      <c r="I933" s="1">
        <v>45844</v>
      </c>
      <c r="J933" s="3">
        <v>23.35</v>
      </c>
      <c r="K933" s="2">
        <f>Table4[[#This Row],[Stock-Quantity]]*Table4[[#This Row],[Unit-Price]]</f>
        <v>61765.3</v>
      </c>
      <c r="L933" s="2">
        <f>Table4[[#This Row],[Stock-Quantity]]*Table4[[#This Row],[Margin-Unit]]</f>
        <v>8522.75</v>
      </c>
      <c r="M933">
        <f>Table4[[#This Row],[Date-Sales]]-Table4[[#This Row],[Date-Received]]</f>
        <v>15</v>
      </c>
      <c r="N933" s="6">
        <f>Table4[[#This Row],[Margin-Unit]]/Table4[[#This Row],[Unit-Price]]</f>
        <v>0.13798605365796007</v>
      </c>
    </row>
    <row r="934" spans="1:14" x14ac:dyDescent="0.3">
      <c r="A934" t="s">
        <v>977</v>
      </c>
      <c r="B934" t="s">
        <v>94</v>
      </c>
      <c r="C934" t="s">
        <v>29</v>
      </c>
      <c r="D934" t="s">
        <v>13</v>
      </c>
      <c r="E934" t="s">
        <v>14</v>
      </c>
      <c r="F934">
        <v>55</v>
      </c>
      <c r="G934" s="3">
        <v>482.94</v>
      </c>
      <c r="H934" s="1">
        <v>45663</v>
      </c>
      <c r="I934" s="1">
        <v>45673</v>
      </c>
      <c r="J934" s="3">
        <v>50.79</v>
      </c>
      <c r="K934" s="2">
        <f>Table4[[#This Row],[Stock-Quantity]]*Table4[[#This Row],[Unit-Price]]</f>
        <v>26561.7</v>
      </c>
      <c r="L934" s="2">
        <f>Table4[[#This Row],[Stock-Quantity]]*Table4[[#This Row],[Margin-Unit]]</f>
        <v>2793.45</v>
      </c>
      <c r="M934">
        <f>Table4[[#This Row],[Date-Sales]]-Table4[[#This Row],[Date-Received]]</f>
        <v>10</v>
      </c>
      <c r="N934" s="6">
        <f>Table4[[#This Row],[Margin-Unit]]/Table4[[#This Row],[Unit-Price]]</f>
        <v>0.10516834389365139</v>
      </c>
    </row>
    <row r="935" spans="1:14" x14ac:dyDescent="0.3">
      <c r="A935" t="s">
        <v>978</v>
      </c>
      <c r="B935" t="s">
        <v>63</v>
      </c>
      <c r="C935" t="s">
        <v>35</v>
      </c>
      <c r="D935" t="s">
        <v>25</v>
      </c>
      <c r="E935" t="s">
        <v>26</v>
      </c>
      <c r="F935">
        <v>352</v>
      </c>
      <c r="G935" s="3">
        <v>341.25</v>
      </c>
      <c r="H935" s="1">
        <v>45733</v>
      </c>
      <c r="I935" s="1">
        <v>45739</v>
      </c>
      <c r="J935" s="3">
        <v>88.26</v>
      </c>
      <c r="K935" s="2">
        <f>Table4[[#This Row],[Stock-Quantity]]*Table4[[#This Row],[Unit-Price]]</f>
        <v>120120</v>
      </c>
      <c r="L935" s="2">
        <f>Table4[[#This Row],[Stock-Quantity]]*Table4[[#This Row],[Margin-Unit]]</f>
        <v>31067.52</v>
      </c>
      <c r="M935">
        <f>Table4[[#This Row],[Date-Sales]]-Table4[[#This Row],[Date-Received]]</f>
        <v>6</v>
      </c>
      <c r="N935" s="6">
        <f>Table4[[#This Row],[Margin-Unit]]/Table4[[#This Row],[Unit-Price]]</f>
        <v>0.25863736263736264</v>
      </c>
    </row>
    <row r="936" spans="1:14" x14ac:dyDescent="0.3">
      <c r="A936" t="s">
        <v>979</v>
      </c>
      <c r="B936" t="s">
        <v>50</v>
      </c>
      <c r="C936" t="s">
        <v>17</v>
      </c>
      <c r="D936" t="s">
        <v>40</v>
      </c>
      <c r="E936" t="s">
        <v>41</v>
      </c>
      <c r="F936">
        <v>153</v>
      </c>
      <c r="G936" s="3">
        <v>19.73</v>
      </c>
      <c r="H936" s="1">
        <v>45765</v>
      </c>
      <c r="I936" s="1">
        <v>45781</v>
      </c>
      <c r="J936" s="3">
        <v>4.25</v>
      </c>
      <c r="K936" s="2">
        <f>Table4[[#This Row],[Stock-Quantity]]*Table4[[#This Row],[Unit-Price]]</f>
        <v>3018.69</v>
      </c>
      <c r="L936" s="2">
        <f>Table4[[#This Row],[Stock-Quantity]]*Table4[[#This Row],[Margin-Unit]]</f>
        <v>650.25</v>
      </c>
      <c r="M936">
        <f>Table4[[#This Row],[Date-Sales]]-Table4[[#This Row],[Date-Received]]</f>
        <v>16</v>
      </c>
      <c r="N936" s="6">
        <f>Table4[[#This Row],[Margin-Unit]]/Table4[[#This Row],[Unit-Price]]</f>
        <v>0.21540800810947794</v>
      </c>
    </row>
    <row r="937" spans="1:14" x14ac:dyDescent="0.3">
      <c r="A937" t="s">
        <v>980</v>
      </c>
      <c r="B937" t="s">
        <v>39</v>
      </c>
      <c r="C937" t="s">
        <v>12</v>
      </c>
      <c r="D937" t="s">
        <v>13</v>
      </c>
      <c r="E937" t="s">
        <v>14</v>
      </c>
      <c r="F937">
        <v>60</v>
      </c>
      <c r="G937" s="3">
        <v>435.87</v>
      </c>
      <c r="H937" s="1">
        <v>45831</v>
      </c>
      <c r="I937" s="1">
        <v>45836</v>
      </c>
      <c r="J937" s="3">
        <v>108.95</v>
      </c>
      <c r="K937" s="2">
        <f>Table4[[#This Row],[Stock-Quantity]]*Table4[[#This Row],[Unit-Price]]</f>
        <v>26152.2</v>
      </c>
      <c r="L937" s="2">
        <f>Table4[[#This Row],[Stock-Quantity]]*Table4[[#This Row],[Margin-Unit]]</f>
        <v>6537</v>
      </c>
      <c r="M937">
        <f>Table4[[#This Row],[Date-Sales]]-Table4[[#This Row],[Date-Received]]</f>
        <v>5</v>
      </c>
      <c r="N937" s="6">
        <f>Table4[[#This Row],[Margin-Unit]]/Table4[[#This Row],[Unit-Price]]</f>
        <v>0.24995985041411431</v>
      </c>
    </row>
    <row r="938" spans="1:14" x14ac:dyDescent="0.3">
      <c r="A938" t="s">
        <v>981</v>
      </c>
      <c r="B938" t="s">
        <v>116</v>
      </c>
      <c r="C938" t="s">
        <v>12</v>
      </c>
      <c r="D938" t="s">
        <v>30</v>
      </c>
      <c r="E938" t="s">
        <v>31</v>
      </c>
      <c r="F938">
        <v>458</v>
      </c>
      <c r="G938" s="3">
        <v>176.16</v>
      </c>
      <c r="H938" s="1">
        <v>45676</v>
      </c>
      <c r="I938" s="1">
        <v>45697</v>
      </c>
      <c r="J938" s="3">
        <v>24.29</v>
      </c>
      <c r="K938" s="2">
        <f>Table4[[#This Row],[Stock-Quantity]]*Table4[[#This Row],[Unit-Price]]</f>
        <v>80681.279999999999</v>
      </c>
      <c r="L938" s="2">
        <f>Table4[[#This Row],[Stock-Quantity]]*Table4[[#This Row],[Margin-Unit]]</f>
        <v>11124.82</v>
      </c>
      <c r="M938">
        <f>Table4[[#This Row],[Date-Sales]]-Table4[[#This Row],[Date-Received]]</f>
        <v>21</v>
      </c>
      <c r="N938" s="6">
        <f>Table4[[#This Row],[Margin-Unit]]/Table4[[#This Row],[Unit-Price]]</f>
        <v>0.13788601271571299</v>
      </c>
    </row>
    <row r="939" spans="1:14" x14ac:dyDescent="0.3">
      <c r="A939" t="s">
        <v>982</v>
      </c>
      <c r="B939" t="s">
        <v>47</v>
      </c>
      <c r="C939" t="s">
        <v>17</v>
      </c>
      <c r="D939" t="s">
        <v>18</v>
      </c>
      <c r="E939" t="s">
        <v>19</v>
      </c>
      <c r="F939">
        <v>130</v>
      </c>
      <c r="G939" s="3">
        <v>168.69</v>
      </c>
      <c r="H939" s="1">
        <v>45809</v>
      </c>
      <c r="I939" s="1">
        <v>45811</v>
      </c>
      <c r="J939" s="3">
        <v>35.25</v>
      </c>
      <c r="K939" s="2">
        <f>Table4[[#This Row],[Stock-Quantity]]*Table4[[#This Row],[Unit-Price]]</f>
        <v>21929.7</v>
      </c>
      <c r="L939" s="2">
        <f>Table4[[#This Row],[Stock-Quantity]]*Table4[[#This Row],[Margin-Unit]]</f>
        <v>4582.5</v>
      </c>
      <c r="M939">
        <f>Table4[[#This Row],[Date-Sales]]-Table4[[#This Row],[Date-Received]]</f>
        <v>2</v>
      </c>
      <c r="N939" s="6">
        <f>Table4[[#This Row],[Margin-Unit]]/Table4[[#This Row],[Unit-Price]]</f>
        <v>0.20896318691090165</v>
      </c>
    </row>
    <row r="940" spans="1:14" x14ac:dyDescent="0.3">
      <c r="A940" t="s">
        <v>983</v>
      </c>
      <c r="B940" t="s">
        <v>21</v>
      </c>
      <c r="C940" t="s">
        <v>22</v>
      </c>
      <c r="D940" t="s">
        <v>25</v>
      </c>
      <c r="E940" t="s">
        <v>26</v>
      </c>
      <c r="F940">
        <v>78</v>
      </c>
      <c r="G940" s="3">
        <v>379.41</v>
      </c>
      <c r="H940" s="1">
        <v>45747</v>
      </c>
      <c r="I940" s="1">
        <v>45752</v>
      </c>
      <c r="J940" s="3">
        <v>67.099999999999994</v>
      </c>
      <c r="K940" s="2">
        <f>Table4[[#This Row],[Stock-Quantity]]*Table4[[#This Row],[Unit-Price]]</f>
        <v>29593.980000000003</v>
      </c>
      <c r="L940" s="2">
        <f>Table4[[#This Row],[Stock-Quantity]]*Table4[[#This Row],[Margin-Unit]]</f>
        <v>5233.7999999999993</v>
      </c>
      <c r="M940">
        <f>Table4[[#This Row],[Date-Sales]]-Table4[[#This Row],[Date-Received]]</f>
        <v>5</v>
      </c>
      <c r="N940" s="6">
        <f>Table4[[#This Row],[Margin-Unit]]/Table4[[#This Row],[Unit-Price]]</f>
        <v>0.17685353575287943</v>
      </c>
    </row>
    <row r="941" spans="1:14" x14ac:dyDescent="0.3">
      <c r="A941" t="s">
        <v>984</v>
      </c>
      <c r="B941" t="s">
        <v>43</v>
      </c>
      <c r="C941" t="s">
        <v>35</v>
      </c>
      <c r="D941" t="s">
        <v>30</v>
      </c>
      <c r="E941" t="s">
        <v>31</v>
      </c>
      <c r="F941">
        <v>151</v>
      </c>
      <c r="G941" s="3">
        <v>303.07</v>
      </c>
      <c r="H941" s="1">
        <v>45750</v>
      </c>
      <c r="I941" s="1">
        <v>45764</v>
      </c>
      <c r="J941" s="3">
        <v>72.31</v>
      </c>
      <c r="K941" s="2">
        <f>Table4[[#This Row],[Stock-Quantity]]*Table4[[#This Row],[Unit-Price]]</f>
        <v>45763.57</v>
      </c>
      <c r="L941" s="2">
        <f>Table4[[#This Row],[Stock-Quantity]]*Table4[[#This Row],[Margin-Unit]]</f>
        <v>10918.81</v>
      </c>
      <c r="M941">
        <f>Table4[[#This Row],[Date-Sales]]-Table4[[#This Row],[Date-Received]]</f>
        <v>14</v>
      </c>
      <c r="N941" s="6">
        <f>Table4[[#This Row],[Margin-Unit]]/Table4[[#This Row],[Unit-Price]]</f>
        <v>0.23859174448147294</v>
      </c>
    </row>
    <row r="942" spans="1:14" x14ac:dyDescent="0.3">
      <c r="A942" t="s">
        <v>985</v>
      </c>
      <c r="B942" t="s">
        <v>52</v>
      </c>
      <c r="C942" t="s">
        <v>12</v>
      </c>
      <c r="D942" t="s">
        <v>30</v>
      </c>
      <c r="E942" t="s">
        <v>31</v>
      </c>
      <c r="F942">
        <v>413</v>
      </c>
      <c r="G942" s="3">
        <v>181.83</v>
      </c>
      <c r="H942" s="1">
        <v>45759</v>
      </c>
      <c r="I942" s="1">
        <v>45764</v>
      </c>
      <c r="J942" s="3">
        <v>50.23</v>
      </c>
      <c r="K942" s="2">
        <f>Table4[[#This Row],[Stock-Quantity]]*Table4[[#This Row],[Unit-Price]]</f>
        <v>75095.790000000008</v>
      </c>
      <c r="L942" s="2">
        <f>Table4[[#This Row],[Stock-Quantity]]*Table4[[#This Row],[Margin-Unit]]</f>
        <v>20744.989999999998</v>
      </c>
      <c r="M942">
        <f>Table4[[#This Row],[Date-Sales]]-Table4[[#This Row],[Date-Received]]</f>
        <v>5</v>
      </c>
      <c r="N942" s="6">
        <f>Table4[[#This Row],[Margin-Unit]]/Table4[[#This Row],[Unit-Price]]</f>
        <v>0.27624704394214372</v>
      </c>
    </row>
    <row r="943" spans="1:14" x14ac:dyDescent="0.3">
      <c r="A943" t="s">
        <v>986</v>
      </c>
      <c r="B943" t="s">
        <v>43</v>
      </c>
      <c r="C943" t="s">
        <v>35</v>
      </c>
      <c r="D943" t="s">
        <v>13</v>
      </c>
      <c r="E943" t="s">
        <v>14</v>
      </c>
      <c r="F943">
        <v>370</v>
      </c>
      <c r="G943" s="3">
        <v>428.41</v>
      </c>
      <c r="H943" s="1">
        <v>45664</v>
      </c>
      <c r="I943" s="1">
        <v>45679</v>
      </c>
      <c r="J943" s="3">
        <v>97.41</v>
      </c>
      <c r="K943" s="2">
        <f>Table4[[#This Row],[Stock-Quantity]]*Table4[[#This Row],[Unit-Price]]</f>
        <v>158511.70000000001</v>
      </c>
      <c r="L943" s="2">
        <f>Table4[[#This Row],[Stock-Quantity]]*Table4[[#This Row],[Margin-Unit]]</f>
        <v>36041.699999999997</v>
      </c>
      <c r="M943">
        <f>Table4[[#This Row],[Date-Sales]]-Table4[[#This Row],[Date-Received]]</f>
        <v>15</v>
      </c>
      <c r="N943" s="6">
        <f>Table4[[#This Row],[Margin-Unit]]/Table4[[#This Row],[Unit-Price]]</f>
        <v>0.22737564482621786</v>
      </c>
    </row>
    <row r="944" spans="1:14" x14ac:dyDescent="0.3">
      <c r="A944" t="s">
        <v>987</v>
      </c>
      <c r="B944" t="s">
        <v>28</v>
      </c>
      <c r="C944" t="s">
        <v>29</v>
      </c>
      <c r="D944" t="s">
        <v>30</v>
      </c>
      <c r="E944" t="s">
        <v>31</v>
      </c>
      <c r="F944">
        <v>333</v>
      </c>
      <c r="G944" s="3">
        <v>17.72</v>
      </c>
      <c r="H944" s="1">
        <v>45819</v>
      </c>
      <c r="I944" s="1">
        <v>45823</v>
      </c>
      <c r="J944" s="3">
        <v>2.08</v>
      </c>
      <c r="K944" s="2">
        <f>Table4[[#This Row],[Stock-Quantity]]*Table4[[#This Row],[Unit-Price]]</f>
        <v>5900.7599999999993</v>
      </c>
      <c r="L944" s="2">
        <f>Table4[[#This Row],[Stock-Quantity]]*Table4[[#This Row],[Margin-Unit]]</f>
        <v>692.64</v>
      </c>
      <c r="M944">
        <f>Table4[[#This Row],[Date-Sales]]-Table4[[#This Row],[Date-Received]]</f>
        <v>4</v>
      </c>
      <c r="N944" s="6">
        <f>Table4[[#This Row],[Margin-Unit]]/Table4[[#This Row],[Unit-Price]]</f>
        <v>0.11738148984198647</v>
      </c>
    </row>
    <row r="945" spans="1:14" x14ac:dyDescent="0.3">
      <c r="A945" t="s">
        <v>988</v>
      </c>
      <c r="B945" t="s">
        <v>65</v>
      </c>
      <c r="C945" t="s">
        <v>22</v>
      </c>
      <c r="D945" t="s">
        <v>25</v>
      </c>
      <c r="E945" t="s">
        <v>26</v>
      </c>
      <c r="F945">
        <v>414</v>
      </c>
      <c r="G945" s="3">
        <v>434.22</v>
      </c>
      <c r="H945" s="1">
        <v>45752</v>
      </c>
      <c r="I945" s="1">
        <v>45774</v>
      </c>
      <c r="J945" s="3">
        <v>107.71</v>
      </c>
      <c r="K945" s="2">
        <f>Table4[[#This Row],[Stock-Quantity]]*Table4[[#This Row],[Unit-Price]]</f>
        <v>179767.08000000002</v>
      </c>
      <c r="L945" s="2">
        <f>Table4[[#This Row],[Stock-Quantity]]*Table4[[#This Row],[Margin-Unit]]</f>
        <v>44591.939999999995</v>
      </c>
      <c r="M945">
        <f>Table4[[#This Row],[Date-Sales]]-Table4[[#This Row],[Date-Received]]</f>
        <v>22</v>
      </c>
      <c r="N945" s="6">
        <f>Table4[[#This Row],[Margin-Unit]]/Table4[[#This Row],[Unit-Price]]</f>
        <v>0.24805398185251712</v>
      </c>
    </row>
    <row r="946" spans="1:14" x14ac:dyDescent="0.3">
      <c r="A946" t="s">
        <v>989</v>
      </c>
      <c r="B946" t="s">
        <v>16</v>
      </c>
      <c r="C946" t="s">
        <v>17</v>
      </c>
      <c r="D946" t="s">
        <v>30</v>
      </c>
      <c r="E946" t="s">
        <v>31</v>
      </c>
      <c r="F946">
        <v>220</v>
      </c>
      <c r="G946" s="3">
        <v>173.58</v>
      </c>
      <c r="H946" s="1">
        <v>45743</v>
      </c>
      <c r="I946" s="1">
        <v>45750</v>
      </c>
      <c r="J946" s="3">
        <v>44.17</v>
      </c>
      <c r="K946" s="2">
        <f>Table4[[#This Row],[Stock-Quantity]]*Table4[[#This Row],[Unit-Price]]</f>
        <v>38187.600000000006</v>
      </c>
      <c r="L946" s="2">
        <f>Table4[[#This Row],[Stock-Quantity]]*Table4[[#This Row],[Margin-Unit]]</f>
        <v>9717.4</v>
      </c>
      <c r="M946">
        <f>Table4[[#This Row],[Date-Sales]]-Table4[[#This Row],[Date-Received]]</f>
        <v>7</v>
      </c>
      <c r="N946" s="6">
        <f>Table4[[#This Row],[Margin-Unit]]/Table4[[#This Row],[Unit-Price]]</f>
        <v>0.25446480009217654</v>
      </c>
    </row>
    <row r="947" spans="1:14" x14ac:dyDescent="0.3">
      <c r="A947" t="s">
        <v>990</v>
      </c>
      <c r="B947" t="s">
        <v>70</v>
      </c>
      <c r="C947" t="s">
        <v>35</v>
      </c>
      <c r="D947" t="s">
        <v>25</v>
      </c>
      <c r="E947" t="s">
        <v>26</v>
      </c>
      <c r="F947">
        <v>161</v>
      </c>
      <c r="G947" s="3">
        <v>409.15</v>
      </c>
      <c r="H947" s="1">
        <v>45686</v>
      </c>
      <c r="I947" s="1">
        <v>45714</v>
      </c>
      <c r="J947" s="3">
        <v>46.72</v>
      </c>
      <c r="K947" s="2">
        <f>Table4[[#This Row],[Stock-Quantity]]*Table4[[#This Row],[Unit-Price]]</f>
        <v>65873.149999999994</v>
      </c>
      <c r="L947" s="2">
        <f>Table4[[#This Row],[Stock-Quantity]]*Table4[[#This Row],[Margin-Unit]]</f>
        <v>7521.92</v>
      </c>
      <c r="M947">
        <f>Table4[[#This Row],[Date-Sales]]-Table4[[#This Row],[Date-Received]]</f>
        <v>28</v>
      </c>
      <c r="N947" s="6">
        <f>Table4[[#This Row],[Margin-Unit]]/Table4[[#This Row],[Unit-Price]]</f>
        <v>0.11418795062935354</v>
      </c>
    </row>
    <row r="948" spans="1:14" x14ac:dyDescent="0.3">
      <c r="A948" t="s">
        <v>991</v>
      </c>
      <c r="B948" t="s">
        <v>39</v>
      </c>
      <c r="C948" t="s">
        <v>12</v>
      </c>
      <c r="D948" t="s">
        <v>25</v>
      </c>
      <c r="E948" t="s">
        <v>26</v>
      </c>
      <c r="F948">
        <v>325</v>
      </c>
      <c r="G948" s="3">
        <v>297.08999999999997</v>
      </c>
      <c r="H948" s="1">
        <v>45755</v>
      </c>
      <c r="I948" s="1">
        <v>45785</v>
      </c>
      <c r="J948" s="3">
        <v>75.75</v>
      </c>
      <c r="K948" s="2">
        <f>Table4[[#This Row],[Stock-Quantity]]*Table4[[#This Row],[Unit-Price]]</f>
        <v>96554.249999999985</v>
      </c>
      <c r="L948" s="2">
        <f>Table4[[#This Row],[Stock-Quantity]]*Table4[[#This Row],[Margin-Unit]]</f>
        <v>24618.75</v>
      </c>
      <c r="M948">
        <f>Table4[[#This Row],[Date-Sales]]-Table4[[#This Row],[Date-Received]]</f>
        <v>30</v>
      </c>
      <c r="N948" s="6">
        <f>Table4[[#This Row],[Margin-Unit]]/Table4[[#This Row],[Unit-Price]]</f>
        <v>0.25497324043219227</v>
      </c>
    </row>
    <row r="949" spans="1:14" x14ac:dyDescent="0.3">
      <c r="A949" t="s">
        <v>992</v>
      </c>
      <c r="B949" t="s">
        <v>50</v>
      </c>
      <c r="C949" t="s">
        <v>17</v>
      </c>
      <c r="D949" t="s">
        <v>25</v>
      </c>
      <c r="E949" t="s">
        <v>26</v>
      </c>
      <c r="F949">
        <v>350</v>
      </c>
      <c r="G949" s="3">
        <v>452.99</v>
      </c>
      <c r="H949" s="1">
        <v>45686</v>
      </c>
      <c r="I949" s="1">
        <v>45703</v>
      </c>
      <c r="J949" s="3">
        <v>49.41</v>
      </c>
      <c r="K949" s="2">
        <f>Table4[[#This Row],[Stock-Quantity]]*Table4[[#This Row],[Unit-Price]]</f>
        <v>158546.5</v>
      </c>
      <c r="L949" s="2">
        <f>Table4[[#This Row],[Stock-Quantity]]*Table4[[#This Row],[Margin-Unit]]</f>
        <v>17293.5</v>
      </c>
      <c r="M949">
        <f>Table4[[#This Row],[Date-Sales]]-Table4[[#This Row],[Date-Received]]</f>
        <v>17</v>
      </c>
      <c r="N949" s="6">
        <f>Table4[[#This Row],[Margin-Unit]]/Table4[[#This Row],[Unit-Price]]</f>
        <v>0.1090752555244045</v>
      </c>
    </row>
    <row r="950" spans="1:14" x14ac:dyDescent="0.3">
      <c r="A950" t="s">
        <v>993</v>
      </c>
      <c r="B950" t="s">
        <v>39</v>
      </c>
      <c r="C950" t="s">
        <v>12</v>
      </c>
      <c r="D950" t="s">
        <v>25</v>
      </c>
      <c r="E950" t="s">
        <v>26</v>
      </c>
      <c r="F950">
        <v>427</v>
      </c>
      <c r="G950" s="3">
        <v>36.72</v>
      </c>
      <c r="H950" s="1">
        <v>45746</v>
      </c>
      <c r="I950" s="1">
        <v>45771</v>
      </c>
      <c r="J950" s="3">
        <v>9.6999999999999993</v>
      </c>
      <c r="K950" s="2">
        <f>Table4[[#This Row],[Stock-Quantity]]*Table4[[#This Row],[Unit-Price]]</f>
        <v>15679.439999999999</v>
      </c>
      <c r="L950" s="2">
        <f>Table4[[#This Row],[Stock-Quantity]]*Table4[[#This Row],[Margin-Unit]]</f>
        <v>4141.8999999999996</v>
      </c>
      <c r="M950">
        <f>Table4[[#This Row],[Date-Sales]]-Table4[[#This Row],[Date-Received]]</f>
        <v>25</v>
      </c>
      <c r="N950" s="6">
        <f>Table4[[#This Row],[Margin-Unit]]/Table4[[#This Row],[Unit-Price]]</f>
        <v>0.26416122004357295</v>
      </c>
    </row>
    <row r="951" spans="1:14" x14ac:dyDescent="0.3">
      <c r="A951" t="s">
        <v>994</v>
      </c>
      <c r="B951" t="s">
        <v>39</v>
      </c>
      <c r="C951" t="s">
        <v>12</v>
      </c>
      <c r="D951" t="s">
        <v>13</v>
      </c>
      <c r="E951" t="s">
        <v>14</v>
      </c>
      <c r="F951">
        <v>178</v>
      </c>
      <c r="G951" s="3">
        <v>225.93</v>
      </c>
      <c r="H951" s="1">
        <v>45774</v>
      </c>
      <c r="I951" s="1">
        <v>45790</v>
      </c>
      <c r="J951" s="3">
        <v>48.43</v>
      </c>
      <c r="K951" s="2">
        <f>Table4[[#This Row],[Stock-Quantity]]*Table4[[#This Row],[Unit-Price]]</f>
        <v>40215.54</v>
      </c>
      <c r="L951" s="2">
        <f>Table4[[#This Row],[Stock-Quantity]]*Table4[[#This Row],[Margin-Unit]]</f>
        <v>8620.5399999999991</v>
      </c>
      <c r="M951">
        <f>Table4[[#This Row],[Date-Sales]]-Table4[[#This Row],[Date-Received]]</f>
        <v>16</v>
      </c>
      <c r="N951" s="6">
        <f>Table4[[#This Row],[Margin-Unit]]/Table4[[#This Row],[Unit-Price]]</f>
        <v>0.21435842960208915</v>
      </c>
    </row>
    <row r="952" spans="1:14" x14ac:dyDescent="0.3">
      <c r="A952" t="s">
        <v>995</v>
      </c>
      <c r="B952" t="s">
        <v>43</v>
      </c>
      <c r="C952" t="s">
        <v>35</v>
      </c>
      <c r="D952" t="s">
        <v>13</v>
      </c>
      <c r="E952" t="s">
        <v>14</v>
      </c>
      <c r="F952">
        <v>285</v>
      </c>
      <c r="G952" s="3">
        <v>242.85</v>
      </c>
      <c r="H952" s="1">
        <v>45820</v>
      </c>
      <c r="I952" s="1">
        <v>45831</v>
      </c>
      <c r="J952" s="3">
        <v>38.44</v>
      </c>
      <c r="K952" s="2">
        <f>Table4[[#This Row],[Stock-Quantity]]*Table4[[#This Row],[Unit-Price]]</f>
        <v>69212.25</v>
      </c>
      <c r="L952" s="2">
        <f>Table4[[#This Row],[Stock-Quantity]]*Table4[[#This Row],[Margin-Unit]]</f>
        <v>10955.4</v>
      </c>
      <c r="M952">
        <f>Table4[[#This Row],[Date-Sales]]-Table4[[#This Row],[Date-Received]]</f>
        <v>11</v>
      </c>
      <c r="N952" s="6">
        <f>Table4[[#This Row],[Margin-Unit]]/Table4[[#This Row],[Unit-Price]]</f>
        <v>0.15828700844142474</v>
      </c>
    </row>
    <row r="953" spans="1:14" x14ac:dyDescent="0.3">
      <c r="A953" t="s">
        <v>996</v>
      </c>
      <c r="B953" t="s">
        <v>94</v>
      </c>
      <c r="C953" t="s">
        <v>29</v>
      </c>
      <c r="D953" t="s">
        <v>40</v>
      </c>
      <c r="E953" t="s">
        <v>41</v>
      </c>
      <c r="F953">
        <v>33</v>
      </c>
      <c r="G953" s="3">
        <v>119.21</v>
      </c>
      <c r="H953" s="1">
        <v>45794</v>
      </c>
      <c r="I953" s="1">
        <v>45809</v>
      </c>
      <c r="J953" s="3">
        <v>27.37</v>
      </c>
      <c r="K953" s="2">
        <f>Table4[[#This Row],[Stock-Quantity]]*Table4[[#This Row],[Unit-Price]]</f>
        <v>3933.93</v>
      </c>
      <c r="L953" s="2">
        <f>Table4[[#This Row],[Stock-Quantity]]*Table4[[#This Row],[Margin-Unit]]</f>
        <v>903.21</v>
      </c>
      <c r="M953">
        <f>Table4[[#This Row],[Date-Sales]]-Table4[[#This Row],[Date-Received]]</f>
        <v>15</v>
      </c>
      <c r="N953" s="6">
        <f>Table4[[#This Row],[Margin-Unit]]/Table4[[#This Row],[Unit-Price]]</f>
        <v>0.22959483264826777</v>
      </c>
    </row>
    <row r="954" spans="1:14" x14ac:dyDescent="0.3">
      <c r="A954" t="s">
        <v>997</v>
      </c>
      <c r="B954" t="s">
        <v>43</v>
      </c>
      <c r="C954" t="s">
        <v>35</v>
      </c>
      <c r="D954" t="s">
        <v>30</v>
      </c>
      <c r="E954" t="s">
        <v>31</v>
      </c>
      <c r="F954">
        <v>461</v>
      </c>
      <c r="G954" s="3">
        <v>155.05000000000001</v>
      </c>
      <c r="H954" s="1">
        <v>45691</v>
      </c>
      <c r="I954" s="1">
        <v>45710</v>
      </c>
      <c r="J954" s="3">
        <v>19.98</v>
      </c>
      <c r="K954" s="2">
        <f>Table4[[#This Row],[Stock-Quantity]]*Table4[[#This Row],[Unit-Price]]</f>
        <v>71478.05</v>
      </c>
      <c r="L954" s="2">
        <f>Table4[[#This Row],[Stock-Quantity]]*Table4[[#This Row],[Margin-Unit]]</f>
        <v>9210.7800000000007</v>
      </c>
      <c r="M954">
        <f>Table4[[#This Row],[Date-Sales]]-Table4[[#This Row],[Date-Received]]</f>
        <v>19</v>
      </c>
      <c r="N954" s="6">
        <f>Table4[[#This Row],[Margin-Unit]]/Table4[[#This Row],[Unit-Price]]</f>
        <v>0.12886165752982909</v>
      </c>
    </row>
    <row r="955" spans="1:14" x14ac:dyDescent="0.3">
      <c r="A955" t="s">
        <v>998</v>
      </c>
      <c r="B955" t="s">
        <v>74</v>
      </c>
      <c r="C955" t="s">
        <v>29</v>
      </c>
      <c r="D955" t="s">
        <v>30</v>
      </c>
      <c r="E955" t="s">
        <v>31</v>
      </c>
      <c r="F955">
        <v>429</v>
      </c>
      <c r="G955" s="3">
        <v>135.97999999999999</v>
      </c>
      <c r="H955" s="1">
        <v>45837</v>
      </c>
      <c r="I955" s="1">
        <v>45864</v>
      </c>
      <c r="J955" s="3">
        <v>24.34</v>
      </c>
      <c r="K955" s="2">
        <f>Table4[[#This Row],[Stock-Quantity]]*Table4[[#This Row],[Unit-Price]]</f>
        <v>58335.42</v>
      </c>
      <c r="L955" s="2">
        <f>Table4[[#This Row],[Stock-Quantity]]*Table4[[#This Row],[Margin-Unit]]</f>
        <v>10441.86</v>
      </c>
      <c r="M955">
        <f>Table4[[#This Row],[Date-Sales]]-Table4[[#This Row],[Date-Received]]</f>
        <v>27</v>
      </c>
      <c r="N955" s="6">
        <f>Table4[[#This Row],[Margin-Unit]]/Table4[[#This Row],[Unit-Price]]</f>
        <v>0.17899691131048684</v>
      </c>
    </row>
    <row r="956" spans="1:14" x14ac:dyDescent="0.3">
      <c r="A956" t="s">
        <v>999</v>
      </c>
      <c r="B956" t="s">
        <v>16</v>
      </c>
      <c r="C956" t="s">
        <v>17</v>
      </c>
      <c r="D956" t="s">
        <v>25</v>
      </c>
      <c r="E956" t="s">
        <v>26</v>
      </c>
      <c r="F956">
        <v>17</v>
      </c>
      <c r="G956" s="3">
        <v>95.56</v>
      </c>
      <c r="H956" s="1">
        <v>45746</v>
      </c>
      <c r="I956" s="1">
        <v>45755</v>
      </c>
      <c r="J956" s="3">
        <v>26.73</v>
      </c>
      <c r="K956" s="2">
        <f>Table4[[#This Row],[Stock-Quantity]]*Table4[[#This Row],[Unit-Price]]</f>
        <v>1624.52</v>
      </c>
      <c r="L956" s="2">
        <f>Table4[[#This Row],[Stock-Quantity]]*Table4[[#This Row],[Margin-Unit]]</f>
        <v>454.41</v>
      </c>
      <c r="M956">
        <f>Table4[[#This Row],[Date-Sales]]-Table4[[#This Row],[Date-Received]]</f>
        <v>9</v>
      </c>
      <c r="N956" s="6">
        <f>Table4[[#This Row],[Margin-Unit]]/Table4[[#This Row],[Unit-Price]]</f>
        <v>0.27971954792800335</v>
      </c>
    </row>
    <row r="957" spans="1:14" x14ac:dyDescent="0.3">
      <c r="A957" t="s">
        <v>1000</v>
      </c>
      <c r="B957" t="s">
        <v>43</v>
      </c>
      <c r="C957" t="s">
        <v>35</v>
      </c>
      <c r="D957" t="s">
        <v>13</v>
      </c>
      <c r="E957" t="s">
        <v>14</v>
      </c>
      <c r="F957">
        <v>259</v>
      </c>
      <c r="G957" s="3">
        <v>229.47</v>
      </c>
      <c r="H957" s="1">
        <v>45713</v>
      </c>
      <c r="I957" s="1">
        <v>45734</v>
      </c>
      <c r="J957" s="3">
        <v>52.4</v>
      </c>
      <c r="K957" s="2">
        <f>Table4[[#This Row],[Stock-Quantity]]*Table4[[#This Row],[Unit-Price]]</f>
        <v>59432.73</v>
      </c>
      <c r="L957" s="2">
        <f>Table4[[#This Row],[Stock-Quantity]]*Table4[[#This Row],[Margin-Unit]]</f>
        <v>13571.6</v>
      </c>
      <c r="M957">
        <f>Table4[[#This Row],[Date-Sales]]-Table4[[#This Row],[Date-Received]]</f>
        <v>21</v>
      </c>
      <c r="N957" s="6">
        <f>Table4[[#This Row],[Margin-Unit]]/Table4[[#This Row],[Unit-Price]]</f>
        <v>0.22835229005970278</v>
      </c>
    </row>
    <row r="958" spans="1:14" x14ac:dyDescent="0.3">
      <c r="A958" t="s">
        <v>1001</v>
      </c>
      <c r="B958" t="s">
        <v>50</v>
      </c>
      <c r="C958" t="s">
        <v>17</v>
      </c>
      <c r="D958" t="s">
        <v>30</v>
      </c>
      <c r="E958" t="s">
        <v>31</v>
      </c>
      <c r="F958">
        <v>24</v>
      </c>
      <c r="G958" s="3">
        <v>289.56</v>
      </c>
      <c r="H958" s="1">
        <v>45763</v>
      </c>
      <c r="I958" s="1">
        <v>45790</v>
      </c>
      <c r="J958" s="3">
        <v>36.39</v>
      </c>
      <c r="K958" s="2">
        <f>Table4[[#This Row],[Stock-Quantity]]*Table4[[#This Row],[Unit-Price]]</f>
        <v>6949.4400000000005</v>
      </c>
      <c r="L958" s="2">
        <f>Table4[[#This Row],[Stock-Quantity]]*Table4[[#This Row],[Margin-Unit]]</f>
        <v>873.36</v>
      </c>
      <c r="M958">
        <f>Table4[[#This Row],[Date-Sales]]-Table4[[#This Row],[Date-Received]]</f>
        <v>27</v>
      </c>
      <c r="N958" s="6">
        <f>Table4[[#This Row],[Margin-Unit]]/Table4[[#This Row],[Unit-Price]]</f>
        <v>0.12567343555739743</v>
      </c>
    </row>
    <row r="959" spans="1:14" x14ac:dyDescent="0.3">
      <c r="A959" t="s">
        <v>1002</v>
      </c>
      <c r="B959" t="s">
        <v>94</v>
      </c>
      <c r="C959" t="s">
        <v>29</v>
      </c>
      <c r="D959" t="s">
        <v>25</v>
      </c>
      <c r="E959" t="s">
        <v>26</v>
      </c>
      <c r="F959">
        <v>31</v>
      </c>
      <c r="G959" s="3">
        <v>374.98</v>
      </c>
      <c r="H959" s="1">
        <v>45773</v>
      </c>
      <c r="I959" s="1">
        <v>45779</v>
      </c>
      <c r="J959" s="3">
        <v>72.62</v>
      </c>
      <c r="K959" s="2">
        <f>Table4[[#This Row],[Stock-Quantity]]*Table4[[#This Row],[Unit-Price]]</f>
        <v>11624.380000000001</v>
      </c>
      <c r="L959" s="2">
        <f>Table4[[#This Row],[Stock-Quantity]]*Table4[[#This Row],[Margin-Unit]]</f>
        <v>2251.2200000000003</v>
      </c>
      <c r="M959">
        <f>Table4[[#This Row],[Date-Sales]]-Table4[[#This Row],[Date-Received]]</f>
        <v>6</v>
      </c>
      <c r="N959" s="6">
        <f>Table4[[#This Row],[Margin-Unit]]/Table4[[#This Row],[Unit-Price]]</f>
        <v>0.19366366206197663</v>
      </c>
    </row>
    <row r="960" spans="1:14" x14ac:dyDescent="0.3">
      <c r="A960" t="s">
        <v>1003</v>
      </c>
      <c r="B960" t="s">
        <v>52</v>
      </c>
      <c r="C960" t="s">
        <v>12</v>
      </c>
      <c r="D960" t="s">
        <v>25</v>
      </c>
      <c r="E960" t="s">
        <v>26</v>
      </c>
      <c r="F960">
        <v>73</v>
      </c>
      <c r="G960" s="3">
        <v>361.38</v>
      </c>
      <c r="H960" s="1">
        <v>45805</v>
      </c>
      <c r="I960" s="1">
        <v>45834</v>
      </c>
      <c r="J960" s="3">
        <v>80.05</v>
      </c>
      <c r="K960" s="2">
        <f>Table4[[#This Row],[Stock-Quantity]]*Table4[[#This Row],[Unit-Price]]</f>
        <v>26380.739999999998</v>
      </c>
      <c r="L960" s="2">
        <f>Table4[[#This Row],[Stock-Quantity]]*Table4[[#This Row],[Margin-Unit]]</f>
        <v>5843.65</v>
      </c>
      <c r="M960">
        <f>Table4[[#This Row],[Date-Sales]]-Table4[[#This Row],[Date-Received]]</f>
        <v>29</v>
      </c>
      <c r="N960" s="6">
        <f>Table4[[#This Row],[Margin-Unit]]/Table4[[#This Row],[Unit-Price]]</f>
        <v>0.22151198184736287</v>
      </c>
    </row>
    <row r="961" spans="1:14" x14ac:dyDescent="0.3">
      <c r="A961" t="s">
        <v>1004</v>
      </c>
      <c r="B961" t="s">
        <v>39</v>
      </c>
      <c r="C961" t="s">
        <v>12</v>
      </c>
      <c r="D961" t="s">
        <v>25</v>
      </c>
      <c r="E961" t="s">
        <v>26</v>
      </c>
      <c r="F961">
        <v>73</v>
      </c>
      <c r="G961" s="3">
        <v>84.43</v>
      </c>
      <c r="H961" s="1">
        <v>45662</v>
      </c>
      <c r="I961" s="1">
        <v>45665</v>
      </c>
      <c r="J961" s="3">
        <v>11.66</v>
      </c>
      <c r="K961" s="2">
        <f>Table4[[#This Row],[Stock-Quantity]]*Table4[[#This Row],[Unit-Price]]</f>
        <v>6163.39</v>
      </c>
      <c r="L961" s="2">
        <f>Table4[[#This Row],[Stock-Quantity]]*Table4[[#This Row],[Margin-Unit]]</f>
        <v>851.18000000000006</v>
      </c>
      <c r="M961">
        <f>Table4[[#This Row],[Date-Sales]]-Table4[[#This Row],[Date-Received]]</f>
        <v>3</v>
      </c>
      <c r="N961" s="6">
        <f>Table4[[#This Row],[Margin-Unit]]/Table4[[#This Row],[Unit-Price]]</f>
        <v>0.13810257017647753</v>
      </c>
    </row>
    <row r="962" spans="1:14" x14ac:dyDescent="0.3">
      <c r="A962" t="s">
        <v>1005</v>
      </c>
      <c r="B962" t="s">
        <v>106</v>
      </c>
      <c r="C962" t="s">
        <v>17</v>
      </c>
      <c r="D962" t="s">
        <v>13</v>
      </c>
      <c r="E962" t="s">
        <v>14</v>
      </c>
      <c r="F962">
        <v>22</v>
      </c>
      <c r="G962" s="3">
        <v>499.17</v>
      </c>
      <c r="H962" s="1">
        <v>45801</v>
      </c>
      <c r="I962" s="1">
        <v>45821</v>
      </c>
      <c r="J962" s="3">
        <v>100.14</v>
      </c>
      <c r="K962" s="2">
        <f>Table4[[#This Row],[Stock-Quantity]]*Table4[[#This Row],[Unit-Price]]</f>
        <v>10981.74</v>
      </c>
      <c r="L962" s="2">
        <f>Table4[[#This Row],[Stock-Quantity]]*Table4[[#This Row],[Margin-Unit]]</f>
        <v>2203.08</v>
      </c>
      <c r="M962">
        <f>Table4[[#This Row],[Date-Sales]]-Table4[[#This Row],[Date-Received]]</f>
        <v>20</v>
      </c>
      <c r="N962" s="6">
        <f>Table4[[#This Row],[Margin-Unit]]/Table4[[#This Row],[Unit-Price]]</f>
        <v>0.20061301760923131</v>
      </c>
    </row>
    <row r="963" spans="1:14" x14ac:dyDescent="0.3">
      <c r="A963" t="s">
        <v>1006</v>
      </c>
      <c r="B963" t="s">
        <v>43</v>
      </c>
      <c r="C963" t="s">
        <v>35</v>
      </c>
      <c r="D963" t="s">
        <v>30</v>
      </c>
      <c r="E963" t="s">
        <v>31</v>
      </c>
      <c r="F963">
        <v>296</v>
      </c>
      <c r="G963" s="3">
        <v>368.48</v>
      </c>
      <c r="H963" s="1">
        <v>45804</v>
      </c>
      <c r="I963" s="1">
        <v>45832</v>
      </c>
      <c r="J963" s="3">
        <v>83.38</v>
      </c>
      <c r="K963" s="2">
        <f>Table4[[#This Row],[Stock-Quantity]]*Table4[[#This Row],[Unit-Price]]</f>
        <v>109070.08</v>
      </c>
      <c r="L963" s="2">
        <f>Table4[[#This Row],[Stock-Quantity]]*Table4[[#This Row],[Margin-Unit]]</f>
        <v>24680.48</v>
      </c>
      <c r="M963">
        <f>Table4[[#This Row],[Date-Sales]]-Table4[[#This Row],[Date-Received]]</f>
        <v>28</v>
      </c>
      <c r="N963" s="6">
        <f>Table4[[#This Row],[Margin-Unit]]/Table4[[#This Row],[Unit-Price]]</f>
        <v>0.22628093790707771</v>
      </c>
    </row>
    <row r="964" spans="1:14" x14ac:dyDescent="0.3">
      <c r="A964" t="s">
        <v>1007</v>
      </c>
      <c r="B964" t="s">
        <v>11</v>
      </c>
      <c r="C964" t="s">
        <v>12</v>
      </c>
      <c r="D964" t="s">
        <v>30</v>
      </c>
      <c r="E964" t="s">
        <v>31</v>
      </c>
      <c r="F964">
        <v>283</v>
      </c>
      <c r="G964" s="3">
        <v>230.46</v>
      </c>
      <c r="H964" s="1">
        <v>45811</v>
      </c>
      <c r="I964" s="1">
        <v>45818</v>
      </c>
      <c r="J964" s="3">
        <v>36.340000000000003</v>
      </c>
      <c r="K964" s="2">
        <f>Table4[[#This Row],[Stock-Quantity]]*Table4[[#This Row],[Unit-Price]]</f>
        <v>65220.18</v>
      </c>
      <c r="L964" s="2">
        <f>Table4[[#This Row],[Stock-Quantity]]*Table4[[#This Row],[Margin-Unit]]</f>
        <v>10284.220000000001</v>
      </c>
      <c r="M964">
        <f>Table4[[#This Row],[Date-Sales]]-Table4[[#This Row],[Date-Received]]</f>
        <v>7</v>
      </c>
      <c r="N964" s="6">
        <f>Table4[[#This Row],[Margin-Unit]]/Table4[[#This Row],[Unit-Price]]</f>
        <v>0.15768463073852296</v>
      </c>
    </row>
    <row r="965" spans="1:14" x14ac:dyDescent="0.3">
      <c r="A965" t="s">
        <v>1008</v>
      </c>
      <c r="B965" t="s">
        <v>116</v>
      </c>
      <c r="C965" t="s">
        <v>12</v>
      </c>
      <c r="D965" t="s">
        <v>30</v>
      </c>
      <c r="E965" t="s">
        <v>31</v>
      </c>
      <c r="F965">
        <v>27</v>
      </c>
      <c r="G965" s="3">
        <v>477.08</v>
      </c>
      <c r="H965" s="1">
        <v>45723</v>
      </c>
      <c r="I965" s="1">
        <v>45733</v>
      </c>
      <c r="J965" s="3">
        <v>133.75</v>
      </c>
      <c r="K965" s="2">
        <f>Table4[[#This Row],[Stock-Quantity]]*Table4[[#This Row],[Unit-Price]]</f>
        <v>12881.16</v>
      </c>
      <c r="L965" s="2">
        <f>Table4[[#This Row],[Stock-Quantity]]*Table4[[#This Row],[Margin-Unit]]</f>
        <v>3611.25</v>
      </c>
      <c r="M965">
        <f>Table4[[#This Row],[Date-Sales]]-Table4[[#This Row],[Date-Received]]</f>
        <v>10</v>
      </c>
      <c r="N965" s="6">
        <f>Table4[[#This Row],[Margin-Unit]]/Table4[[#This Row],[Unit-Price]]</f>
        <v>0.28035130376456779</v>
      </c>
    </row>
    <row r="966" spans="1:14" x14ac:dyDescent="0.3">
      <c r="A966" t="s">
        <v>1009</v>
      </c>
      <c r="B966" t="s">
        <v>37</v>
      </c>
      <c r="C966" t="s">
        <v>22</v>
      </c>
      <c r="D966" t="s">
        <v>18</v>
      </c>
      <c r="E966" t="s">
        <v>19</v>
      </c>
      <c r="F966">
        <v>16</v>
      </c>
      <c r="G966" s="3">
        <v>475.43</v>
      </c>
      <c r="H966" s="1">
        <v>45838</v>
      </c>
      <c r="I966" s="1">
        <v>45862</v>
      </c>
      <c r="J966" s="3">
        <v>61.99</v>
      </c>
      <c r="K966" s="2">
        <f>Table4[[#This Row],[Stock-Quantity]]*Table4[[#This Row],[Unit-Price]]</f>
        <v>7606.88</v>
      </c>
      <c r="L966" s="2">
        <f>Table4[[#This Row],[Stock-Quantity]]*Table4[[#This Row],[Margin-Unit]]</f>
        <v>991.84</v>
      </c>
      <c r="M966">
        <f>Table4[[#This Row],[Date-Sales]]-Table4[[#This Row],[Date-Received]]</f>
        <v>24</v>
      </c>
      <c r="N966" s="6">
        <f>Table4[[#This Row],[Margin-Unit]]/Table4[[#This Row],[Unit-Price]]</f>
        <v>0.1303872284037608</v>
      </c>
    </row>
    <row r="967" spans="1:14" x14ac:dyDescent="0.3">
      <c r="A967" t="s">
        <v>1010</v>
      </c>
      <c r="B967" t="s">
        <v>37</v>
      </c>
      <c r="C967" t="s">
        <v>22</v>
      </c>
      <c r="D967" t="s">
        <v>13</v>
      </c>
      <c r="E967" t="s">
        <v>14</v>
      </c>
      <c r="F967">
        <v>489</v>
      </c>
      <c r="G967" s="3">
        <v>426.95</v>
      </c>
      <c r="H967" s="1">
        <v>45748</v>
      </c>
      <c r="I967" s="1">
        <v>45750</v>
      </c>
      <c r="J967" s="3">
        <v>71.95</v>
      </c>
      <c r="K967" s="2">
        <f>Table4[[#This Row],[Stock-Quantity]]*Table4[[#This Row],[Unit-Price]]</f>
        <v>208778.55</v>
      </c>
      <c r="L967" s="2">
        <f>Table4[[#This Row],[Stock-Quantity]]*Table4[[#This Row],[Margin-Unit]]</f>
        <v>35183.550000000003</v>
      </c>
      <c r="M967">
        <f>Table4[[#This Row],[Date-Sales]]-Table4[[#This Row],[Date-Received]]</f>
        <v>2</v>
      </c>
      <c r="N967" s="6">
        <f>Table4[[#This Row],[Margin-Unit]]/Table4[[#This Row],[Unit-Price]]</f>
        <v>0.16852090408712966</v>
      </c>
    </row>
    <row r="968" spans="1:14" x14ac:dyDescent="0.3">
      <c r="A968" t="s">
        <v>1011</v>
      </c>
      <c r="B968" t="s">
        <v>52</v>
      </c>
      <c r="C968" t="s">
        <v>12</v>
      </c>
      <c r="D968" t="s">
        <v>25</v>
      </c>
      <c r="E968" t="s">
        <v>26</v>
      </c>
      <c r="F968">
        <v>284</v>
      </c>
      <c r="G968" s="3">
        <v>80.59</v>
      </c>
      <c r="H968" s="1">
        <v>45673</v>
      </c>
      <c r="I968" s="1">
        <v>45682</v>
      </c>
      <c r="J968" s="3">
        <v>16.89</v>
      </c>
      <c r="K968" s="2">
        <f>Table4[[#This Row],[Stock-Quantity]]*Table4[[#This Row],[Unit-Price]]</f>
        <v>22887.56</v>
      </c>
      <c r="L968" s="2">
        <f>Table4[[#This Row],[Stock-Quantity]]*Table4[[#This Row],[Margin-Unit]]</f>
        <v>4796.76</v>
      </c>
      <c r="M968">
        <f>Table4[[#This Row],[Date-Sales]]-Table4[[#This Row],[Date-Received]]</f>
        <v>9</v>
      </c>
      <c r="N968" s="6">
        <f>Table4[[#This Row],[Margin-Unit]]/Table4[[#This Row],[Unit-Price]]</f>
        <v>0.20957935227695743</v>
      </c>
    </row>
    <row r="969" spans="1:14" x14ac:dyDescent="0.3">
      <c r="A969" t="s">
        <v>1012</v>
      </c>
      <c r="B969" t="s">
        <v>21</v>
      </c>
      <c r="C969" t="s">
        <v>22</v>
      </c>
      <c r="D969" t="s">
        <v>40</v>
      </c>
      <c r="E969" t="s">
        <v>41</v>
      </c>
      <c r="F969">
        <v>391</v>
      </c>
      <c r="G969" s="3">
        <v>73.540000000000006</v>
      </c>
      <c r="H969" s="1">
        <v>45765</v>
      </c>
      <c r="I969" s="1">
        <v>45768</v>
      </c>
      <c r="J969" s="3">
        <v>10.55</v>
      </c>
      <c r="K969" s="2">
        <f>Table4[[#This Row],[Stock-Quantity]]*Table4[[#This Row],[Unit-Price]]</f>
        <v>28754.140000000003</v>
      </c>
      <c r="L969" s="2">
        <f>Table4[[#This Row],[Stock-Quantity]]*Table4[[#This Row],[Margin-Unit]]</f>
        <v>4125.05</v>
      </c>
      <c r="M969">
        <f>Table4[[#This Row],[Date-Sales]]-Table4[[#This Row],[Date-Received]]</f>
        <v>3</v>
      </c>
      <c r="N969" s="6">
        <f>Table4[[#This Row],[Margin-Unit]]/Table4[[#This Row],[Unit-Price]]</f>
        <v>0.14345934185477291</v>
      </c>
    </row>
    <row r="970" spans="1:14" x14ac:dyDescent="0.3">
      <c r="A970" t="s">
        <v>1013</v>
      </c>
      <c r="B970" t="s">
        <v>16</v>
      </c>
      <c r="C970" t="s">
        <v>17</v>
      </c>
      <c r="D970" t="s">
        <v>18</v>
      </c>
      <c r="E970" t="s">
        <v>19</v>
      </c>
      <c r="F970">
        <v>38</v>
      </c>
      <c r="G970" s="3">
        <v>470.81</v>
      </c>
      <c r="H970" s="1">
        <v>45756</v>
      </c>
      <c r="I970" s="1">
        <v>45772</v>
      </c>
      <c r="J970" s="3">
        <v>113.83</v>
      </c>
      <c r="K970" s="2">
        <f>Table4[[#This Row],[Stock-Quantity]]*Table4[[#This Row],[Unit-Price]]</f>
        <v>17890.78</v>
      </c>
      <c r="L970" s="2">
        <f>Table4[[#This Row],[Stock-Quantity]]*Table4[[#This Row],[Margin-Unit]]</f>
        <v>4325.54</v>
      </c>
      <c r="M970">
        <f>Table4[[#This Row],[Date-Sales]]-Table4[[#This Row],[Date-Received]]</f>
        <v>16</v>
      </c>
      <c r="N970" s="6">
        <f>Table4[[#This Row],[Margin-Unit]]/Table4[[#This Row],[Unit-Price]]</f>
        <v>0.24177481361908201</v>
      </c>
    </row>
    <row r="971" spans="1:14" x14ac:dyDescent="0.3">
      <c r="A971" t="s">
        <v>1014</v>
      </c>
      <c r="B971" t="s">
        <v>28</v>
      </c>
      <c r="C971" t="s">
        <v>29</v>
      </c>
      <c r="D971" t="s">
        <v>30</v>
      </c>
      <c r="E971" t="s">
        <v>31</v>
      </c>
      <c r="F971">
        <v>171</v>
      </c>
      <c r="G971" s="3">
        <v>55.77</v>
      </c>
      <c r="H971" s="1">
        <v>45826</v>
      </c>
      <c r="I971" s="1">
        <v>45856</v>
      </c>
      <c r="J971" s="3">
        <v>8.34</v>
      </c>
      <c r="K971" s="2">
        <f>Table4[[#This Row],[Stock-Quantity]]*Table4[[#This Row],[Unit-Price]]</f>
        <v>9536.67</v>
      </c>
      <c r="L971" s="2">
        <f>Table4[[#This Row],[Stock-Quantity]]*Table4[[#This Row],[Margin-Unit]]</f>
        <v>1426.1399999999999</v>
      </c>
      <c r="M971">
        <f>Table4[[#This Row],[Date-Sales]]-Table4[[#This Row],[Date-Received]]</f>
        <v>30</v>
      </c>
      <c r="N971" s="6">
        <f>Table4[[#This Row],[Margin-Unit]]/Table4[[#This Row],[Unit-Price]]</f>
        <v>0.14954276492738031</v>
      </c>
    </row>
    <row r="972" spans="1:14" x14ac:dyDescent="0.3">
      <c r="A972" t="s">
        <v>1015</v>
      </c>
      <c r="B972" t="s">
        <v>43</v>
      </c>
      <c r="C972" t="s">
        <v>35</v>
      </c>
      <c r="D972" t="s">
        <v>40</v>
      </c>
      <c r="E972" t="s">
        <v>41</v>
      </c>
      <c r="F972">
        <v>322</v>
      </c>
      <c r="G972" s="3">
        <v>81.430000000000007</v>
      </c>
      <c r="H972" s="1">
        <v>45712</v>
      </c>
      <c r="I972" s="1">
        <v>45716</v>
      </c>
      <c r="J972" s="3">
        <v>14.01</v>
      </c>
      <c r="K972" s="2">
        <f>Table4[[#This Row],[Stock-Quantity]]*Table4[[#This Row],[Unit-Price]]</f>
        <v>26220.460000000003</v>
      </c>
      <c r="L972" s="2">
        <f>Table4[[#This Row],[Stock-Quantity]]*Table4[[#This Row],[Margin-Unit]]</f>
        <v>4511.22</v>
      </c>
      <c r="M972">
        <f>Table4[[#This Row],[Date-Sales]]-Table4[[#This Row],[Date-Received]]</f>
        <v>4</v>
      </c>
      <c r="N972" s="6">
        <f>Table4[[#This Row],[Margin-Unit]]/Table4[[#This Row],[Unit-Price]]</f>
        <v>0.17204961316468131</v>
      </c>
    </row>
    <row r="973" spans="1:14" x14ac:dyDescent="0.3">
      <c r="A973" t="s">
        <v>1016</v>
      </c>
      <c r="B973" t="s">
        <v>80</v>
      </c>
      <c r="C973" t="s">
        <v>29</v>
      </c>
      <c r="D973" t="s">
        <v>25</v>
      </c>
      <c r="E973" t="s">
        <v>26</v>
      </c>
      <c r="F973">
        <v>46</v>
      </c>
      <c r="G973" s="3">
        <v>470.41</v>
      </c>
      <c r="H973" s="1">
        <v>45803</v>
      </c>
      <c r="I973" s="1">
        <v>45824</v>
      </c>
      <c r="J973" s="3">
        <v>68.12</v>
      </c>
      <c r="K973" s="2">
        <f>Table4[[#This Row],[Stock-Quantity]]*Table4[[#This Row],[Unit-Price]]</f>
        <v>21638.86</v>
      </c>
      <c r="L973" s="2">
        <f>Table4[[#This Row],[Stock-Quantity]]*Table4[[#This Row],[Margin-Unit]]</f>
        <v>3133.5200000000004</v>
      </c>
      <c r="M973">
        <f>Table4[[#This Row],[Date-Sales]]-Table4[[#This Row],[Date-Received]]</f>
        <v>21</v>
      </c>
      <c r="N973" s="6">
        <f>Table4[[#This Row],[Margin-Unit]]/Table4[[#This Row],[Unit-Price]]</f>
        <v>0.14480984672944877</v>
      </c>
    </row>
    <row r="974" spans="1:14" x14ac:dyDescent="0.3">
      <c r="A974" t="s">
        <v>1017</v>
      </c>
      <c r="B974" t="s">
        <v>116</v>
      </c>
      <c r="C974" t="s">
        <v>12</v>
      </c>
      <c r="D974" t="s">
        <v>30</v>
      </c>
      <c r="E974" t="s">
        <v>31</v>
      </c>
      <c r="F974">
        <v>329</v>
      </c>
      <c r="G974" s="3">
        <v>28.41</v>
      </c>
      <c r="H974" s="1">
        <v>45688</v>
      </c>
      <c r="I974" s="1">
        <v>45699</v>
      </c>
      <c r="J974" s="3">
        <v>5.21</v>
      </c>
      <c r="K974" s="2">
        <f>Table4[[#This Row],[Stock-Quantity]]*Table4[[#This Row],[Unit-Price]]</f>
        <v>9346.89</v>
      </c>
      <c r="L974" s="2">
        <f>Table4[[#This Row],[Stock-Quantity]]*Table4[[#This Row],[Margin-Unit]]</f>
        <v>1714.09</v>
      </c>
      <c r="M974">
        <f>Table4[[#This Row],[Date-Sales]]-Table4[[#This Row],[Date-Received]]</f>
        <v>11</v>
      </c>
      <c r="N974" s="6">
        <f>Table4[[#This Row],[Margin-Unit]]/Table4[[#This Row],[Unit-Price]]</f>
        <v>0.18338613164378739</v>
      </c>
    </row>
    <row r="975" spans="1:14" x14ac:dyDescent="0.3">
      <c r="A975" t="s">
        <v>1018</v>
      </c>
      <c r="B975" t="s">
        <v>16</v>
      </c>
      <c r="C975" t="s">
        <v>17</v>
      </c>
      <c r="D975" t="s">
        <v>18</v>
      </c>
      <c r="E975" t="s">
        <v>19</v>
      </c>
      <c r="F975">
        <v>230</v>
      </c>
      <c r="G975" s="3">
        <v>350.28</v>
      </c>
      <c r="H975" s="1">
        <v>45794</v>
      </c>
      <c r="I975" s="1">
        <v>45801</v>
      </c>
      <c r="J975" s="3">
        <v>96.71</v>
      </c>
      <c r="K975" s="2">
        <f>Table4[[#This Row],[Stock-Quantity]]*Table4[[#This Row],[Unit-Price]]</f>
        <v>80564.399999999994</v>
      </c>
      <c r="L975" s="2">
        <f>Table4[[#This Row],[Stock-Quantity]]*Table4[[#This Row],[Margin-Unit]]</f>
        <v>22243.3</v>
      </c>
      <c r="M975">
        <f>Table4[[#This Row],[Date-Sales]]-Table4[[#This Row],[Date-Received]]</f>
        <v>7</v>
      </c>
      <c r="N975" s="6">
        <f>Table4[[#This Row],[Margin-Unit]]/Table4[[#This Row],[Unit-Price]]</f>
        <v>0.27609341098549733</v>
      </c>
    </row>
    <row r="976" spans="1:14" x14ac:dyDescent="0.3">
      <c r="A976" t="s">
        <v>1019</v>
      </c>
      <c r="B976" t="s">
        <v>70</v>
      </c>
      <c r="C976" t="s">
        <v>35</v>
      </c>
      <c r="D976" t="s">
        <v>18</v>
      </c>
      <c r="E976" t="s">
        <v>19</v>
      </c>
      <c r="F976">
        <v>201</v>
      </c>
      <c r="G976" s="3">
        <v>168.96</v>
      </c>
      <c r="H976" s="1">
        <v>45756</v>
      </c>
      <c r="I976" s="1">
        <v>45772</v>
      </c>
      <c r="J976" s="3">
        <v>26.16</v>
      </c>
      <c r="K976" s="2">
        <f>Table4[[#This Row],[Stock-Quantity]]*Table4[[#This Row],[Unit-Price]]</f>
        <v>33960.959999999999</v>
      </c>
      <c r="L976" s="2">
        <f>Table4[[#This Row],[Stock-Quantity]]*Table4[[#This Row],[Margin-Unit]]</f>
        <v>5258.16</v>
      </c>
      <c r="M976">
        <f>Table4[[#This Row],[Date-Sales]]-Table4[[#This Row],[Date-Received]]</f>
        <v>16</v>
      </c>
      <c r="N976" s="6">
        <f>Table4[[#This Row],[Margin-Unit]]/Table4[[#This Row],[Unit-Price]]</f>
        <v>0.15482954545454544</v>
      </c>
    </row>
    <row r="977" spans="1:14" x14ac:dyDescent="0.3">
      <c r="A977" t="s">
        <v>1020</v>
      </c>
      <c r="B977" t="s">
        <v>24</v>
      </c>
      <c r="C977" t="s">
        <v>22</v>
      </c>
      <c r="D977" t="s">
        <v>13</v>
      </c>
      <c r="E977" t="s">
        <v>14</v>
      </c>
      <c r="F977">
        <v>444</v>
      </c>
      <c r="G977" s="3">
        <v>491.77</v>
      </c>
      <c r="H977" s="1">
        <v>45762</v>
      </c>
      <c r="I977" s="1">
        <v>45766</v>
      </c>
      <c r="J977" s="3">
        <v>69.84</v>
      </c>
      <c r="K977" s="2">
        <f>Table4[[#This Row],[Stock-Quantity]]*Table4[[#This Row],[Unit-Price]]</f>
        <v>218345.88</v>
      </c>
      <c r="L977" s="2">
        <f>Table4[[#This Row],[Stock-Quantity]]*Table4[[#This Row],[Margin-Unit]]</f>
        <v>31008.960000000003</v>
      </c>
      <c r="M977">
        <f>Table4[[#This Row],[Date-Sales]]-Table4[[#This Row],[Date-Received]]</f>
        <v>4</v>
      </c>
      <c r="N977" s="6">
        <f>Table4[[#This Row],[Margin-Unit]]/Table4[[#This Row],[Unit-Price]]</f>
        <v>0.14201760985826709</v>
      </c>
    </row>
    <row r="978" spans="1:14" x14ac:dyDescent="0.3">
      <c r="A978" t="s">
        <v>1021</v>
      </c>
      <c r="B978" t="s">
        <v>52</v>
      </c>
      <c r="C978" t="s">
        <v>12</v>
      </c>
      <c r="D978" t="s">
        <v>18</v>
      </c>
      <c r="E978" t="s">
        <v>19</v>
      </c>
      <c r="F978">
        <v>468</v>
      </c>
      <c r="G978" s="3">
        <v>353.95</v>
      </c>
      <c r="H978" s="1">
        <v>45814</v>
      </c>
      <c r="I978" s="1">
        <v>45822</v>
      </c>
      <c r="J978" s="3">
        <v>94.4</v>
      </c>
      <c r="K978" s="2">
        <f>Table4[[#This Row],[Stock-Quantity]]*Table4[[#This Row],[Unit-Price]]</f>
        <v>165648.6</v>
      </c>
      <c r="L978" s="2">
        <f>Table4[[#This Row],[Stock-Quantity]]*Table4[[#This Row],[Margin-Unit]]</f>
        <v>44179.200000000004</v>
      </c>
      <c r="M978">
        <f>Table4[[#This Row],[Date-Sales]]-Table4[[#This Row],[Date-Received]]</f>
        <v>8</v>
      </c>
      <c r="N978" s="6">
        <f>Table4[[#This Row],[Margin-Unit]]/Table4[[#This Row],[Unit-Price]]</f>
        <v>0.26670433677073035</v>
      </c>
    </row>
    <row r="979" spans="1:14" x14ac:dyDescent="0.3">
      <c r="A979" t="s">
        <v>1022</v>
      </c>
      <c r="B979" t="s">
        <v>37</v>
      </c>
      <c r="C979" t="s">
        <v>22</v>
      </c>
      <c r="D979" t="s">
        <v>25</v>
      </c>
      <c r="E979" t="s">
        <v>26</v>
      </c>
      <c r="F979">
        <v>407</v>
      </c>
      <c r="G979" s="3">
        <v>78.53</v>
      </c>
      <c r="H979" s="1">
        <v>45813</v>
      </c>
      <c r="I979" s="1">
        <v>45843</v>
      </c>
      <c r="J979" s="3">
        <v>16.43</v>
      </c>
      <c r="K979" s="2">
        <f>Table4[[#This Row],[Stock-Quantity]]*Table4[[#This Row],[Unit-Price]]</f>
        <v>31961.71</v>
      </c>
      <c r="L979" s="2">
        <f>Table4[[#This Row],[Stock-Quantity]]*Table4[[#This Row],[Margin-Unit]]</f>
        <v>6687.01</v>
      </c>
      <c r="M979">
        <f>Table4[[#This Row],[Date-Sales]]-Table4[[#This Row],[Date-Received]]</f>
        <v>30</v>
      </c>
      <c r="N979" s="6">
        <f>Table4[[#This Row],[Margin-Unit]]/Table4[[#This Row],[Unit-Price]]</f>
        <v>0.20921940659620528</v>
      </c>
    </row>
    <row r="980" spans="1:14" x14ac:dyDescent="0.3">
      <c r="A980" t="s">
        <v>1023</v>
      </c>
      <c r="B980" t="s">
        <v>21</v>
      </c>
      <c r="C980" t="s">
        <v>22</v>
      </c>
      <c r="D980" t="s">
        <v>13</v>
      </c>
      <c r="E980" t="s">
        <v>14</v>
      </c>
      <c r="F980">
        <v>224</v>
      </c>
      <c r="G980" s="3">
        <v>204.91</v>
      </c>
      <c r="H980" s="1">
        <v>45728</v>
      </c>
      <c r="I980" s="1">
        <v>45757</v>
      </c>
      <c r="J980" s="3">
        <v>27.95</v>
      </c>
      <c r="K980" s="2">
        <f>Table4[[#This Row],[Stock-Quantity]]*Table4[[#This Row],[Unit-Price]]</f>
        <v>45899.839999999997</v>
      </c>
      <c r="L980" s="2">
        <f>Table4[[#This Row],[Stock-Quantity]]*Table4[[#This Row],[Margin-Unit]]</f>
        <v>6260.8</v>
      </c>
      <c r="M980">
        <f>Table4[[#This Row],[Date-Sales]]-Table4[[#This Row],[Date-Received]]</f>
        <v>29</v>
      </c>
      <c r="N980" s="6">
        <f>Table4[[#This Row],[Margin-Unit]]/Table4[[#This Row],[Unit-Price]]</f>
        <v>0.13640134693279976</v>
      </c>
    </row>
    <row r="981" spans="1:14" x14ac:dyDescent="0.3">
      <c r="A981" t="s">
        <v>1024</v>
      </c>
      <c r="B981" t="s">
        <v>24</v>
      </c>
      <c r="C981" t="s">
        <v>22</v>
      </c>
      <c r="D981" t="s">
        <v>18</v>
      </c>
      <c r="E981" t="s">
        <v>19</v>
      </c>
      <c r="F981">
        <v>132</v>
      </c>
      <c r="G981" s="3">
        <v>342.11</v>
      </c>
      <c r="H981" s="1">
        <v>45682</v>
      </c>
      <c r="I981" s="1">
        <v>45711</v>
      </c>
      <c r="J981" s="3">
        <v>72.2</v>
      </c>
      <c r="K981" s="2">
        <f>Table4[[#This Row],[Stock-Quantity]]*Table4[[#This Row],[Unit-Price]]</f>
        <v>45158.520000000004</v>
      </c>
      <c r="L981" s="2">
        <f>Table4[[#This Row],[Stock-Quantity]]*Table4[[#This Row],[Margin-Unit]]</f>
        <v>9530.4</v>
      </c>
      <c r="M981">
        <f>Table4[[#This Row],[Date-Sales]]-Table4[[#This Row],[Date-Received]]</f>
        <v>29</v>
      </c>
      <c r="N981" s="6">
        <f>Table4[[#This Row],[Margin-Unit]]/Table4[[#This Row],[Unit-Price]]</f>
        <v>0.21104323170909942</v>
      </c>
    </row>
    <row r="982" spans="1:14" x14ac:dyDescent="0.3">
      <c r="A982" t="s">
        <v>1025</v>
      </c>
      <c r="B982" t="s">
        <v>94</v>
      </c>
      <c r="C982" t="s">
        <v>29</v>
      </c>
      <c r="D982" t="s">
        <v>40</v>
      </c>
      <c r="E982" t="s">
        <v>41</v>
      </c>
      <c r="F982">
        <v>50</v>
      </c>
      <c r="G982" s="3">
        <v>301.51</v>
      </c>
      <c r="H982" s="1">
        <v>45819</v>
      </c>
      <c r="I982" s="1">
        <v>45848</v>
      </c>
      <c r="J982" s="3">
        <v>64.7</v>
      </c>
      <c r="K982" s="2">
        <f>Table4[[#This Row],[Stock-Quantity]]*Table4[[#This Row],[Unit-Price]]</f>
        <v>15075.5</v>
      </c>
      <c r="L982" s="2">
        <f>Table4[[#This Row],[Stock-Quantity]]*Table4[[#This Row],[Margin-Unit]]</f>
        <v>3235</v>
      </c>
      <c r="M982">
        <f>Table4[[#This Row],[Date-Sales]]-Table4[[#This Row],[Date-Received]]</f>
        <v>29</v>
      </c>
      <c r="N982" s="6">
        <f>Table4[[#This Row],[Margin-Unit]]/Table4[[#This Row],[Unit-Price]]</f>
        <v>0.21458658087625621</v>
      </c>
    </row>
    <row r="983" spans="1:14" x14ac:dyDescent="0.3">
      <c r="A983" t="s">
        <v>1026</v>
      </c>
      <c r="B983" t="s">
        <v>50</v>
      </c>
      <c r="C983" t="s">
        <v>17</v>
      </c>
      <c r="D983" t="s">
        <v>13</v>
      </c>
      <c r="E983" t="s">
        <v>14</v>
      </c>
      <c r="F983">
        <v>96</v>
      </c>
      <c r="G983" s="3">
        <v>359.65</v>
      </c>
      <c r="H983" s="1">
        <v>45763</v>
      </c>
      <c r="I983" s="1">
        <v>45786</v>
      </c>
      <c r="J983" s="3">
        <v>78.239999999999995</v>
      </c>
      <c r="K983" s="2">
        <f>Table4[[#This Row],[Stock-Quantity]]*Table4[[#This Row],[Unit-Price]]</f>
        <v>34526.399999999994</v>
      </c>
      <c r="L983" s="2">
        <f>Table4[[#This Row],[Stock-Quantity]]*Table4[[#This Row],[Margin-Unit]]</f>
        <v>7511.0399999999991</v>
      </c>
      <c r="M983">
        <f>Table4[[#This Row],[Date-Sales]]-Table4[[#This Row],[Date-Received]]</f>
        <v>23</v>
      </c>
      <c r="N983" s="6">
        <f>Table4[[#This Row],[Margin-Unit]]/Table4[[#This Row],[Unit-Price]]</f>
        <v>0.21754483525649937</v>
      </c>
    </row>
    <row r="984" spans="1:14" x14ac:dyDescent="0.3">
      <c r="A984" t="s">
        <v>1027</v>
      </c>
      <c r="B984" t="s">
        <v>37</v>
      </c>
      <c r="C984" t="s">
        <v>22</v>
      </c>
      <c r="D984" t="s">
        <v>40</v>
      </c>
      <c r="E984" t="s">
        <v>41</v>
      </c>
      <c r="F984">
        <v>30</v>
      </c>
      <c r="G984" s="3">
        <v>301.20999999999998</v>
      </c>
      <c r="H984" s="1">
        <v>45690</v>
      </c>
      <c r="I984" s="1">
        <v>45717</v>
      </c>
      <c r="J984" s="3">
        <v>64.02</v>
      </c>
      <c r="K984" s="2">
        <f>Table4[[#This Row],[Stock-Quantity]]*Table4[[#This Row],[Unit-Price]]</f>
        <v>9036.2999999999993</v>
      </c>
      <c r="L984" s="2">
        <f>Table4[[#This Row],[Stock-Quantity]]*Table4[[#This Row],[Margin-Unit]]</f>
        <v>1920.6</v>
      </c>
      <c r="M984">
        <f>Table4[[#This Row],[Date-Sales]]-Table4[[#This Row],[Date-Received]]</f>
        <v>27</v>
      </c>
      <c r="N984" s="6">
        <f>Table4[[#This Row],[Margin-Unit]]/Table4[[#This Row],[Unit-Price]]</f>
        <v>0.21254274426479863</v>
      </c>
    </row>
    <row r="985" spans="1:14" x14ac:dyDescent="0.3">
      <c r="A985" t="s">
        <v>1028</v>
      </c>
      <c r="B985" t="s">
        <v>21</v>
      </c>
      <c r="C985" t="s">
        <v>22</v>
      </c>
      <c r="D985" t="s">
        <v>25</v>
      </c>
      <c r="E985" t="s">
        <v>26</v>
      </c>
      <c r="F985">
        <v>188</v>
      </c>
      <c r="G985" s="3">
        <v>249.81</v>
      </c>
      <c r="H985" s="1">
        <v>45702</v>
      </c>
      <c r="I985" s="1">
        <v>45731</v>
      </c>
      <c r="J985" s="3">
        <v>53.47</v>
      </c>
      <c r="K985" s="2">
        <f>Table4[[#This Row],[Stock-Quantity]]*Table4[[#This Row],[Unit-Price]]</f>
        <v>46964.28</v>
      </c>
      <c r="L985" s="2">
        <f>Table4[[#This Row],[Stock-Quantity]]*Table4[[#This Row],[Margin-Unit]]</f>
        <v>10052.36</v>
      </c>
      <c r="M985">
        <f>Table4[[#This Row],[Date-Sales]]-Table4[[#This Row],[Date-Received]]</f>
        <v>29</v>
      </c>
      <c r="N985" s="6">
        <f>Table4[[#This Row],[Margin-Unit]]/Table4[[#This Row],[Unit-Price]]</f>
        <v>0.21404267243104758</v>
      </c>
    </row>
    <row r="986" spans="1:14" x14ac:dyDescent="0.3">
      <c r="A986" t="s">
        <v>1029</v>
      </c>
      <c r="B986" t="s">
        <v>16</v>
      </c>
      <c r="C986" t="s">
        <v>17</v>
      </c>
      <c r="D986" t="s">
        <v>18</v>
      </c>
      <c r="E986" t="s">
        <v>19</v>
      </c>
      <c r="F986">
        <v>366</v>
      </c>
      <c r="G986" s="3">
        <v>210.07</v>
      </c>
      <c r="H986" s="1">
        <v>45710</v>
      </c>
      <c r="I986" s="1">
        <v>45724</v>
      </c>
      <c r="J986" s="3">
        <v>55.81</v>
      </c>
      <c r="K986" s="2">
        <f>Table4[[#This Row],[Stock-Quantity]]*Table4[[#This Row],[Unit-Price]]</f>
        <v>76885.62</v>
      </c>
      <c r="L986" s="2">
        <f>Table4[[#This Row],[Stock-Quantity]]*Table4[[#This Row],[Margin-Unit]]</f>
        <v>20426.46</v>
      </c>
      <c r="M986">
        <f>Table4[[#This Row],[Date-Sales]]-Table4[[#This Row],[Date-Received]]</f>
        <v>14</v>
      </c>
      <c r="N986" s="6">
        <f>Table4[[#This Row],[Margin-Unit]]/Table4[[#This Row],[Unit-Price]]</f>
        <v>0.26567334697957823</v>
      </c>
    </row>
    <row r="987" spans="1:14" x14ac:dyDescent="0.3">
      <c r="A987" t="s">
        <v>1030</v>
      </c>
      <c r="B987" t="s">
        <v>106</v>
      </c>
      <c r="C987" t="s">
        <v>17</v>
      </c>
      <c r="D987" t="s">
        <v>30</v>
      </c>
      <c r="E987" t="s">
        <v>31</v>
      </c>
      <c r="F987">
        <v>360</v>
      </c>
      <c r="G987" s="3">
        <v>35.75</v>
      </c>
      <c r="H987" s="1">
        <v>45747</v>
      </c>
      <c r="I987" s="1">
        <v>45771</v>
      </c>
      <c r="J987" s="3">
        <v>8.18</v>
      </c>
      <c r="K987" s="2">
        <f>Table4[[#This Row],[Stock-Quantity]]*Table4[[#This Row],[Unit-Price]]</f>
        <v>12870</v>
      </c>
      <c r="L987" s="2">
        <f>Table4[[#This Row],[Stock-Quantity]]*Table4[[#This Row],[Margin-Unit]]</f>
        <v>2944.7999999999997</v>
      </c>
      <c r="M987">
        <f>Table4[[#This Row],[Date-Sales]]-Table4[[#This Row],[Date-Received]]</f>
        <v>24</v>
      </c>
      <c r="N987" s="6">
        <f>Table4[[#This Row],[Margin-Unit]]/Table4[[#This Row],[Unit-Price]]</f>
        <v>0.22881118881118881</v>
      </c>
    </row>
    <row r="988" spans="1:14" x14ac:dyDescent="0.3">
      <c r="A988" t="s">
        <v>1031</v>
      </c>
      <c r="B988" t="s">
        <v>47</v>
      </c>
      <c r="C988" t="s">
        <v>17</v>
      </c>
      <c r="D988" t="s">
        <v>13</v>
      </c>
      <c r="E988" t="s">
        <v>14</v>
      </c>
      <c r="F988">
        <v>276</v>
      </c>
      <c r="G988" s="3">
        <v>33.64</v>
      </c>
      <c r="H988" s="1">
        <v>45815</v>
      </c>
      <c r="I988" s="1">
        <v>45817</v>
      </c>
      <c r="J988" s="3">
        <v>4.6500000000000004</v>
      </c>
      <c r="K988" s="2">
        <f>Table4[[#This Row],[Stock-Quantity]]*Table4[[#This Row],[Unit-Price]]</f>
        <v>9284.64</v>
      </c>
      <c r="L988" s="2">
        <f>Table4[[#This Row],[Stock-Quantity]]*Table4[[#This Row],[Margin-Unit]]</f>
        <v>1283.4000000000001</v>
      </c>
      <c r="M988">
        <f>Table4[[#This Row],[Date-Sales]]-Table4[[#This Row],[Date-Received]]</f>
        <v>2</v>
      </c>
      <c r="N988" s="6">
        <f>Table4[[#This Row],[Margin-Unit]]/Table4[[#This Row],[Unit-Price]]</f>
        <v>0.13822829964328182</v>
      </c>
    </row>
    <row r="989" spans="1:14" x14ac:dyDescent="0.3">
      <c r="A989" t="s">
        <v>1032</v>
      </c>
      <c r="B989" t="s">
        <v>106</v>
      </c>
      <c r="C989" t="s">
        <v>17</v>
      </c>
      <c r="D989" t="s">
        <v>13</v>
      </c>
      <c r="E989" t="s">
        <v>14</v>
      </c>
      <c r="F989">
        <v>79</v>
      </c>
      <c r="G989" s="3">
        <v>309.83</v>
      </c>
      <c r="H989" s="1">
        <v>45692</v>
      </c>
      <c r="I989" s="1">
        <v>45716</v>
      </c>
      <c r="J989" s="3">
        <v>47.68</v>
      </c>
      <c r="K989" s="2">
        <f>Table4[[#This Row],[Stock-Quantity]]*Table4[[#This Row],[Unit-Price]]</f>
        <v>24476.57</v>
      </c>
      <c r="L989" s="2">
        <f>Table4[[#This Row],[Stock-Quantity]]*Table4[[#This Row],[Margin-Unit]]</f>
        <v>3766.72</v>
      </c>
      <c r="M989">
        <f>Table4[[#This Row],[Date-Sales]]-Table4[[#This Row],[Date-Received]]</f>
        <v>24</v>
      </c>
      <c r="N989" s="6">
        <f>Table4[[#This Row],[Margin-Unit]]/Table4[[#This Row],[Unit-Price]]</f>
        <v>0.15389084336571668</v>
      </c>
    </row>
    <row r="990" spans="1:14" x14ac:dyDescent="0.3">
      <c r="A990" t="s">
        <v>1033</v>
      </c>
      <c r="B990" t="s">
        <v>21</v>
      </c>
      <c r="C990" t="s">
        <v>22</v>
      </c>
      <c r="D990" t="s">
        <v>25</v>
      </c>
      <c r="E990" t="s">
        <v>26</v>
      </c>
      <c r="F990">
        <v>47</v>
      </c>
      <c r="G990" s="3">
        <v>143.52000000000001</v>
      </c>
      <c r="H990" s="1">
        <v>45766</v>
      </c>
      <c r="I990" s="1">
        <v>45769</v>
      </c>
      <c r="J990" s="3">
        <v>37.29</v>
      </c>
      <c r="K990" s="2">
        <f>Table4[[#This Row],[Stock-Quantity]]*Table4[[#This Row],[Unit-Price]]</f>
        <v>6745.4400000000005</v>
      </c>
      <c r="L990" s="2">
        <f>Table4[[#This Row],[Stock-Quantity]]*Table4[[#This Row],[Margin-Unit]]</f>
        <v>1752.6299999999999</v>
      </c>
      <c r="M990">
        <f>Table4[[#This Row],[Date-Sales]]-Table4[[#This Row],[Date-Received]]</f>
        <v>3</v>
      </c>
      <c r="N990" s="6">
        <f>Table4[[#This Row],[Margin-Unit]]/Table4[[#This Row],[Unit-Price]]</f>
        <v>0.25982441471571904</v>
      </c>
    </row>
    <row r="991" spans="1:14" x14ac:dyDescent="0.3">
      <c r="A991" t="s">
        <v>1034</v>
      </c>
      <c r="B991" t="s">
        <v>94</v>
      </c>
      <c r="C991" t="s">
        <v>29</v>
      </c>
      <c r="D991" t="s">
        <v>30</v>
      </c>
      <c r="E991" t="s">
        <v>31</v>
      </c>
      <c r="F991">
        <v>443</v>
      </c>
      <c r="G991" s="3">
        <v>108.08</v>
      </c>
      <c r="H991" s="1">
        <v>45684</v>
      </c>
      <c r="I991" s="1">
        <v>45703</v>
      </c>
      <c r="J991" s="3">
        <v>13.13</v>
      </c>
      <c r="K991" s="2">
        <f>Table4[[#This Row],[Stock-Quantity]]*Table4[[#This Row],[Unit-Price]]</f>
        <v>47879.44</v>
      </c>
      <c r="L991" s="2">
        <f>Table4[[#This Row],[Stock-Quantity]]*Table4[[#This Row],[Margin-Unit]]</f>
        <v>5816.59</v>
      </c>
      <c r="M991">
        <f>Table4[[#This Row],[Date-Sales]]-Table4[[#This Row],[Date-Received]]</f>
        <v>19</v>
      </c>
      <c r="N991" s="6">
        <f>Table4[[#This Row],[Margin-Unit]]/Table4[[#This Row],[Unit-Price]]</f>
        <v>0.12148408586232422</v>
      </c>
    </row>
    <row r="992" spans="1:14" x14ac:dyDescent="0.3">
      <c r="A992" t="s">
        <v>1035</v>
      </c>
      <c r="B992" t="s">
        <v>106</v>
      </c>
      <c r="C992" t="s">
        <v>17</v>
      </c>
      <c r="D992" t="s">
        <v>18</v>
      </c>
      <c r="E992" t="s">
        <v>19</v>
      </c>
      <c r="F992">
        <v>454</v>
      </c>
      <c r="G992" s="3">
        <v>459.71</v>
      </c>
      <c r="H992" s="1">
        <v>45797</v>
      </c>
      <c r="I992" s="1">
        <v>45800</v>
      </c>
      <c r="J992" s="3">
        <v>108.62</v>
      </c>
      <c r="K992" s="2">
        <f>Table4[[#This Row],[Stock-Quantity]]*Table4[[#This Row],[Unit-Price]]</f>
        <v>208708.34</v>
      </c>
      <c r="L992" s="2">
        <f>Table4[[#This Row],[Stock-Quantity]]*Table4[[#This Row],[Margin-Unit]]</f>
        <v>49313.48</v>
      </c>
      <c r="M992">
        <f>Table4[[#This Row],[Date-Sales]]-Table4[[#This Row],[Date-Received]]</f>
        <v>3</v>
      </c>
      <c r="N992" s="6">
        <f>Table4[[#This Row],[Margin-Unit]]/Table4[[#This Row],[Unit-Price]]</f>
        <v>0.23627939353070415</v>
      </c>
    </row>
    <row r="993" spans="1:14" x14ac:dyDescent="0.3">
      <c r="A993" t="s">
        <v>1036</v>
      </c>
      <c r="B993" t="s">
        <v>11</v>
      </c>
      <c r="C993" t="s">
        <v>12</v>
      </c>
      <c r="D993" t="s">
        <v>30</v>
      </c>
      <c r="E993" t="s">
        <v>31</v>
      </c>
      <c r="F993">
        <v>177</v>
      </c>
      <c r="G993" s="3">
        <v>309.26</v>
      </c>
      <c r="H993" s="1">
        <v>45734</v>
      </c>
      <c r="I993" s="1">
        <v>45737</v>
      </c>
      <c r="J993" s="3">
        <v>89.16</v>
      </c>
      <c r="K993" s="2">
        <f>Table4[[#This Row],[Stock-Quantity]]*Table4[[#This Row],[Unit-Price]]</f>
        <v>54739.02</v>
      </c>
      <c r="L993" s="2">
        <f>Table4[[#This Row],[Stock-Quantity]]*Table4[[#This Row],[Margin-Unit]]</f>
        <v>15781.32</v>
      </c>
      <c r="M993">
        <f>Table4[[#This Row],[Date-Sales]]-Table4[[#This Row],[Date-Received]]</f>
        <v>3</v>
      </c>
      <c r="N993" s="6">
        <f>Table4[[#This Row],[Margin-Unit]]/Table4[[#This Row],[Unit-Price]]</f>
        <v>0.28830110586561469</v>
      </c>
    </row>
    <row r="994" spans="1:14" x14ac:dyDescent="0.3">
      <c r="A994" t="s">
        <v>1037</v>
      </c>
      <c r="B994" t="s">
        <v>34</v>
      </c>
      <c r="C994" t="s">
        <v>35</v>
      </c>
      <c r="D994" t="s">
        <v>40</v>
      </c>
      <c r="E994" t="s">
        <v>41</v>
      </c>
      <c r="F994">
        <v>149</v>
      </c>
      <c r="G994" s="3">
        <v>475.08</v>
      </c>
      <c r="H994" s="1">
        <v>45795</v>
      </c>
      <c r="I994" s="1">
        <v>45805</v>
      </c>
      <c r="J994" s="3">
        <v>132.18</v>
      </c>
      <c r="K994" s="2">
        <f>Table4[[#This Row],[Stock-Quantity]]*Table4[[#This Row],[Unit-Price]]</f>
        <v>70786.92</v>
      </c>
      <c r="L994" s="2">
        <f>Table4[[#This Row],[Stock-Quantity]]*Table4[[#This Row],[Margin-Unit]]</f>
        <v>19694.82</v>
      </c>
      <c r="M994">
        <f>Table4[[#This Row],[Date-Sales]]-Table4[[#This Row],[Date-Received]]</f>
        <v>10</v>
      </c>
      <c r="N994" s="6">
        <f>Table4[[#This Row],[Margin-Unit]]/Table4[[#This Row],[Unit-Price]]</f>
        <v>0.27822682495579693</v>
      </c>
    </row>
    <row r="995" spans="1:14" x14ac:dyDescent="0.3">
      <c r="A995" t="s">
        <v>1038</v>
      </c>
      <c r="B995" t="s">
        <v>21</v>
      </c>
      <c r="C995" t="s">
        <v>22</v>
      </c>
      <c r="D995" t="s">
        <v>40</v>
      </c>
      <c r="E995" t="s">
        <v>41</v>
      </c>
      <c r="F995">
        <v>39</v>
      </c>
      <c r="G995" s="3">
        <v>326.14999999999998</v>
      </c>
      <c r="H995" s="1">
        <v>45817</v>
      </c>
      <c r="I995" s="1">
        <v>45824</v>
      </c>
      <c r="J995" s="3">
        <v>71.19</v>
      </c>
      <c r="K995" s="2">
        <f>Table4[[#This Row],[Stock-Quantity]]*Table4[[#This Row],[Unit-Price]]</f>
        <v>12719.849999999999</v>
      </c>
      <c r="L995" s="2">
        <f>Table4[[#This Row],[Stock-Quantity]]*Table4[[#This Row],[Margin-Unit]]</f>
        <v>2776.41</v>
      </c>
      <c r="M995">
        <f>Table4[[#This Row],[Date-Sales]]-Table4[[#This Row],[Date-Received]]</f>
        <v>7</v>
      </c>
      <c r="N995" s="6">
        <f>Table4[[#This Row],[Margin-Unit]]/Table4[[#This Row],[Unit-Price]]</f>
        <v>0.21827380039858962</v>
      </c>
    </row>
    <row r="996" spans="1:14" x14ac:dyDescent="0.3">
      <c r="A996" t="s">
        <v>1039</v>
      </c>
      <c r="B996" t="s">
        <v>94</v>
      </c>
      <c r="C996" t="s">
        <v>29</v>
      </c>
      <c r="D996" t="s">
        <v>18</v>
      </c>
      <c r="E996" t="s">
        <v>19</v>
      </c>
      <c r="F996">
        <v>37</v>
      </c>
      <c r="G996" s="3">
        <v>28.66</v>
      </c>
      <c r="H996" s="1">
        <v>45714</v>
      </c>
      <c r="I996" s="1">
        <v>45733</v>
      </c>
      <c r="J996" s="3">
        <v>3.84</v>
      </c>
      <c r="K996" s="2">
        <f>Table4[[#This Row],[Stock-Quantity]]*Table4[[#This Row],[Unit-Price]]</f>
        <v>1060.42</v>
      </c>
      <c r="L996" s="2">
        <f>Table4[[#This Row],[Stock-Quantity]]*Table4[[#This Row],[Margin-Unit]]</f>
        <v>142.07999999999998</v>
      </c>
      <c r="M996">
        <f>Table4[[#This Row],[Date-Sales]]-Table4[[#This Row],[Date-Received]]</f>
        <v>19</v>
      </c>
      <c r="N996" s="6">
        <f>Table4[[#This Row],[Margin-Unit]]/Table4[[#This Row],[Unit-Price]]</f>
        <v>0.13398464759246337</v>
      </c>
    </row>
    <row r="997" spans="1:14" x14ac:dyDescent="0.3">
      <c r="A997" t="s">
        <v>1040</v>
      </c>
      <c r="B997" t="s">
        <v>34</v>
      </c>
      <c r="C997" t="s">
        <v>35</v>
      </c>
      <c r="D997" t="s">
        <v>30</v>
      </c>
      <c r="E997" t="s">
        <v>31</v>
      </c>
      <c r="F997">
        <v>432</v>
      </c>
      <c r="G997" s="3">
        <v>88.28</v>
      </c>
      <c r="H997" s="1">
        <v>45693</v>
      </c>
      <c r="I997" s="1">
        <v>45710</v>
      </c>
      <c r="J997" s="3">
        <v>15.09</v>
      </c>
      <c r="K997" s="2">
        <f>Table4[[#This Row],[Stock-Quantity]]*Table4[[#This Row],[Unit-Price]]</f>
        <v>38136.959999999999</v>
      </c>
      <c r="L997" s="2">
        <f>Table4[[#This Row],[Stock-Quantity]]*Table4[[#This Row],[Margin-Unit]]</f>
        <v>6518.88</v>
      </c>
      <c r="M997">
        <f>Table4[[#This Row],[Date-Sales]]-Table4[[#This Row],[Date-Received]]</f>
        <v>17</v>
      </c>
      <c r="N997" s="6">
        <f>Table4[[#This Row],[Margin-Unit]]/Table4[[#This Row],[Unit-Price]]</f>
        <v>0.17093339374716809</v>
      </c>
    </row>
    <row r="998" spans="1:14" x14ac:dyDescent="0.3">
      <c r="A998" t="s">
        <v>1041</v>
      </c>
      <c r="B998" t="s">
        <v>16</v>
      </c>
      <c r="C998" t="s">
        <v>17</v>
      </c>
      <c r="D998" t="s">
        <v>40</v>
      </c>
      <c r="E998" t="s">
        <v>41</v>
      </c>
      <c r="F998">
        <v>386</v>
      </c>
      <c r="G998" s="3">
        <v>452.56</v>
      </c>
      <c r="H998" s="1">
        <v>45756</v>
      </c>
      <c r="I998" s="1">
        <v>45775</v>
      </c>
      <c r="J998" s="3">
        <v>49.58</v>
      </c>
      <c r="K998" s="2">
        <f>Table4[[#This Row],[Stock-Quantity]]*Table4[[#This Row],[Unit-Price]]</f>
        <v>174688.16</v>
      </c>
      <c r="L998" s="2">
        <f>Table4[[#This Row],[Stock-Quantity]]*Table4[[#This Row],[Margin-Unit]]</f>
        <v>19137.88</v>
      </c>
      <c r="M998">
        <f>Table4[[#This Row],[Date-Sales]]-Table4[[#This Row],[Date-Received]]</f>
        <v>19</v>
      </c>
      <c r="N998" s="6">
        <f>Table4[[#This Row],[Margin-Unit]]/Table4[[#This Row],[Unit-Price]]</f>
        <v>0.10955453420540923</v>
      </c>
    </row>
    <row r="999" spans="1:14" x14ac:dyDescent="0.3">
      <c r="A999" t="s">
        <v>1042</v>
      </c>
      <c r="B999" t="s">
        <v>70</v>
      </c>
      <c r="C999" t="s">
        <v>35</v>
      </c>
      <c r="D999" t="s">
        <v>30</v>
      </c>
      <c r="E999" t="s">
        <v>31</v>
      </c>
      <c r="F999">
        <v>478</v>
      </c>
      <c r="G999" s="3">
        <v>378.97</v>
      </c>
      <c r="H999" s="1">
        <v>45814</v>
      </c>
      <c r="I999" s="1">
        <v>45829</v>
      </c>
      <c r="J999" s="3">
        <v>37.99</v>
      </c>
      <c r="K999" s="2">
        <f>Table4[[#This Row],[Stock-Quantity]]*Table4[[#This Row],[Unit-Price]]</f>
        <v>181147.66</v>
      </c>
      <c r="L999" s="2">
        <f>Table4[[#This Row],[Stock-Quantity]]*Table4[[#This Row],[Margin-Unit]]</f>
        <v>18159.22</v>
      </c>
      <c r="M999">
        <f>Table4[[#This Row],[Date-Sales]]-Table4[[#This Row],[Date-Received]]</f>
        <v>15</v>
      </c>
      <c r="N999" s="6">
        <f>Table4[[#This Row],[Margin-Unit]]/Table4[[#This Row],[Unit-Price]]</f>
        <v>0.10024540201071325</v>
      </c>
    </row>
    <row r="1000" spans="1:14" x14ac:dyDescent="0.3">
      <c r="A1000" t="s">
        <v>1043</v>
      </c>
      <c r="B1000" t="s">
        <v>34</v>
      </c>
      <c r="C1000" t="s">
        <v>35</v>
      </c>
      <c r="D1000" t="s">
        <v>30</v>
      </c>
      <c r="E1000" t="s">
        <v>31</v>
      </c>
      <c r="F1000">
        <v>334</v>
      </c>
      <c r="G1000" s="3">
        <v>186.02</v>
      </c>
      <c r="H1000" s="1">
        <v>45818</v>
      </c>
      <c r="I1000" s="1">
        <v>45841</v>
      </c>
      <c r="J1000" s="3">
        <v>23.88</v>
      </c>
      <c r="K1000" s="2">
        <f>Table4[[#This Row],[Stock-Quantity]]*Table4[[#This Row],[Unit-Price]]</f>
        <v>62130.68</v>
      </c>
      <c r="L1000" s="2">
        <f>Table4[[#This Row],[Stock-Quantity]]*Table4[[#This Row],[Margin-Unit]]</f>
        <v>7975.92</v>
      </c>
      <c r="M1000">
        <f>Table4[[#This Row],[Date-Sales]]-Table4[[#This Row],[Date-Received]]</f>
        <v>23</v>
      </c>
      <c r="N1000" s="6">
        <f>Table4[[#This Row],[Margin-Unit]]/Table4[[#This Row],[Unit-Price]]</f>
        <v>0.12837329319428017</v>
      </c>
    </row>
    <row r="1001" spans="1:14" x14ac:dyDescent="0.3">
      <c r="A1001" t="s">
        <v>1044</v>
      </c>
      <c r="B1001" t="s">
        <v>11</v>
      </c>
      <c r="C1001" t="s">
        <v>12</v>
      </c>
      <c r="D1001" t="s">
        <v>25</v>
      </c>
      <c r="E1001" t="s">
        <v>26</v>
      </c>
      <c r="F1001">
        <v>474</v>
      </c>
      <c r="G1001" s="3">
        <v>368.05</v>
      </c>
      <c r="H1001" s="1">
        <v>45757</v>
      </c>
      <c r="I1001" s="1">
        <v>45764</v>
      </c>
      <c r="J1001" s="3">
        <v>110.36</v>
      </c>
      <c r="K1001" s="2">
        <f>Table4[[#This Row],[Stock-Quantity]]*Table4[[#This Row],[Unit-Price]]</f>
        <v>174455.7</v>
      </c>
      <c r="L1001" s="2">
        <f>Table4[[#This Row],[Stock-Quantity]]*Table4[[#This Row],[Margin-Unit]]</f>
        <v>52310.64</v>
      </c>
      <c r="M1001">
        <f>Table4[[#This Row],[Date-Sales]]-Table4[[#This Row],[Date-Received]]</f>
        <v>7</v>
      </c>
      <c r="N1001" s="6">
        <f>Table4[[#This Row],[Margin-Unit]]/Table4[[#This Row],[Unit-Price]]</f>
        <v>0.29985056378209479</v>
      </c>
    </row>
    <row r="1002" spans="1:14" x14ac:dyDescent="0.3">
      <c r="A1002">
        <f>SUBTOTAL(103,Table4[Product-Id])</f>
        <v>1000</v>
      </c>
      <c r="H1002" s="1"/>
      <c r="I1002" s="1"/>
      <c r="K1002" s="2">
        <f>SUBTOTAL(109,Table4[Revenue])</f>
        <v>65863944.860000074</v>
      </c>
      <c r="L1002" s="2">
        <f>SUBTOTAL(109,Table4[Margins])</f>
        <v>13125444.730000012</v>
      </c>
      <c r="M1002">
        <f>SUBTOTAL(101,Table4[Days in stocks])</f>
        <v>15.266</v>
      </c>
      <c r="N1002" s="6"/>
    </row>
    <row r="1007" spans="1:14" x14ac:dyDescent="0.3">
      <c r="K1007" t="s">
        <v>1058</v>
      </c>
    </row>
  </sheetData>
  <conditionalFormatting sqref="M2:M1048576">
    <cfRule type="cellIs" dxfId="3" priority="1" operator="greaterThan">
      <formula>26</formula>
    </cfRule>
    <cfRule type="cellIs" dxfId="2" priority="2" operator="greaterThan">
      <formula>19</formula>
    </cfRule>
    <cfRule type="cellIs" dxfId="1" priority="3" operator="between">
      <formula>6</formula>
      <formula>19</formula>
    </cfRule>
    <cfRule type="cellIs" dxfId="0" priority="4" operator="between">
      <formula>1</formula>
      <formula>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Dashboard</vt:lpstr>
      <vt:lpstr>Analysis2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GOAT !</dc:creator>
  <cp:lastModifiedBy>THE GOAT !</cp:lastModifiedBy>
  <dcterms:created xsi:type="dcterms:W3CDTF">2026-02-11T11:24:01Z</dcterms:created>
  <dcterms:modified xsi:type="dcterms:W3CDTF">2026-02-16T15:04:35Z</dcterms:modified>
</cp:coreProperties>
</file>